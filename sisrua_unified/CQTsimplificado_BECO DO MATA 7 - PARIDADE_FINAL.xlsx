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comments2.xml" ContentType="application/vnd.openxmlformats-officedocument.spreadsheetml.comments+xml"/>
  <Override PartName="/xl/tables/table7.xml" ContentType="application/vnd.openxmlformats-officedocument.spreadsheetml.table+xml"/>
  <Override PartName="/xl/comments3.xml" ContentType="application/vnd.openxmlformats-officedocument.spreadsheetml.comments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im3brasil-my.sharepoint.com/personal/jonatas_lampa_im3brasil_com_br/Documents/LIGHT/PROJETOS/BECO DO MATA 7/BACK/"/>
    </mc:Choice>
  </mc:AlternateContent>
  <xr:revisionPtr revIDLastSave="24" documentId="11_F5CF328AD640201721F119084DF3A13992614D72" xr6:coauthVersionLast="47" xr6:coauthVersionMax="47" xr10:uidLastSave="{3F135A4E-D416-4E67-8AAC-ED5FE2C687FB}"/>
  <bookViews>
    <workbookView xWindow="-108" yWindow="-108" windowWidth="23256" windowHeight="12456" tabRatio="843" firstSheet="1" activeTab="3" xr2:uid="{00000000-000D-0000-FFFF-FFFF00000000}"/>
  </bookViews>
  <sheets>
    <sheet name="DB" sheetId="1" state="hidden" r:id="rId1"/>
    <sheet name="COORDENADAS" sheetId="2" r:id="rId2"/>
    <sheet name="SUGESTAO_CORTES" sheetId="3" state="hidden" r:id="rId3"/>
    <sheet name="RAMAL" sheetId="4" r:id="rId4"/>
    <sheet name="GERAL" sheetId="5" r:id="rId5"/>
    <sheet name="ESQ ATUAL" sheetId="6" r:id="rId6"/>
    <sheet name="DIR ATUAL" sheetId="7" r:id="rId7"/>
    <sheet name="GERAL PROJ" sheetId="8" r:id="rId8"/>
    <sheet name="ESQ PROJ1" sheetId="9" r:id="rId9"/>
    <sheet name="DIR PROJ1" sheetId="10" r:id="rId10"/>
    <sheet name="GERAL PROJ2" sheetId="11" r:id="rId11"/>
    <sheet name="ESQ PROJ2" sheetId="12" r:id="rId12"/>
    <sheet name="DIR PROJ2" sheetId="13" r:id="rId13"/>
  </sheets>
  <definedNames>
    <definedName name="ATUAL_CARGA_TOTAL">RAMAL!$AB$12</definedName>
    <definedName name="ATUAL_CORRENTE_MAXIMA">RAMAL!$AB$6</definedName>
    <definedName name="ATUAL_DEMANDA_MAXIMA">RAMAL!$AB$8</definedName>
    <definedName name="ATUAL_DMDI_MEDIO">RAMAL!$AB$18</definedName>
    <definedName name="ATUAL_ENTRADAS_RAMAIS">RAMAL!$A$18:$U$77</definedName>
    <definedName name="ATUAL_FATOR_LEITURA_TRAFO">RAMAL!$AB$14</definedName>
    <definedName name="AUX_CLAN">DB!$C$30:$F$330</definedName>
    <definedName name="CONDUTORES" localSheetId="6">CABOS[]</definedName>
    <definedName name="CONDUTORES" localSheetId="9">CABOS[]</definedName>
    <definedName name="CONDUTORES" localSheetId="12">CABOS[]</definedName>
    <definedName name="CONDUTORES" localSheetId="8">CABOS[]</definedName>
    <definedName name="CONDUTORES" localSheetId="11">CABOS[]</definedName>
    <definedName name="CONDUTORES" localSheetId="7">CABOS[]</definedName>
    <definedName name="CONDUTORES" localSheetId="10">CABOS[]</definedName>
    <definedName name="CONDUTORES">CABOS[]</definedName>
    <definedName name="COORD">COORDENADAS!$C$2:$E$63</definedName>
    <definedName name="DEM_ATUAL">DB!$K$7</definedName>
    <definedName name="DMDI">RAMAL!$AA$30</definedName>
    <definedName name="fator_potencia">DB!$K$2</definedName>
    <definedName name="QT_MT">DB!$K$4</definedName>
    <definedName name="QT_MTTR">DB!$K$10</definedName>
    <definedName name="QT_MTTR2">DB!$K$19</definedName>
    <definedName name="QT_MTTR3">DB!$K$26</definedName>
    <definedName name="QT_TR">DB!$K$8</definedName>
    <definedName name="RAMA_PROJ1">#REF!</definedName>
    <definedName name="RAMA_PROJ2">#REF!</definedName>
    <definedName name="RAMAIS_ATUAL">RAMAL!$A$18:$Y$77</definedName>
    <definedName name="RAMAIS_PROJ1">#REF!</definedName>
    <definedName name="solver_adj" localSheetId="3" hidden="1">RAMAL!$AA$18</definedName>
    <definedName name="solver_eng" localSheetId="3" hidden="1">0</definedName>
    <definedName name="solver_lhs1" localSheetId="3" hidden="1">RAMAL!$AA$30</definedName>
    <definedName name="solver_neg" localSheetId="3" hidden="1">1</definedName>
    <definedName name="solver_num" localSheetId="3" hidden="1">1</definedName>
    <definedName name="solver_opt" localSheetId="3" hidden="1">RAMAL!$AA$24</definedName>
    <definedName name="solver_rel1" localSheetId="3" hidden="1">2</definedName>
    <definedName name="solver_rhs1" localSheetId="3" hidden="1">1.63</definedName>
    <definedName name="solver_rxv" localSheetId="3" hidden="1">1</definedName>
    <definedName name="solver_typ" localSheetId="3" hidden="1">3</definedName>
    <definedName name="solver_val" localSheetId="3" hidden="1">82.62</definedName>
    <definedName name="T_LINHA_MONO">DB!$M$14</definedName>
    <definedName name="T_LINHA_TRF">DB!$M$13</definedName>
    <definedName name="TAB_CLAN_DMDI">DB!$A$30:$B$411</definedName>
    <definedName name="TR_ATUAL">DB!$K$6</definedName>
  </definedNames>
  <calcPr calcId="181029"/>
</workbook>
</file>

<file path=xl/calcChain.xml><?xml version="1.0" encoding="utf-8"?>
<calcChain xmlns="http://schemas.openxmlformats.org/spreadsheetml/2006/main">
  <c r="X14" i="6" l="1"/>
  <c r="T13" i="6"/>
  <c r="T12" i="6"/>
  <c r="T11" i="6"/>
  <c r="X18" i="7"/>
  <c r="H8" i="7"/>
  <c r="X8" i="7" s="1"/>
  <c r="H9" i="7"/>
  <c r="X9" i="7" s="1"/>
  <c r="H10" i="7"/>
  <c r="X10" i="7" s="1"/>
  <c r="H11" i="7"/>
  <c r="X11" i="7" s="1"/>
  <c r="H12" i="7"/>
  <c r="X12" i="7" s="1"/>
  <c r="H13" i="7"/>
  <c r="X13" i="7" s="1"/>
  <c r="H14" i="7"/>
  <c r="X14" i="7" s="1"/>
  <c r="H15" i="7"/>
  <c r="X15" i="7" s="1"/>
  <c r="H16" i="7"/>
  <c r="X16" i="7" s="1"/>
  <c r="H17" i="7"/>
  <c r="X17" i="7" s="1"/>
  <c r="G16" i="7"/>
  <c r="V16" i="7" s="1"/>
  <c r="W16" i="7" s="1"/>
  <c r="G17" i="7"/>
  <c r="V17" i="7" s="1"/>
  <c r="W17" i="7" s="1"/>
  <c r="F16" i="7"/>
  <c r="F17" i="7"/>
  <c r="E8" i="7"/>
  <c r="E15" i="7"/>
  <c r="E16" i="7"/>
  <c r="E17" i="7"/>
  <c r="E18" i="7"/>
  <c r="D8" i="7"/>
  <c r="D15" i="7"/>
  <c r="D16" i="7"/>
  <c r="D17" i="7"/>
  <c r="D18" i="7"/>
  <c r="C8" i="7"/>
  <c r="C9" i="7"/>
  <c r="C10" i="7"/>
  <c r="C11" i="7"/>
  <c r="C12" i="7"/>
  <c r="C13" i="7"/>
  <c r="C14" i="7"/>
  <c r="C15" i="7"/>
  <c r="C16" i="7"/>
  <c r="C17" i="7"/>
  <c r="B8" i="7"/>
  <c r="B9" i="7"/>
  <c r="B10" i="7"/>
  <c r="B11" i="7"/>
  <c r="B12" i="7"/>
  <c r="B13" i="7"/>
  <c r="B14" i="7"/>
  <c r="B15" i="7"/>
  <c r="B16" i="7"/>
  <c r="B17" i="7"/>
  <c r="H8" i="6"/>
  <c r="X8" i="6" s="1"/>
  <c r="F13" i="6"/>
  <c r="E8" i="6"/>
  <c r="E9" i="6"/>
  <c r="E10" i="6"/>
  <c r="E11" i="6"/>
  <c r="E12" i="6"/>
  <c r="E13" i="6"/>
  <c r="E14" i="6"/>
  <c r="D8" i="6"/>
  <c r="D9" i="6"/>
  <c r="D10" i="6"/>
  <c r="D11" i="6"/>
  <c r="D12" i="6"/>
  <c r="D13" i="6"/>
  <c r="D14" i="6"/>
  <c r="B8" i="6"/>
  <c r="B9" i="6"/>
  <c r="B10" i="6"/>
  <c r="B11" i="6"/>
  <c r="B12" i="6"/>
  <c r="B13" i="6"/>
  <c r="H13" i="6"/>
  <c r="X13" i="6" s="1"/>
  <c r="G13" i="6"/>
  <c r="V13" i="6" s="1"/>
  <c r="W13" i="6" s="1"/>
  <c r="C13" i="6"/>
  <c r="R10" i="7"/>
  <c r="R11" i="7"/>
  <c r="R12" i="7"/>
  <c r="R13" i="7"/>
  <c r="R14" i="7"/>
  <c r="R15" i="7"/>
  <c r="R16" i="7"/>
  <c r="R17" i="7"/>
  <c r="T10" i="7"/>
  <c r="U10" i="7"/>
  <c r="T11" i="7"/>
  <c r="U11" i="7"/>
  <c r="T12" i="7"/>
  <c r="U12" i="7"/>
  <c r="T13" i="7"/>
  <c r="U13" i="7"/>
  <c r="T14" i="7"/>
  <c r="U14" i="7"/>
  <c r="T15" i="7"/>
  <c r="U15" i="7"/>
  <c r="T16" i="7"/>
  <c r="U16" i="7"/>
  <c r="C11" i="6"/>
  <c r="H11" i="6"/>
  <c r="X11" i="6" s="1"/>
  <c r="R11" i="6"/>
  <c r="C12" i="6"/>
  <c r="H12" i="6"/>
  <c r="X12" i="6" s="1"/>
  <c r="R12" i="6"/>
  <c r="R13" i="6"/>
  <c r="B9" i="13"/>
  <c r="C9" i="13"/>
  <c r="D9" i="13"/>
  <c r="E9" i="13"/>
  <c r="F9" i="13"/>
  <c r="G9" i="13"/>
  <c r="H9" i="13"/>
  <c r="X9" i="13" s="1"/>
  <c r="R9" i="13"/>
  <c r="V9" i="13" s="1"/>
  <c r="S9" i="13"/>
  <c r="T9" i="13"/>
  <c r="U9" i="13"/>
  <c r="B10" i="13"/>
  <c r="C10" i="13"/>
  <c r="D10" i="13"/>
  <c r="E10" i="13"/>
  <c r="F10" i="13"/>
  <c r="G10" i="13"/>
  <c r="V10" i="13" s="1"/>
  <c r="H10" i="13"/>
  <c r="X10" i="13" s="1"/>
  <c r="R10" i="13"/>
  <c r="S10" i="13"/>
  <c r="T10" i="13"/>
  <c r="U10" i="13"/>
  <c r="B11" i="13"/>
  <c r="C11" i="13"/>
  <c r="D11" i="13"/>
  <c r="E11" i="13"/>
  <c r="F11" i="13"/>
  <c r="G11" i="13"/>
  <c r="H11" i="13"/>
  <c r="X11" i="13" s="1"/>
  <c r="R11" i="13"/>
  <c r="S11" i="13"/>
  <c r="T11" i="13"/>
  <c r="U11" i="13"/>
  <c r="A8" i="13"/>
  <c r="A8" i="12"/>
  <c r="L2" i="11"/>
  <c r="I2" i="11"/>
  <c r="H20" i="11" s="1"/>
  <c r="L2" i="8"/>
  <c r="I2" i="8"/>
  <c r="A8" i="10"/>
  <c r="A8" i="9"/>
  <c r="I16" i="8"/>
  <c r="I15" i="8" s="1"/>
  <c r="H15" i="8"/>
  <c r="H16" i="8"/>
  <c r="H17" i="8"/>
  <c r="H18" i="8"/>
  <c r="H19" i="8"/>
  <c r="H20" i="8"/>
  <c r="H21" i="8"/>
  <c r="H22" i="8"/>
  <c r="H23" i="8"/>
  <c r="A8" i="6"/>
  <c r="H27" i="11" l="1"/>
  <c r="I27" i="11" s="1"/>
  <c r="H26" i="11"/>
  <c r="I26" i="11" s="1"/>
  <c r="H25" i="11"/>
  <c r="I25" i="11" s="1"/>
  <c r="H24" i="11"/>
  <c r="H21" i="11"/>
  <c r="H36" i="11"/>
  <c r="H22" i="11"/>
  <c r="H19" i="11"/>
  <c r="H17" i="11"/>
  <c r="H18" i="11"/>
  <c r="H23" i="11"/>
  <c r="I14" i="8"/>
  <c r="I22" i="11"/>
  <c r="H12" i="8"/>
  <c r="I23" i="11"/>
  <c r="H10" i="8"/>
  <c r="H9" i="8"/>
  <c r="H32" i="11"/>
  <c r="I32" i="11" s="1"/>
  <c r="H12" i="11"/>
  <c r="I12" i="11" s="1"/>
  <c r="I20" i="11"/>
  <c r="H13" i="8"/>
  <c r="I13" i="8" s="1"/>
  <c r="I24" i="11"/>
  <c r="H35" i="11"/>
  <c r="I35" i="11" s="1"/>
  <c r="H31" i="11"/>
  <c r="I31" i="11" s="1"/>
  <c r="H11" i="11"/>
  <c r="I11" i="11" s="1"/>
  <c r="I19" i="11"/>
  <c r="H14" i="8"/>
  <c r="H10" i="11"/>
  <c r="I10" i="11" s="1"/>
  <c r="H16" i="11"/>
  <c r="I16" i="11" s="1"/>
  <c r="H34" i="11"/>
  <c r="I34" i="11" s="1"/>
  <c r="H33" i="11"/>
  <c r="I33" i="11" s="1"/>
  <c r="H30" i="11"/>
  <c r="I30" i="11" s="1"/>
  <c r="I18" i="11"/>
  <c r="H29" i="11"/>
  <c r="I29" i="11" s="1"/>
  <c r="H9" i="11"/>
  <c r="I9" i="11" s="1"/>
  <c r="I17" i="11"/>
  <c r="V11" i="13"/>
  <c r="J11" i="13" s="1"/>
  <c r="K11" i="13" s="1"/>
  <c r="H15" i="11"/>
  <c r="I15" i="11" s="1"/>
  <c r="H11" i="8"/>
  <c r="H14" i="11"/>
  <c r="I14" i="11" s="1"/>
  <c r="H13" i="11"/>
  <c r="I13" i="11" s="1"/>
  <c r="I21" i="11"/>
  <c r="J9" i="13"/>
  <c r="K9" i="13" s="1"/>
  <c r="H28" i="11"/>
  <c r="I28" i="11" s="1"/>
  <c r="I36" i="11"/>
  <c r="Y13" i="6"/>
  <c r="Q13" i="6" s="1"/>
  <c r="I13" i="6"/>
  <c r="J13" i="6"/>
  <c r="K13" i="6" s="1"/>
  <c r="L13" i="6" s="1"/>
  <c r="I16" i="7"/>
  <c r="W10" i="13"/>
  <c r="Y10" i="13"/>
  <c r="Q10" i="13" s="1"/>
  <c r="I10" i="13"/>
  <c r="J10" i="13"/>
  <c r="K10" i="13" s="1"/>
  <c r="I9" i="13"/>
  <c r="W9" i="13"/>
  <c r="Y9" i="13" s="1"/>
  <c r="Q9" i="13" s="1"/>
  <c r="W11" i="13" l="1"/>
  <c r="Y11" i="13" s="1"/>
  <c r="Q11" i="13" s="1"/>
  <c r="I11" i="13"/>
  <c r="I12" i="8"/>
  <c r="I11" i="8" s="1"/>
  <c r="I10" i="8" s="1"/>
  <c r="I9" i="8" s="1"/>
  <c r="J16" i="7"/>
  <c r="Y16" i="7"/>
  <c r="Q16" i="7" s="1"/>
  <c r="I17" i="8" l="1"/>
  <c r="I19" i="8"/>
  <c r="I18" i="8"/>
  <c r="I21" i="8"/>
  <c r="I20" i="8"/>
  <c r="I23" i="8"/>
  <c r="I22" i="8"/>
  <c r="K16" i="7"/>
  <c r="L16" i="7" s="1"/>
  <c r="C10" i="6" l="1"/>
  <c r="H10" i="6"/>
  <c r="X10" i="6" s="1"/>
  <c r="R10" i="6"/>
  <c r="R14" i="6"/>
  <c r="X13" i="13"/>
  <c r="U13" i="13"/>
  <c r="T13" i="13"/>
  <c r="R13" i="13"/>
  <c r="E13" i="13"/>
  <c r="D13" i="13"/>
  <c r="C13" i="13"/>
  <c r="B13" i="13"/>
  <c r="U12" i="13"/>
  <c r="T12" i="13"/>
  <c r="R12" i="13"/>
  <c r="H12" i="13"/>
  <c r="X12" i="13" s="1"/>
  <c r="G12" i="13"/>
  <c r="F12" i="13"/>
  <c r="E12" i="13"/>
  <c r="D12" i="13"/>
  <c r="C12" i="13"/>
  <c r="B12" i="13"/>
  <c r="U8" i="13"/>
  <c r="T8" i="13"/>
  <c r="R8" i="13"/>
  <c r="E8" i="13"/>
  <c r="X17" i="12"/>
  <c r="U17" i="12"/>
  <c r="T17" i="12"/>
  <c r="R17" i="12"/>
  <c r="E17" i="12"/>
  <c r="D17" i="12"/>
  <c r="C17" i="12"/>
  <c r="B17" i="12"/>
  <c r="U16" i="12"/>
  <c r="T16" i="12"/>
  <c r="R16" i="12"/>
  <c r="H16" i="12"/>
  <c r="X16" i="12" s="1"/>
  <c r="G16" i="12"/>
  <c r="F16" i="12"/>
  <c r="E16" i="12"/>
  <c r="D16" i="12"/>
  <c r="C16" i="12"/>
  <c r="B16" i="12"/>
  <c r="U15" i="12"/>
  <c r="T15" i="12"/>
  <c r="R15" i="12"/>
  <c r="H15" i="12"/>
  <c r="X15" i="12" s="1"/>
  <c r="G15" i="12"/>
  <c r="F15" i="12"/>
  <c r="E15" i="12"/>
  <c r="D15" i="12"/>
  <c r="C15" i="12"/>
  <c r="B15" i="12"/>
  <c r="U14" i="12"/>
  <c r="T14" i="12"/>
  <c r="R14" i="12"/>
  <c r="H14" i="12"/>
  <c r="G14" i="12"/>
  <c r="F14" i="12"/>
  <c r="E14" i="12"/>
  <c r="D14" i="12"/>
  <c r="C14" i="12"/>
  <c r="B14" i="12"/>
  <c r="U13" i="12"/>
  <c r="T13" i="12"/>
  <c r="R13" i="12"/>
  <c r="H13" i="12"/>
  <c r="X13" i="12" s="1"/>
  <c r="G13" i="12"/>
  <c r="F13" i="12"/>
  <c r="E13" i="12"/>
  <c r="D13" i="12"/>
  <c r="C13" i="12"/>
  <c r="B13" i="12"/>
  <c r="U12" i="12"/>
  <c r="T12" i="12"/>
  <c r="R12" i="12"/>
  <c r="H12" i="12"/>
  <c r="G12" i="12"/>
  <c r="F12" i="12"/>
  <c r="E12" i="12"/>
  <c r="D12" i="12"/>
  <c r="C12" i="12"/>
  <c r="B12" i="12"/>
  <c r="U11" i="12"/>
  <c r="T11" i="12"/>
  <c r="R11" i="12"/>
  <c r="H11" i="12"/>
  <c r="G11" i="12"/>
  <c r="F11" i="12"/>
  <c r="E11" i="12"/>
  <c r="D11" i="12"/>
  <c r="C11" i="12"/>
  <c r="B11" i="12"/>
  <c r="U10" i="12"/>
  <c r="T10" i="12"/>
  <c r="R10" i="12"/>
  <c r="H10" i="12"/>
  <c r="X10" i="12" s="1"/>
  <c r="G10" i="12"/>
  <c r="F10" i="12"/>
  <c r="E10" i="12"/>
  <c r="D10" i="12"/>
  <c r="C10" i="12"/>
  <c r="B10" i="12"/>
  <c r="U9" i="12"/>
  <c r="T9" i="12"/>
  <c r="R9" i="12"/>
  <c r="H9" i="12"/>
  <c r="G9" i="12"/>
  <c r="F9" i="12"/>
  <c r="E9" i="12"/>
  <c r="D9" i="12"/>
  <c r="C9" i="12"/>
  <c r="B9" i="12"/>
  <c r="U8" i="12"/>
  <c r="T8" i="12"/>
  <c r="R8" i="12"/>
  <c r="H8" i="12"/>
  <c r="X8" i="12" s="1"/>
  <c r="G8" i="12"/>
  <c r="F8" i="12"/>
  <c r="E8" i="12"/>
  <c r="D8" i="12"/>
  <c r="C8" i="12"/>
  <c r="B8" i="12"/>
  <c r="M36" i="11"/>
  <c r="G36" i="11"/>
  <c r="F36" i="11"/>
  <c r="E36" i="11"/>
  <c r="D36" i="11"/>
  <c r="M35" i="11"/>
  <c r="F35" i="11"/>
  <c r="G35" i="11" s="1"/>
  <c r="E35" i="11"/>
  <c r="D35" i="11"/>
  <c r="M34" i="11"/>
  <c r="F34" i="11"/>
  <c r="G34" i="11" s="1"/>
  <c r="E34" i="11"/>
  <c r="D34" i="11"/>
  <c r="M33" i="11"/>
  <c r="F33" i="11"/>
  <c r="G33" i="11" s="1"/>
  <c r="E33" i="11"/>
  <c r="D33" i="11"/>
  <c r="M32" i="11"/>
  <c r="F32" i="11"/>
  <c r="G32" i="11" s="1"/>
  <c r="E32" i="11"/>
  <c r="D32" i="11"/>
  <c r="M31" i="11"/>
  <c r="F31" i="11"/>
  <c r="G31" i="11" s="1"/>
  <c r="E31" i="11"/>
  <c r="D31" i="11"/>
  <c r="M30" i="11"/>
  <c r="F30" i="11"/>
  <c r="G30" i="11" s="1"/>
  <c r="E30" i="11"/>
  <c r="D30" i="11"/>
  <c r="M29" i="11"/>
  <c r="F29" i="11"/>
  <c r="G29" i="11" s="1"/>
  <c r="E29" i="11"/>
  <c r="D29" i="11"/>
  <c r="M28" i="11"/>
  <c r="F28" i="11"/>
  <c r="G28" i="11" s="1"/>
  <c r="E28" i="11"/>
  <c r="D28" i="11"/>
  <c r="M27" i="11"/>
  <c r="F27" i="11"/>
  <c r="G27" i="11" s="1"/>
  <c r="E27" i="11"/>
  <c r="D27" i="11"/>
  <c r="M26" i="11"/>
  <c r="F26" i="11"/>
  <c r="G26" i="11" s="1"/>
  <c r="E26" i="11"/>
  <c r="D26" i="11"/>
  <c r="O25" i="11"/>
  <c r="O20" i="11" s="1"/>
  <c r="M25" i="11"/>
  <c r="F25" i="11"/>
  <c r="G25" i="11" s="1"/>
  <c r="E25" i="11"/>
  <c r="D25" i="11"/>
  <c r="M24" i="11"/>
  <c r="G24" i="11"/>
  <c r="F24" i="11"/>
  <c r="E24" i="11"/>
  <c r="D24" i="11"/>
  <c r="M23" i="11"/>
  <c r="F23" i="11"/>
  <c r="G23" i="11" s="1"/>
  <c r="E23" i="11"/>
  <c r="D23" i="11"/>
  <c r="M22" i="11"/>
  <c r="F22" i="11"/>
  <c r="G22" i="11" s="1"/>
  <c r="E22" i="11"/>
  <c r="D22" i="11"/>
  <c r="M21" i="11"/>
  <c r="F21" i="11"/>
  <c r="G21" i="11" s="1"/>
  <c r="E21" i="11"/>
  <c r="D21" i="11"/>
  <c r="M20" i="11"/>
  <c r="F20" i="11"/>
  <c r="G20" i="11" s="1"/>
  <c r="E20" i="11"/>
  <c r="D20" i="11"/>
  <c r="M19" i="11"/>
  <c r="F19" i="11"/>
  <c r="G19" i="11" s="1"/>
  <c r="E19" i="11"/>
  <c r="D19" i="11"/>
  <c r="M18" i="11"/>
  <c r="F18" i="11"/>
  <c r="G18" i="11" s="1"/>
  <c r="E18" i="11"/>
  <c r="D18" i="11"/>
  <c r="M17" i="11"/>
  <c r="F17" i="11"/>
  <c r="G17" i="11" s="1"/>
  <c r="E17" i="11"/>
  <c r="D17" i="11"/>
  <c r="M16" i="11"/>
  <c r="F16" i="11"/>
  <c r="G16" i="11" s="1"/>
  <c r="E16" i="11"/>
  <c r="D16" i="11"/>
  <c r="M15" i="11"/>
  <c r="G15" i="11"/>
  <c r="F15" i="11"/>
  <c r="E15" i="11"/>
  <c r="D15" i="11"/>
  <c r="M14" i="11"/>
  <c r="F14" i="11"/>
  <c r="G14" i="11" s="1"/>
  <c r="E14" i="11"/>
  <c r="D14" i="11"/>
  <c r="M13" i="11"/>
  <c r="F13" i="11"/>
  <c r="G13" i="11" s="1"/>
  <c r="E13" i="11"/>
  <c r="D13" i="11"/>
  <c r="M12" i="11"/>
  <c r="F12" i="11"/>
  <c r="G12" i="11" s="1"/>
  <c r="E12" i="11"/>
  <c r="D12" i="11"/>
  <c r="M11" i="11"/>
  <c r="F11" i="11"/>
  <c r="G11" i="11" s="1"/>
  <c r="E11" i="11"/>
  <c r="D11" i="11"/>
  <c r="M10" i="11"/>
  <c r="F10" i="11"/>
  <c r="G10" i="11" s="1"/>
  <c r="E10" i="11"/>
  <c r="D10" i="11"/>
  <c r="F9" i="11"/>
  <c r="G9" i="11" s="1"/>
  <c r="E9" i="11"/>
  <c r="D9" i="11"/>
  <c r="X13" i="10"/>
  <c r="U13" i="10"/>
  <c r="T13" i="10"/>
  <c r="S13" i="10"/>
  <c r="R13" i="10"/>
  <c r="E13" i="10"/>
  <c r="D13" i="10"/>
  <c r="C13" i="10"/>
  <c r="U12" i="10"/>
  <c r="T12" i="10"/>
  <c r="R12" i="10"/>
  <c r="H12" i="10"/>
  <c r="X12" i="10" s="1"/>
  <c r="F12" i="10"/>
  <c r="E12" i="10"/>
  <c r="D12" i="10"/>
  <c r="C12" i="10"/>
  <c r="B12" i="10"/>
  <c r="U11" i="10"/>
  <c r="T11" i="10"/>
  <c r="R11" i="10"/>
  <c r="H11" i="10"/>
  <c r="X11" i="10" s="1"/>
  <c r="F11" i="10"/>
  <c r="E11" i="10"/>
  <c r="D11" i="10"/>
  <c r="C11" i="10"/>
  <c r="B11" i="10"/>
  <c r="U10" i="10"/>
  <c r="T10" i="10"/>
  <c r="R10" i="10"/>
  <c r="H10" i="10"/>
  <c r="X10" i="10" s="1"/>
  <c r="F10" i="10"/>
  <c r="E10" i="10"/>
  <c r="D10" i="10"/>
  <c r="C10" i="10"/>
  <c r="B10" i="10"/>
  <c r="U9" i="10"/>
  <c r="T9" i="10"/>
  <c r="R9" i="10"/>
  <c r="H9" i="10"/>
  <c r="X9" i="10" s="1"/>
  <c r="F9" i="10"/>
  <c r="E9" i="10"/>
  <c r="D9" i="10"/>
  <c r="C9" i="10"/>
  <c r="B9" i="10"/>
  <c r="U8" i="10"/>
  <c r="T8" i="10"/>
  <c r="R8" i="10"/>
  <c r="B8" i="10"/>
  <c r="X12" i="9"/>
  <c r="U12" i="9"/>
  <c r="T12" i="9"/>
  <c r="S12" i="9"/>
  <c r="R12" i="9"/>
  <c r="E12" i="9"/>
  <c r="D12" i="9"/>
  <c r="U11" i="9"/>
  <c r="T11" i="9"/>
  <c r="R11" i="9"/>
  <c r="H11" i="9"/>
  <c r="X11" i="9" s="1"/>
  <c r="F11" i="9"/>
  <c r="E11" i="9"/>
  <c r="D11" i="9"/>
  <c r="C11" i="9"/>
  <c r="B11" i="9"/>
  <c r="U10" i="9"/>
  <c r="T10" i="9"/>
  <c r="R10" i="9"/>
  <c r="H10" i="9"/>
  <c r="X10" i="9" s="1"/>
  <c r="F10" i="9"/>
  <c r="E10" i="9"/>
  <c r="D10" i="9"/>
  <c r="C10" i="9"/>
  <c r="B10" i="9"/>
  <c r="U9" i="9"/>
  <c r="T9" i="9"/>
  <c r="R9" i="9"/>
  <c r="H9" i="9"/>
  <c r="X9" i="9" s="1"/>
  <c r="F9" i="9"/>
  <c r="E9" i="9"/>
  <c r="D9" i="9"/>
  <c r="C9" i="9"/>
  <c r="B9" i="9"/>
  <c r="U8" i="9"/>
  <c r="T8" i="9"/>
  <c r="R8" i="9"/>
  <c r="B8" i="9"/>
  <c r="O25" i="8"/>
  <c r="O20" i="8" s="1"/>
  <c r="M23" i="8"/>
  <c r="E23" i="8"/>
  <c r="D23" i="8"/>
  <c r="M22" i="8"/>
  <c r="E22" i="8"/>
  <c r="D22" i="8"/>
  <c r="M21" i="8"/>
  <c r="E21" i="8"/>
  <c r="D21" i="8"/>
  <c r="M20" i="8"/>
  <c r="E20" i="8"/>
  <c r="D20" i="8"/>
  <c r="M19" i="8"/>
  <c r="E19" i="8"/>
  <c r="D19" i="8"/>
  <c r="M18" i="8"/>
  <c r="E18" i="8"/>
  <c r="D18" i="8"/>
  <c r="M17" i="8"/>
  <c r="E17" i="8"/>
  <c r="D17" i="8"/>
  <c r="E16" i="8"/>
  <c r="D16" i="8"/>
  <c r="E15" i="8"/>
  <c r="D15" i="8"/>
  <c r="E14" i="8"/>
  <c r="D14" i="8"/>
  <c r="E13" i="8"/>
  <c r="D13" i="8"/>
  <c r="E12" i="8"/>
  <c r="D12" i="8"/>
  <c r="E11" i="8"/>
  <c r="D11" i="8"/>
  <c r="E10" i="8"/>
  <c r="D10" i="8"/>
  <c r="E9" i="8"/>
  <c r="D9" i="8"/>
  <c r="U14" i="6"/>
  <c r="T14" i="6"/>
  <c r="U10" i="6"/>
  <c r="T10" i="6"/>
  <c r="U9" i="6"/>
  <c r="T9" i="6"/>
  <c r="R9" i="6"/>
  <c r="H9" i="6"/>
  <c r="X9" i="6" s="1"/>
  <c r="C9" i="6"/>
  <c r="U8" i="6"/>
  <c r="T8" i="6"/>
  <c r="R8" i="6"/>
  <c r="M51" i="5"/>
  <c r="H51" i="5"/>
  <c r="F51" i="5"/>
  <c r="E51" i="5"/>
  <c r="D51" i="5"/>
  <c r="M50" i="5"/>
  <c r="H50" i="5"/>
  <c r="F50" i="5"/>
  <c r="E50" i="5"/>
  <c r="D50" i="5"/>
  <c r="M49" i="5"/>
  <c r="H49" i="5"/>
  <c r="F49" i="5"/>
  <c r="E49" i="5"/>
  <c r="D49" i="5"/>
  <c r="M48" i="5"/>
  <c r="H48" i="5"/>
  <c r="F48" i="5"/>
  <c r="E48" i="5"/>
  <c r="D48" i="5"/>
  <c r="M47" i="5"/>
  <c r="H47" i="5"/>
  <c r="F47" i="5"/>
  <c r="E47" i="5"/>
  <c r="D47" i="5"/>
  <c r="M46" i="5"/>
  <c r="H46" i="5"/>
  <c r="F46" i="5"/>
  <c r="E46" i="5"/>
  <c r="D46" i="5"/>
  <c r="M45" i="5"/>
  <c r="H45" i="5"/>
  <c r="F45" i="5"/>
  <c r="E45" i="5"/>
  <c r="D45" i="5"/>
  <c r="M44" i="5"/>
  <c r="H44" i="5"/>
  <c r="F44" i="5"/>
  <c r="E44" i="5"/>
  <c r="D44" i="5"/>
  <c r="M43" i="5"/>
  <c r="H43" i="5"/>
  <c r="F43" i="5"/>
  <c r="E43" i="5"/>
  <c r="D43" i="5"/>
  <c r="M42" i="5"/>
  <c r="H42" i="5"/>
  <c r="F42" i="5"/>
  <c r="E42" i="5"/>
  <c r="D42" i="5"/>
  <c r="M41" i="5"/>
  <c r="H41" i="5"/>
  <c r="F41" i="5"/>
  <c r="E41" i="5"/>
  <c r="D41" i="5"/>
  <c r="M40" i="5"/>
  <c r="H40" i="5"/>
  <c r="F40" i="5"/>
  <c r="E40" i="5"/>
  <c r="D40" i="5"/>
  <c r="M39" i="5"/>
  <c r="H39" i="5"/>
  <c r="F39" i="5"/>
  <c r="E39" i="5"/>
  <c r="D39" i="5"/>
  <c r="M38" i="5"/>
  <c r="H38" i="5"/>
  <c r="F38" i="5"/>
  <c r="E38" i="5"/>
  <c r="D38" i="5"/>
  <c r="M37" i="5"/>
  <c r="H37" i="5"/>
  <c r="F37" i="5"/>
  <c r="E37" i="5"/>
  <c r="D37" i="5"/>
  <c r="M36" i="5"/>
  <c r="H36" i="5"/>
  <c r="F36" i="5"/>
  <c r="E36" i="5"/>
  <c r="D36" i="5"/>
  <c r="M35" i="5"/>
  <c r="H35" i="5"/>
  <c r="F35" i="5"/>
  <c r="E35" i="5"/>
  <c r="D35" i="5"/>
  <c r="M34" i="5"/>
  <c r="H34" i="5"/>
  <c r="F34" i="5"/>
  <c r="E34" i="5"/>
  <c r="D34" i="5"/>
  <c r="M33" i="5"/>
  <c r="H33" i="5"/>
  <c r="F33" i="5"/>
  <c r="E33" i="5"/>
  <c r="D33" i="5"/>
  <c r="M32" i="5"/>
  <c r="H32" i="5"/>
  <c r="F32" i="5"/>
  <c r="E32" i="5"/>
  <c r="D32" i="5"/>
  <c r="M31" i="5"/>
  <c r="H31" i="5"/>
  <c r="F31" i="5"/>
  <c r="E31" i="5"/>
  <c r="D31" i="5"/>
  <c r="M30" i="5"/>
  <c r="H30" i="5"/>
  <c r="F30" i="5"/>
  <c r="E30" i="5"/>
  <c r="D30" i="5"/>
  <c r="M29" i="5"/>
  <c r="H29" i="5"/>
  <c r="F29" i="5"/>
  <c r="E29" i="5"/>
  <c r="D29" i="5"/>
  <c r="M28" i="5"/>
  <c r="H28" i="5"/>
  <c r="F28" i="5"/>
  <c r="E28" i="5"/>
  <c r="D28" i="5"/>
  <c r="M27" i="5"/>
  <c r="H27" i="5"/>
  <c r="F27" i="5"/>
  <c r="E27" i="5"/>
  <c r="D27" i="5"/>
  <c r="M26" i="5"/>
  <c r="H26" i="5"/>
  <c r="F26" i="5"/>
  <c r="E26" i="5"/>
  <c r="D26" i="5"/>
  <c r="O25" i="5"/>
  <c r="O20" i="5" s="1"/>
  <c r="M25" i="5"/>
  <c r="H25" i="5"/>
  <c r="F25" i="5"/>
  <c r="E25" i="5"/>
  <c r="D25" i="5"/>
  <c r="M24" i="5"/>
  <c r="H24" i="5"/>
  <c r="F24" i="5"/>
  <c r="E24" i="5"/>
  <c r="D24" i="5"/>
  <c r="M23" i="5"/>
  <c r="H23" i="5"/>
  <c r="F23" i="5"/>
  <c r="E23" i="5"/>
  <c r="D23" i="5"/>
  <c r="M22" i="5"/>
  <c r="H22" i="5"/>
  <c r="F22" i="5"/>
  <c r="E22" i="5"/>
  <c r="D22" i="5"/>
  <c r="E21" i="5"/>
  <c r="E14" i="7" s="1"/>
  <c r="D21" i="5"/>
  <c r="D14" i="7" s="1"/>
  <c r="E20" i="5"/>
  <c r="E13" i="7" s="1"/>
  <c r="D20" i="5"/>
  <c r="D13" i="7" s="1"/>
  <c r="E19" i="5"/>
  <c r="E12" i="7" s="1"/>
  <c r="D19" i="5"/>
  <c r="D12" i="7" s="1"/>
  <c r="F18" i="5"/>
  <c r="E18" i="5"/>
  <c r="E11" i="7" s="1"/>
  <c r="D18" i="5"/>
  <c r="D11" i="7" s="1"/>
  <c r="E17" i="5"/>
  <c r="D17" i="5"/>
  <c r="E16" i="5"/>
  <c r="E10" i="7" s="1"/>
  <c r="D16" i="5"/>
  <c r="D10" i="7" s="1"/>
  <c r="E15" i="5"/>
  <c r="E9" i="7" s="1"/>
  <c r="D15" i="5"/>
  <c r="D9" i="7" s="1"/>
  <c r="E14" i="5"/>
  <c r="D14" i="5"/>
  <c r="E13" i="5"/>
  <c r="D13" i="5"/>
  <c r="E12" i="5"/>
  <c r="D12" i="5"/>
  <c r="E11" i="5"/>
  <c r="D11" i="5"/>
  <c r="F10" i="5"/>
  <c r="E10" i="5"/>
  <c r="D10" i="5"/>
  <c r="F9" i="5"/>
  <c r="E9" i="5"/>
  <c r="D9" i="5"/>
  <c r="X77" i="4"/>
  <c r="Y77" i="4" s="1"/>
  <c r="V77" i="4"/>
  <c r="X76" i="4"/>
  <c r="Y76" i="4" s="1"/>
  <c r="V76" i="4"/>
  <c r="X75" i="4"/>
  <c r="Y75" i="4" s="1"/>
  <c r="V75" i="4"/>
  <c r="X74" i="4"/>
  <c r="Y74" i="4" s="1"/>
  <c r="V74" i="4"/>
  <c r="X73" i="4"/>
  <c r="Y73" i="4" s="1"/>
  <c r="V73" i="4"/>
  <c r="X72" i="4"/>
  <c r="Y72" i="4" s="1"/>
  <c r="V72" i="4"/>
  <c r="X71" i="4"/>
  <c r="Y71" i="4" s="1"/>
  <c r="V71" i="4"/>
  <c r="X70" i="4"/>
  <c r="Y70" i="4" s="1"/>
  <c r="V70" i="4"/>
  <c r="X69" i="4"/>
  <c r="Y69" i="4" s="1"/>
  <c r="V69" i="4"/>
  <c r="X68" i="4"/>
  <c r="Y68" i="4" s="1"/>
  <c r="V68" i="4"/>
  <c r="X67" i="4"/>
  <c r="Y67" i="4" s="1"/>
  <c r="V67" i="4"/>
  <c r="X66" i="4"/>
  <c r="Y66" i="4" s="1"/>
  <c r="V66" i="4"/>
  <c r="Y65" i="4"/>
  <c r="X65" i="4"/>
  <c r="V65" i="4"/>
  <c r="X64" i="4"/>
  <c r="Y64" i="4" s="1"/>
  <c r="V64" i="4"/>
  <c r="X63" i="4"/>
  <c r="Y63" i="4" s="1"/>
  <c r="V63" i="4"/>
  <c r="X62" i="4"/>
  <c r="Y62" i="4" s="1"/>
  <c r="V62" i="4"/>
  <c r="X61" i="4"/>
  <c r="Y61" i="4" s="1"/>
  <c r="V61" i="4"/>
  <c r="Y60" i="4"/>
  <c r="X60" i="4"/>
  <c r="V60" i="4"/>
  <c r="X59" i="4"/>
  <c r="Y59" i="4" s="1"/>
  <c r="V59" i="4"/>
  <c r="X58" i="4"/>
  <c r="Y58" i="4" s="1"/>
  <c r="V58" i="4"/>
  <c r="X57" i="4"/>
  <c r="Y57" i="4" s="1"/>
  <c r="V57" i="4"/>
  <c r="X56" i="4"/>
  <c r="Y56" i="4" s="1"/>
  <c r="V56" i="4"/>
  <c r="X55" i="4"/>
  <c r="Y55" i="4" s="1"/>
  <c r="V55" i="4"/>
  <c r="X54" i="4"/>
  <c r="Y54" i="4" s="1"/>
  <c r="V54" i="4"/>
  <c r="X53" i="4"/>
  <c r="Y53" i="4" s="1"/>
  <c r="V53" i="4"/>
  <c r="X52" i="4"/>
  <c r="Y52" i="4" s="1"/>
  <c r="V52" i="4"/>
  <c r="X51" i="4"/>
  <c r="Y51" i="4" s="1"/>
  <c r="V51" i="4"/>
  <c r="X50" i="4"/>
  <c r="Y50" i="4" s="1"/>
  <c r="V50" i="4"/>
  <c r="X49" i="4"/>
  <c r="Y49" i="4" s="1"/>
  <c r="V49" i="4"/>
  <c r="X48" i="4"/>
  <c r="Y48" i="4" s="1"/>
  <c r="V48" i="4"/>
  <c r="X47" i="4"/>
  <c r="Y47" i="4" s="1"/>
  <c r="V47" i="4"/>
  <c r="Y46" i="4"/>
  <c r="X46" i="4"/>
  <c r="V46" i="4"/>
  <c r="X45" i="4"/>
  <c r="Y45" i="4" s="1"/>
  <c r="V45" i="4"/>
  <c r="Y44" i="4"/>
  <c r="X44" i="4"/>
  <c r="V44" i="4"/>
  <c r="Y43" i="4"/>
  <c r="X43" i="4"/>
  <c r="V43" i="4"/>
  <c r="X42" i="4"/>
  <c r="Y42" i="4" s="1"/>
  <c r="V42" i="4"/>
  <c r="X41" i="4"/>
  <c r="Y41" i="4" s="1"/>
  <c r="V41" i="4"/>
  <c r="X40" i="4"/>
  <c r="Y40" i="4" s="1"/>
  <c r="V40" i="4"/>
  <c r="Y39" i="4"/>
  <c r="X39" i="4"/>
  <c r="V39" i="4"/>
  <c r="X38" i="4"/>
  <c r="Y38" i="4" s="1"/>
  <c r="V38" i="4"/>
  <c r="X37" i="4"/>
  <c r="Y37" i="4" s="1"/>
  <c r="V37" i="4"/>
  <c r="Y36" i="4"/>
  <c r="X36" i="4"/>
  <c r="V36" i="4"/>
  <c r="X35" i="4"/>
  <c r="Y35" i="4" s="1"/>
  <c r="V35" i="4"/>
  <c r="AB34" i="4"/>
  <c r="AB35" i="4" s="1"/>
  <c r="X34" i="4"/>
  <c r="Y34" i="4" s="1"/>
  <c r="V34" i="4"/>
  <c r="X33" i="4"/>
  <c r="Y33" i="4" s="1"/>
  <c r="V33" i="4"/>
  <c r="X32" i="4"/>
  <c r="F21" i="5" s="1"/>
  <c r="V32" i="4"/>
  <c r="X31" i="4"/>
  <c r="V31" i="4"/>
  <c r="X30" i="4"/>
  <c r="V30" i="4"/>
  <c r="X29" i="4"/>
  <c r="F20" i="8" s="1"/>
  <c r="V29" i="4"/>
  <c r="X28" i="4"/>
  <c r="F19" i="8" s="1"/>
  <c r="V28" i="4"/>
  <c r="X27" i="4"/>
  <c r="F18" i="8" s="1"/>
  <c r="V27" i="4"/>
  <c r="AE26" i="4"/>
  <c r="AC26" i="4"/>
  <c r="AA26" i="4"/>
  <c r="X26" i="4"/>
  <c r="F15" i="5" s="1"/>
  <c r="V26" i="4"/>
  <c r="X25" i="4"/>
  <c r="V25" i="4"/>
  <c r="X24" i="4"/>
  <c r="V24" i="4"/>
  <c r="X23" i="4"/>
  <c r="V23" i="4"/>
  <c r="AE22" i="4"/>
  <c r="AC22" i="4"/>
  <c r="X22" i="4"/>
  <c r="V22" i="4"/>
  <c r="X21" i="4"/>
  <c r="F12" i="8" s="1"/>
  <c r="V21" i="4"/>
  <c r="AA20" i="4"/>
  <c r="AA24" i="4" s="1"/>
  <c r="X20" i="4"/>
  <c r="V20" i="4"/>
  <c r="X19" i="4"/>
  <c r="Y19" i="4" s="1"/>
  <c r="V19" i="4"/>
  <c r="X18" i="4"/>
  <c r="F9" i="8" s="1"/>
  <c r="V18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AG220" i="3"/>
  <c r="X220" i="3"/>
  <c r="AC220" i="3" s="1"/>
  <c r="AG219" i="3"/>
  <c r="X219" i="3"/>
  <c r="AG218" i="3"/>
  <c r="X218" i="3"/>
  <c r="AE218" i="3" s="1"/>
  <c r="AG217" i="3"/>
  <c r="X217" i="3"/>
  <c r="AG216" i="3"/>
  <c r="X216" i="3"/>
  <c r="AE216" i="3" s="1"/>
  <c r="AG215" i="3"/>
  <c r="X215" i="3"/>
  <c r="AE215" i="3" s="1"/>
  <c r="AG214" i="3"/>
  <c r="X214" i="3"/>
  <c r="AG213" i="3"/>
  <c r="X213" i="3"/>
  <c r="AE213" i="3" s="1"/>
  <c r="AG212" i="3"/>
  <c r="X212" i="3"/>
  <c r="AC212" i="3" s="1"/>
  <c r="AG211" i="3"/>
  <c r="X211" i="3"/>
  <c r="AG210" i="3"/>
  <c r="X210" i="3"/>
  <c r="AC210" i="3" s="1"/>
  <c r="AG209" i="3"/>
  <c r="X209" i="3"/>
  <c r="AG208" i="3"/>
  <c r="X208" i="3"/>
  <c r="AG207" i="3"/>
  <c r="X207" i="3"/>
  <c r="Y207" i="3" s="1"/>
  <c r="AG206" i="3"/>
  <c r="X206" i="3"/>
  <c r="AG205" i="3"/>
  <c r="X205" i="3"/>
  <c r="AG204" i="3"/>
  <c r="X204" i="3"/>
  <c r="AE204" i="3" s="1"/>
  <c r="AG203" i="3"/>
  <c r="X203" i="3"/>
  <c r="AE203" i="3" s="1"/>
  <c r="AG202" i="3"/>
  <c r="X202" i="3"/>
  <c r="AE202" i="3" s="1"/>
  <c r="AG201" i="3"/>
  <c r="X201" i="3"/>
  <c r="AE201" i="3" s="1"/>
  <c r="AG200" i="3"/>
  <c r="X200" i="3"/>
  <c r="AC200" i="3" s="1"/>
  <c r="V200" i="3"/>
  <c r="M200" i="3"/>
  <c r="AG199" i="3"/>
  <c r="X199" i="3"/>
  <c r="AE199" i="3" s="1"/>
  <c r="V199" i="3"/>
  <c r="M199" i="3"/>
  <c r="AG198" i="3"/>
  <c r="X198" i="3"/>
  <c r="AE198" i="3" s="1"/>
  <c r="V198" i="3"/>
  <c r="M198" i="3"/>
  <c r="T198" i="3" s="1"/>
  <c r="AG197" i="3"/>
  <c r="X197" i="3"/>
  <c r="AE197" i="3" s="1"/>
  <c r="V197" i="3"/>
  <c r="M197" i="3"/>
  <c r="R197" i="3" s="1"/>
  <c r="AG196" i="3"/>
  <c r="X196" i="3"/>
  <c r="AE196" i="3" s="1"/>
  <c r="V196" i="3"/>
  <c r="M196" i="3"/>
  <c r="AG195" i="3"/>
  <c r="X195" i="3"/>
  <c r="AE195" i="3" s="1"/>
  <c r="V195" i="3"/>
  <c r="M195" i="3"/>
  <c r="AG194" i="3"/>
  <c r="X194" i="3"/>
  <c r="V194" i="3"/>
  <c r="M194" i="3"/>
  <c r="N194" i="3" s="1"/>
  <c r="S194" i="3" s="1"/>
  <c r="AG193" i="3"/>
  <c r="X193" i="3"/>
  <c r="V193" i="3"/>
  <c r="M193" i="3"/>
  <c r="AG192" i="3"/>
  <c r="X192" i="3"/>
  <c r="AE192" i="3" s="1"/>
  <c r="V192" i="3"/>
  <c r="M192" i="3"/>
  <c r="T192" i="3" s="1"/>
  <c r="AG191" i="3"/>
  <c r="X191" i="3"/>
  <c r="AE191" i="3" s="1"/>
  <c r="V191" i="3"/>
  <c r="M191" i="3"/>
  <c r="R191" i="3" s="1"/>
  <c r="AG190" i="3"/>
  <c r="X190" i="3"/>
  <c r="AC190" i="3" s="1"/>
  <c r="V190" i="3"/>
  <c r="M190" i="3"/>
  <c r="AG189" i="3"/>
  <c r="X189" i="3"/>
  <c r="AE189" i="3" s="1"/>
  <c r="V189" i="3"/>
  <c r="M189" i="3"/>
  <c r="AG188" i="3"/>
  <c r="X188" i="3"/>
  <c r="AE188" i="3" s="1"/>
  <c r="V188" i="3"/>
  <c r="M188" i="3"/>
  <c r="AG187" i="3"/>
  <c r="X187" i="3"/>
  <c r="Y187" i="3" s="1"/>
  <c r="V187" i="3"/>
  <c r="M187" i="3"/>
  <c r="R187" i="3" s="1"/>
  <c r="AG186" i="3"/>
  <c r="X186" i="3"/>
  <c r="AE186" i="3" s="1"/>
  <c r="V186" i="3"/>
  <c r="M186" i="3"/>
  <c r="AG185" i="3"/>
  <c r="X185" i="3"/>
  <c r="AC185" i="3" s="1"/>
  <c r="V185" i="3"/>
  <c r="M185" i="3"/>
  <c r="AG184" i="3"/>
  <c r="X184" i="3"/>
  <c r="AC184" i="3" s="1"/>
  <c r="V184" i="3"/>
  <c r="M184" i="3"/>
  <c r="T184" i="3" s="1"/>
  <c r="AG183" i="3"/>
  <c r="X183" i="3"/>
  <c r="V183" i="3"/>
  <c r="M183" i="3"/>
  <c r="T183" i="3" s="1"/>
  <c r="AG182" i="3"/>
  <c r="X182" i="3"/>
  <c r="AC182" i="3" s="1"/>
  <c r="V182" i="3"/>
  <c r="M182" i="3"/>
  <c r="AG181" i="3"/>
  <c r="X181" i="3"/>
  <c r="V181" i="3"/>
  <c r="M181" i="3"/>
  <c r="AG180" i="3"/>
  <c r="X180" i="3"/>
  <c r="AC180" i="3" s="1"/>
  <c r="V180" i="3"/>
  <c r="M180" i="3"/>
  <c r="AG179" i="3"/>
  <c r="X179" i="3"/>
  <c r="Y179" i="3" s="1"/>
  <c r="V179" i="3"/>
  <c r="M179" i="3"/>
  <c r="T179" i="3" s="1"/>
  <c r="AG178" i="3"/>
  <c r="X178" i="3"/>
  <c r="V178" i="3"/>
  <c r="M178" i="3"/>
  <c r="N178" i="3" s="1"/>
  <c r="P178" i="3" s="1"/>
  <c r="Q178" i="3" s="1"/>
  <c r="AG177" i="3"/>
  <c r="X177" i="3"/>
  <c r="V177" i="3"/>
  <c r="M177" i="3"/>
  <c r="T177" i="3" s="1"/>
  <c r="AG176" i="3"/>
  <c r="X176" i="3"/>
  <c r="AC176" i="3" s="1"/>
  <c r="V176" i="3"/>
  <c r="M176" i="3"/>
  <c r="AG175" i="3"/>
  <c r="X175" i="3"/>
  <c r="AC175" i="3" s="1"/>
  <c r="V175" i="3"/>
  <c r="M175" i="3"/>
  <c r="AG174" i="3"/>
  <c r="X174" i="3"/>
  <c r="V174" i="3"/>
  <c r="M174" i="3"/>
  <c r="N174" i="3" s="1"/>
  <c r="O174" i="3" s="1"/>
  <c r="AG173" i="3"/>
  <c r="X173" i="3"/>
  <c r="AC173" i="3" s="1"/>
  <c r="V173" i="3"/>
  <c r="M173" i="3"/>
  <c r="N173" i="3" s="1"/>
  <c r="S173" i="3" s="1"/>
  <c r="AG172" i="3"/>
  <c r="X172" i="3"/>
  <c r="Y172" i="3" s="1"/>
  <c r="V172" i="3"/>
  <c r="M172" i="3"/>
  <c r="T172" i="3" s="1"/>
  <c r="AG171" i="3"/>
  <c r="X171" i="3"/>
  <c r="Y171" i="3" s="1"/>
  <c r="V171" i="3"/>
  <c r="M171" i="3"/>
  <c r="AG170" i="3"/>
  <c r="X170" i="3"/>
  <c r="V170" i="3"/>
  <c r="M170" i="3"/>
  <c r="AG169" i="3"/>
  <c r="X169" i="3"/>
  <c r="V169" i="3"/>
  <c r="M169" i="3"/>
  <c r="AG168" i="3"/>
  <c r="X168" i="3"/>
  <c r="AE168" i="3" s="1"/>
  <c r="V168" i="3"/>
  <c r="M168" i="3"/>
  <c r="N168" i="3" s="1"/>
  <c r="AG167" i="3"/>
  <c r="X167" i="3"/>
  <c r="V167" i="3"/>
  <c r="M167" i="3"/>
  <c r="AG166" i="3"/>
  <c r="X166" i="3"/>
  <c r="V166" i="3"/>
  <c r="M166" i="3"/>
  <c r="N166" i="3" s="1"/>
  <c r="AG165" i="3"/>
  <c r="X165" i="3"/>
  <c r="AE165" i="3" s="1"/>
  <c r="V165" i="3"/>
  <c r="M165" i="3"/>
  <c r="AG164" i="3"/>
  <c r="X164" i="3"/>
  <c r="AC164" i="3" s="1"/>
  <c r="V164" i="3"/>
  <c r="M164" i="3"/>
  <c r="AG163" i="3"/>
  <c r="X163" i="3"/>
  <c r="Y163" i="3" s="1"/>
  <c r="V163" i="3"/>
  <c r="M163" i="3"/>
  <c r="AG162" i="3"/>
  <c r="X162" i="3"/>
  <c r="Y162" i="3" s="1"/>
  <c r="Z162" i="3" s="1"/>
  <c r="V162" i="3"/>
  <c r="M162" i="3"/>
  <c r="AG161" i="3"/>
  <c r="X161" i="3"/>
  <c r="AC161" i="3" s="1"/>
  <c r="V161" i="3"/>
  <c r="M161" i="3"/>
  <c r="T161" i="3" s="1"/>
  <c r="AG160" i="3"/>
  <c r="X160" i="3"/>
  <c r="V160" i="3"/>
  <c r="M160" i="3"/>
  <c r="R160" i="3" s="1"/>
  <c r="AG159" i="3"/>
  <c r="X159" i="3"/>
  <c r="Y159" i="3" s="1"/>
  <c r="AD159" i="3" s="1"/>
  <c r="V159" i="3"/>
  <c r="M159" i="3"/>
  <c r="R159" i="3" s="1"/>
  <c r="AG158" i="3"/>
  <c r="X158" i="3"/>
  <c r="AC158" i="3" s="1"/>
  <c r="V158" i="3"/>
  <c r="M158" i="3"/>
  <c r="R158" i="3" s="1"/>
  <c r="AG157" i="3"/>
  <c r="X157" i="3"/>
  <c r="V157" i="3"/>
  <c r="M157" i="3"/>
  <c r="R157" i="3" s="1"/>
  <c r="AG156" i="3"/>
  <c r="X156" i="3"/>
  <c r="V156" i="3"/>
  <c r="M156" i="3"/>
  <c r="R156" i="3" s="1"/>
  <c r="AG155" i="3"/>
  <c r="X155" i="3"/>
  <c r="AC155" i="3" s="1"/>
  <c r="V155" i="3"/>
  <c r="M155" i="3"/>
  <c r="R155" i="3" s="1"/>
  <c r="AG154" i="3"/>
  <c r="X154" i="3"/>
  <c r="V154" i="3"/>
  <c r="M154" i="3"/>
  <c r="R154" i="3" s="1"/>
  <c r="AG153" i="3"/>
  <c r="X153" i="3"/>
  <c r="AC153" i="3" s="1"/>
  <c r="V153" i="3"/>
  <c r="M153" i="3"/>
  <c r="R153" i="3" s="1"/>
  <c r="AG152" i="3"/>
  <c r="X152" i="3"/>
  <c r="AE152" i="3" s="1"/>
  <c r="V152" i="3"/>
  <c r="M152" i="3"/>
  <c r="R152" i="3" s="1"/>
  <c r="AG151" i="3"/>
  <c r="X151" i="3"/>
  <c r="AE151" i="3" s="1"/>
  <c r="V151" i="3"/>
  <c r="M151" i="3"/>
  <c r="R151" i="3" s="1"/>
  <c r="AG150" i="3"/>
  <c r="X150" i="3"/>
  <c r="V150" i="3"/>
  <c r="M150" i="3"/>
  <c r="R150" i="3" s="1"/>
  <c r="AG149" i="3"/>
  <c r="X149" i="3"/>
  <c r="AC149" i="3" s="1"/>
  <c r="V149" i="3"/>
  <c r="M149" i="3"/>
  <c r="R149" i="3" s="1"/>
  <c r="AG148" i="3"/>
  <c r="X148" i="3"/>
  <c r="AC148" i="3" s="1"/>
  <c r="V148" i="3"/>
  <c r="M148" i="3"/>
  <c r="T148" i="3" s="1"/>
  <c r="AG147" i="3"/>
  <c r="X147" i="3"/>
  <c r="AC147" i="3" s="1"/>
  <c r="V147" i="3"/>
  <c r="M147" i="3"/>
  <c r="T147" i="3" s="1"/>
  <c r="AG146" i="3"/>
  <c r="X146" i="3"/>
  <c r="AC146" i="3" s="1"/>
  <c r="V146" i="3"/>
  <c r="M146" i="3"/>
  <c r="AG145" i="3"/>
  <c r="X145" i="3"/>
  <c r="AC145" i="3" s="1"/>
  <c r="V145" i="3"/>
  <c r="M145" i="3"/>
  <c r="T145" i="3" s="1"/>
  <c r="AG144" i="3"/>
  <c r="X144" i="3"/>
  <c r="AC144" i="3" s="1"/>
  <c r="V144" i="3"/>
  <c r="M144" i="3"/>
  <c r="T144" i="3" s="1"/>
  <c r="AG143" i="3"/>
  <c r="X143" i="3"/>
  <c r="AC143" i="3" s="1"/>
  <c r="V143" i="3"/>
  <c r="M143" i="3"/>
  <c r="N143" i="3" s="1"/>
  <c r="P143" i="3" s="1"/>
  <c r="Q143" i="3" s="1"/>
  <c r="AG142" i="3"/>
  <c r="X142" i="3"/>
  <c r="AC142" i="3" s="1"/>
  <c r="V142" i="3"/>
  <c r="M142" i="3"/>
  <c r="R142" i="3" s="1"/>
  <c r="AG141" i="3"/>
  <c r="X141" i="3"/>
  <c r="AC141" i="3" s="1"/>
  <c r="V141" i="3"/>
  <c r="M141" i="3"/>
  <c r="AG140" i="3"/>
  <c r="X140" i="3"/>
  <c r="AC140" i="3" s="1"/>
  <c r="V140" i="3"/>
  <c r="M140" i="3"/>
  <c r="R140" i="3" s="1"/>
  <c r="AG139" i="3"/>
  <c r="X139" i="3"/>
  <c r="AC139" i="3" s="1"/>
  <c r="V139" i="3"/>
  <c r="M139" i="3"/>
  <c r="T139" i="3" s="1"/>
  <c r="AG138" i="3"/>
  <c r="X138" i="3"/>
  <c r="AC138" i="3" s="1"/>
  <c r="V138" i="3"/>
  <c r="M138" i="3"/>
  <c r="N138" i="3" s="1"/>
  <c r="O138" i="3" s="1"/>
  <c r="AG137" i="3"/>
  <c r="X137" i="3"/>
  <c r="AC137" i="3" s="1"/>
  <c r="V137" i="3"/>
  <c r="M137" i="3"/>
  <c r="T137" i="3" s="1"/>
  <c r="AG136" i="3"/>
  <c r="X136" i="3"/>
  <c r="AC136" i="3" s="1"/>
  <c r="V136" i="3"/>
  <c r="M136" i="3"/>
  <c r="R136" i="3" s="1"/>
  <c r="AG135" i="3"/>
  <c r="X135" i="3"/>
  <c r="V135" i="3"/>
  <c r="M135" i="3"/>
  <c r="AG134" i="3"/>
  <c r="X134" i="3"/>
  <c r="V134" i="3"/>
  <c r="M134" i="3"/>
  <c r="R134" i="3" s="1"/>
  <c r="AG133" i="3"/>
  <c r="X133" i="3"/>
  <c r="V133" i="3"/>
  <c r="M133" i="3"/>
  <c r="T133" i="3" s="1"/>
  <c r="AG132" i="3"/>
  <c r="X132" i="3"/>
  <c r="V132" i="3"/>
  <c r="M132" i="3"/>
  <c r="R132" i="3" s="1"/>
  <c r="AG131" i="3"/>
  <c r="X131" i="3"/>
  <c r="AE131" i="3" s="1"/>
  <c r="V131" i="3"/>
  <c r="M131" i="3"/>
  <c r="R131" i="3" s="1"/>
  <c r="AG130" i="3"/>
  <c r="X130" i="3"/>
  <c r="V130" i="3"/>
  <c r="M130" i="3"/>
  <c r="T130" i="3" s="1"/>
  <c r="AG129" i="3"/>
  <c r="X129" i="3"/>
  <c r="V129" i="3"/>
  <c r="M129" i="3"/>
  <c r="N129" i="3" s="1"/>
  <c r="S129" i="3" s="1"/>
  <c r="AG128" i="3"/>
  <c r="X128" i="3"/>
  <c r="AE128" i="3" s="1"/>
  <c r="V128" i="3"/>
  <c r="M128" i="3"/>
  <c r="R128" i="3" s="1"/>
  <c r="AG127" i="3"/>
  <c r="X127" i="3"/>
  <c r="AE127" i="3" s="1"/>
  <c r="V127" i="3"/>
  <c r="M127" i="3"/>
  <c r="R127" i="3" s="1"/>
  <c r="AG126" i="3"/>
  <c r="X126" i="3"/>
  <c r="V126" i="3"/>
  <c r="M126" i="3"/>
  <c r="T126" i="3" s="1"/>
  <c r="AG125" i="3"/>
  <c r="X125" i="3"/>
  <c r="AE125" i="3" s="1"/>
  <c r="V125" i="3"/>
  <c r="M125" i="3"/>
  <c r="T125" i="3" s="1"/>
  <c r="AG124" i="3"/>
  <c r="X124" i="3"/>
  <c r="V124" i="3"/>
  <c r="M124" i="3"/>
  <c r="AG123" i="3"/>
  <c r="X123" i="3"/>
  <c r="V123" i="3"/>
  <c r="M123" i="3"/>
  <c r="T123" i="3" s="1"/>
  <c r="AG122" i="3"/>
  <c r="X122" i="3"/>
  <c r="V122" i="3"/>
  <c r="M122" i="3"/>
  <c r="AG121" i="3"/>
  <c r="X121" i="3"/>
  <c r="V121" i="3"/>
  <c r="M121" i="3"/>
  <c r="T121" i="3" s="1"/>
  <c r="AG120" i="3"/>
  <c r="X120" i="3"/>
  <c r="V120" i="3"/>
  <c r="M120" i="3"/>
  <c r="AG119" i="3"/>
  <c r="X119" i="3"/>
  <c r="V119" i="3"/>
  <c r="M119" i="3"/>
  <c r="T119" i="3" s="1"/>
  <c r="AG118" i="3"/>
  <c r="X118" i="3"/>
  <c r="AE118" i="3" s="1"/>
  <c r="V118" i="3"/>
  <c r="M118" i="3"/>
  <c r="N118" i="3" s="1"/>
  <c r="AG117" i="3"/>
  <c r="X117" i="3"/>
  <c r="V117" i="3"/>
  <c r="M117" i="3"/>
  <c r="R117" i="3" s="1"/>
  <c r="AG116" i="3"/>
  <c r="X116" i="3"/>
  <c r="V116" i="3"/>
  <c r="M116" i="3"/>
  <c r="T116" i="3" s="1"/>
  <c r="AG115" i="3"/>
  <c r="X115" i="3"/>
  <c r="AE115" i="3" s="1"/>
  <c r="V115" i="3"/>
  <c r="M115" i="3"/>
  <c r="N115" i="3" s="1"/>
  <c r="AG114" i="3"/>
  <c r="X114" i="3"/>
  <c r="V114" i="3"/>
  <c r="M114" i="3"/>
  <c r="T114" i="3" s="1"/>
  <c r="AG113" i="3"/>
  <c r="X113" i="3"/>
  <c r="AC113" i="3" s="1"/>
  <c r="V113" i="3"/>
  <c r="M113" i="3"/>
  <c r="T113" i="3" s="1"/>
  <c r="AG112" i="3"/>
  <c r="X112" i="3"/>
  <c r="AC112" i="3" s="1"/>
  <c r="V112" i="3"/>
  <c r="M112" i="3"/>
  <c r="T112" i="3" s="1"/>
  <c r="AG111" i="3"/>
  <c r="X111" i="3"/>
  <c r="Y111" i="3" s="1"/>
  <c r="Z111" i="3" s="1"/>
  <c r="V111" i="3"/>
  <c r="M111" i="3"/>
  <c r="AG110" i="3"/>
  <c r="X110" i="3"/>
  <c r="Y110" i="3" s="1"/>
  <c r="Z110" i="3" s="1"/>
  <c r="V110" i="3"/>
  <c r="M110" i="3"/>
  <c r="AG109" i="3"/>
  <c r="X109" i="3"/>
  <c r="Y109" i="3" s="1"/>
  <c r="Z109" i="3" s="1"/>
  <c r="V109" i="3"/>
  <c r="M109" i="3"/>
  <c r="N109" i="3" s="1"/>
  <c r="AG108" i="3"/>
  <c r="X108" i="3"/>
  <c r="AC108" i="3" s="1"/>
  <c r="V108" i="3"/>
  <c r="M108" i="3"/>
  <c r="R108" i="3" s="1"/>
  <c r="AG107" i="3"/>
  <c r="X107" i="3"/>
  <c r="V107" i="3"/>
  <c r="M107" i="3"/>
  <c r="R107" i="3" s="1"/>
  <c r="AG106" i="3"/>
  <c r="X106" i="3"/>
  <c r="Y106" i="3" s="1"/>
  <c r="AD106" i="3" s="1"/>
  <c r="V106" i="3"/>
  <c r="M106" i="3"/>
  <c r="R106" i="3" s="1"/>
  <c r="AG105" i="3"/>
  <c r="X105" i="3"/>
  <c r="V105" i="3"/>
  <c r="M105" i="3"/>
  <c r="N105" i="3" s="1"/>
  <c r="AG104" i="3"/>
  <c r="X104" i="3"/>
  <c r="Y104" i="3" s="1"/>
  <c r="AA104" i="3" s="1"/>
  <c r="AB104" i="3" s="1"/>
  <c r="V104" i="3"/>
  <c r="M104" i="3"/>
  <c r="R104" i="3" s="1"/>
  <c r="AG103" i="3"/>
  <c r="X103" i="3"/>
  <c r="Y103" i="3" s="1"/>
  <c r="Z103" i="3" s="1"/>
  <c r="V103" i="3"/>
  <c r="M103" i="3"/>
  <c r="N103" i="3" s="1"/>
  <c r="AG102" i="3"/>
  <c r="X102" i="3"/>
  <c r="Y102" i="3" s="1"/>
  <c r="AD102" i="3" s="1"/>
  <c r="V102" i="3"/>
  <c r="M102" i="3"/>
  <c r="AG101" i="3"/>
  <c r="X101" i="3"/>
  <c r="AC101" i="3" s="1"/>
  <c r="V101" i="3"/>
  <c r="M101" i="3"/>
  <c r="R101" i="3" s="1"/>
  <c r="AG100" i="3"/>
  <c r="X100" i="3"/>
  <c r="AE100" i="3" s="1"/>
  <c r="V100" i="3"/>
  <c r="M100" i="3"/>
  <c r="AG99" i="3"/>
  <c r="X99" i="3"/>
  <c r="Y99" i="3" s="1"/>
  <c r="AD99" i="3" s="1"/>
  <c r="V99" i="3"/>
  <c r="M99" i="3"/>
  <c r="N99" i="3" s="1"/>
  <c r="O99" i="3" s="1"/>
  <c r="AG98" i="3"/>
  <c r="X98" i="3"/>
  <c r="AE98" i="3" s="1"/>
  <c r="V98" i="3"/>
  <c r="M98" i="3"/>
  <c r="AG97" i="3"/>
  <c r="X97" i="3"/>
  <c r="Y97" i="3" s="1"/>
  <c r="Z97" i="3" s="1"/>
  <c r="V97" i="3"/>
  <c r="M97" i="3"/>
  <c r="AG96" i="3"/>
  <c r="X96" i="3"/>
  <c r="Y96" i="3" s="1"/>
  <c r="AD96" i="3" s="1"/>
  <c r="V96" i="3"/>
  <c r="M96" i="3"/>
  <c r="N96" i="3" s="1"/>
  <c r="AG95" i="3"/>
  <c r="X95" i="3"/>
  <c r="V95" i="3"/>
  <c r="M95" i="3"/>
  <c r="R95" i="3" s="1"/>
  <c r="AG94" i="3"/>
  <c r="X94" i="3"/>
  <c r="AE94" i="3" s="1"/>
  <c r="V94" i="3"/>
  <c r="M94" i="3"/>
  <c r="N94" i="3" s="1"/>
  <c r="P94" i="3" s="1"/>
  <c r="Q94" i="3" s="1"/>
  <c r="AG93" i="3"/>
  <c r="X93" i="3"/>
  <c r="AC93" i="3" s="1"/>
  <c r="V93" i="3"/>
  <c r="M93" i="3"/>
  <c r="R93" i="3" s="1"/>
  <c r="AG92" i="3"/>
  <c r="X92" i="3"/>
  <c r="V92" i="3"/>
  <c r="M92" i="3"/>
  <c r="N92" i="3" s="1"/>
  <c r="P92" i="3" s="1"/>
  <c r="Q92" i="3" s="1"/>
  <c r="AG91" i="3"/>
  <c r="X91" i="3"/>
  <c r="Y91" i="3" s="1"/>
  <c r="AA91" i="3" s="1"/>
  <c r="AB91" i="3" s="1"/>
  <c r="V91" i="3"/>
  <c r="M91" i="3"/>
  <c r="AG90" i="3"/>
  <c r="X90" i="3"/>
  <c r="Y90" i="3" s="1"/>
  <c r="Z90" i="3" s="1"/>
  <c r="V90" i="3"/>
  <c r="M90" i="3"/>
  <c r="N90" i="3" s="1"/>
  <c r="S90" i="3" s="1"/>
  <c r="AG89" i="3"/>
  <c r="X89" i="3"/>
  <c r="Y89" i="3" s="1"/>
  <c r="AA89" i="3" s="1"/>
  <c r="AB89" i="3" s="1"/>
  <c r="V89" i="3"/>
  <c r="M89" i="3"/>
  <c r="T89" i="3" s="1"/>
  <c r="AG88" i="3"/>
  <c r="X88" i="3"/>
  <c r="Y88" i="3" s="1"/>
  <c r="AA88" i="3" s="1"/>
  <c r="AB88" i="3" s="1"/>
  <c r="V88" i="3"/>
  <c r="M88" i="3"/>
  <c r="N88" i="3" s="1"/>
  <c r="AG87" i="3"/>
  <c r="X87" i="3"/>
  <c r="AC87" i="3" s="1"/>
  <c r="V87" i="3"/>
  <c r="M87" i="3"/>
  <c r="AG86" i="3"/>
  <c r="X86" i="3"/>
  <c r="V86" i="3"/>
  <c r="M86" i="3"/>
  <c r="T86" i="3" s="1"/>
  <c r="AG85" i="3"/>
  <c r="X85" i="3"/>
  <c r="V85" i="3"/>
  <c r="M85" i="3"/>
  <c r="T85" i="3" s="1"/>
  <c r="AG84" i="3"/>
  <c r="X84" i="3"/>
  <c r="V84" i="3"/>
  <c r="M84" i="3"/>
  <c r="T84" i="3" s="1"/>
  <c r="AG83" i="3"/>
  <c r="X83" i="3"/>
  <c r="Y83" i="3" s="1"/>
  <c r="AD83" i="3" s="1"/>
  <c r="V83" i="3"/>
  <c r="M83" i="3"/>
  <c r="T83" i="3" s="1"/>
  <c r="AG82" i="3"/>
  <c r="X82" i="3"/>
  <c r="V82" i="3"/>
  <c r="M82" i="3"/>
  <c r="N82" i="3" s="1"/>
  <c r="S82" i="3" s="1"/>
  <c r="AG81" i="3"/>
  <c r="X81" i="3"/>
  <c r="Y81" i="3" s="1"/>
  <c r="AA81" i="3" s="1"/>
  <c r="AB81" i="3" s="1"/>
  <c r="V81" i="3"/>
  <c r="M81" i="3"/>
  <c r="AG80" i="3"/>
  <c r="X80" i="3"/>
  <c r="Y80" i="3" s="1"/>
  <c r="Z80" i="3" s="1"/>
  <c r="V80" i="3"/>
  <c r="M80" i="3"/>
  <c r="AG79" i="3"/>
  <c r="X79" i="3"/>
  <c r="Y79" i="3" s="1"/>
  <c r="AD79" i="3" s="1"/>
  <c r="V79" i="3"/>
  <c r="M79" i="3"/>
  <c r="T79" i="3" s="1"/>
  <c r="AG78" i="3"/>
  <c r="X78" i="3"/>
  <c r="V78" i="3"/>
  <c r="M78" i="3"/>
  <c r="N78" i="3" s="1"/>
  <c r="O78" i="3" s="1"/>
  <c r="AG77" i="3"/>
  <c r="X77" i="3"/>
  <c r="V77" i="3"/>
  <c r="M77" i="3"/>
  <c r="AG76" i="3"/>
  <c r="X76" i="3"/>
  <c r="V76" i="3"/>
  <c r="M76" i="3"/>
  <c r="N76" i="3" s="1"/>
  <c r="S76" i="3" s="1"/>
  <c r="AG75" i="3"/>
  <c r="X75" i="3"/>
  <c r="V75" i="3"/>
  <c r="M75" i="3"/>
  <c r="N75" i="3" s="1"/>
  <c r="S75" i="3" s="1"/>
  <c r="AG74" i="3"/>
  <c r="X74" i="3"/>
  <c r="V74" i="3"/>
  <c r="M74" i="3"/>
  <c r="N74" i="3" s="1"/>
  <c r="O74" i="3" s="1"/>
  <c r="AG73" i="3"/>
  <c r="X73" i="3"/>
  <c r="V73" i="3"/>
  <c r="M73" i="3"/>
  <c r="R73" i="3" s="1"/>
  <c r="AG72" i="3"/>
  <c r="X72" i="3"/>
  <c r="V72" i="3"/>
  <c r="M72" i="3"/>
  <c r="R72" i="3" s="1"/>
  <c r="AG71" i="3"/>
  <c r="X71" i="3"/>
  <c r="V71" i="3"/>
  <c r="M71" i="3"/>
  <c r="R71" i="3" s="1"/>
  <c r="AG70" i="3"/>
  <c r="X70" i="3"/>
  <c r="V70" i="3"/>
  <c r="M70" i="3"/>
  <c r="AG69" i="3"/>
  <c r="X69" i="3"/>
  <c r="V69" i="3"/>
  <c r="M69" i="3"/>
  <c r="AG68" i="3"/>
  <c r="X68" i="3"/>
  <c r="V68" i="3"/>
  <c r="M68" i="3"/>
  <c r="N68" i="3" s="1"/>
  <c r="S68" i="3" s="1"/>
  <c r="AG67" i="3"/>
  <c r="X67" i="3"/>
  <c r="V67" i="3"/>
  <c r="M67" i="3"/>
  <c r="T67" i="3" s="1"/>
  <c r="AG66" i="3"/>
  <c r="X66" i="3"/>
  <c r="V66" i="3"/>
  <c r="M66" i="3"/>
  <c r="R66" i="3" s="1"/>
  <c r="AG65" i="3"/>
  <c r="X65" i="3"/>
  <c r="V65" i="3"/>
  <c r="M65" i="3"/>
  <c r="R65" i="3" s="1"/>
  <c r="AG64" i="3"/>
  <c r="X64" i="3"/>
  <c r="V64" i="3"/>
  <c r="M64" i="3"/>
  <c r="R64" i="3" s="1"/>
  <c r="AG63" i="3"/>
  <c r="X63" i="3"/>
  <c r="V63" i="3"/>
  <c r="M63" i="3"/>
  <c r="R63" i="3" s="1"/>
  <c r="AG62" i="3"/>
  <c r="X62" i="3"/>
  <c r="V62" i="3"/>
  <c r="M62" i="3"/>
  <c r="N62" i="3" s="1"/>
  <c r="S62" i="3" s="1"/>
  <c r="AG61" i="3"/>
  <c r="X61" i="3"/>
  <c r="V61" i="3"/>
  <c r="M61" i="3"/>
  <c r="AG60" i="3"/>
  <c r="X60" i="3"/>
  <c r="V60" i="3"/>
  <c r="M60" i="3"/>
  <c r="N60" i="3" s="1"/>
  <c r="S60" i="3" s="1"/>
  <c r="AG59" i="3"/>
  <c r="X59" i="3"/>
  <c r="V59" i="3"/>
  <c r="M59" i="3"/>
  <c r="R59" i="3" s="1"/>
  <c r="AG58" i="3"/>
  <c r="X58" i="3"/>
  <c r="V58" i="3"/>
  <c r="M58" i="3"/>
  <c r="AG57" i="3"/>
  <c r="X57" i="3"/>
  <c r="V57" i="3"/>
  <c r="M57" i="3"/>
  <c r="N57" i="3" s="1"/>
  <c r="AG56" i="3"/>
  <c r="X56" i="3"/>
  <c r="V56" i="3"/>
  <c r="M56" i="3"/>
  <c r="AG55" i="3"/>
  <c r="X55" i="3"/>
  <c r="V55" i="3"/>
  <c r="M55" i="3"/>
  <c r="AG54" i="3"/>
  <c r="X54" i="3"/>
  <c r="V54" i="3"/>
  <c r="M54" i="3"/>
  <c r="AG53" i="3"/>
  <c r="X53" i="3"/>
  <c r="V53" i="3"/>
  <c r="M53" i="3"/>
  <c r="AG52" i="3"/>
  <c r="X52" i="3"/>
  <c r="V52" i="3"/>
  <c r="M52" i="3"/>
  <c r="AG51" i="3"/>
  <c r="X51" i="3"/>
  <c r="V51" i="3"/>
  <c r="M51" i="3"/>
  <c r="AG50" i="3"/>
  <c r="X50" i="3"/>
  <c r="V50" i="3"/>
  <c r="M50" i="3"/>
  <c r="AG49" i="3"/>
  <c r="X49" i="3"/>
  <c r="V49" i="3"/>
  <c r="M49" i="3"/>
  <c r="AG48" i="3"/>
  <c r="X48" i="3"/>
  <c r="V48" i="3"/>
  <c r="M48" i="3"/>
  <c r="AG47" i="3"/>
  <c r="X47" i="3"/>
  <c r="V47" i="3"/>
  <c r="M47" i="3"/>
  <c r="AG46" i="3"/>
  <c r="X46" i="3"/>
  <c r="V46" i="3"/>
  <c r="M46" i="3"/>
  <c r="AG45" i="3"/>
  <c r="X45" i="3"/>
  <c r="V45" i="3"/>
  <c r="M45" i="3"/>
  <c r="AG44" i="3"/>
  <c r="X44" i="3"/>
  <c r="V44" i="3"/>
  <c r="M44" i="3"/>
  <c r="AG43" i="3"/>
  <c r="X43" i="3"/>
  <c r="V43" i="3"/>
  <c r="M43" i="3"/>
  <c r="AG42" i="3"/>
  <c r="X42" i="3"/>
  <c r="V42" i="3"/>
  <c r="M42" i="3"/>
  <c r="AG41" i="3"/>
  <c r="X41" i="3"/>
  <c r="V41" i="3"/>
  <c r="M41" i="3"/>
  <c r="AG40" i="3"/>
  <c r="X40" i="3"/>
  <c r="V40" i="3"/>
  <c r="M40" i="3"/>
  <c r="AG39" i="3"/>
  <c r="X39" i="3"/>
  <c r="V39" i="3"/>
  <c r="M39" i="3"/>
  <c r="AG38" i="3"/>
  <c r="X38" i="3"/>
  <c r="V38" i="3"/>
  <c r="M38" i="3"/>
  <c r="AG37" i="3"/>
  <c r="X37" i="3"/>
  <c r="V37" i="3"/>
  <c r="M37" i="3"/>
  <c r="AG36" i="3"/>
  <c r="X36" i="3"/>
  <c r="V36" i="3"/>
  <c r="M36" i="3"/>
  <c r="AG35" i="3"/>
  <c r="X35" i="3"/>
  <c r="V35" i="3"/>
  <c r="M35" i="3"/>
  <c r="AG34" i="3"/>
  <c r="X34" i="3"/>
  <c r="V34" i="3"/>
  <c r="M34" i="3"/>
  <c r="V33" i="3"/>
  <c r="M33" i="3"/>
  <c r="V32" i="3"/>
  <c r="M32" i="3"/>
  <c r="V31" i="3"/>
  <c r="M31" i="3"/>
  <c r="V30" i="3"/>
  <c r="M30" i="3"/>
  <c r="V29" i="3"/>
  <c r="M29" i="3"/>
  <c r="V28" i="3"/>
  <c r="M28" i="3"/>
  <c r="V27" i="3"/>
  <c r="M27" i="3"/>
  <c r="V26" i="3"/>
  <c r="M26" i="3"/>
  <c r="V25" i="3"/>
  <c r="M25" i="3"/>
  <c r="V24" i="3"/>
  <c r="M24" i="3"/>
  <c r="V23" i="3"/>
  <c r="M23" i="3"/>
  <c r="V22" i="3"/>
  <c r="M22" i="3"/>
  <c r="V21" i="3"/>
  <c r="M21" i="3"/>
  <c r="V20" i="3"/>
  <c r="M20" i="3"/>
  <c r="V19" i="3"/>
  <c r="M19" i="3"/>
  <c r="V18" i="3"/>
  <c r="M18" i="3"/>
  <c r="V17" i="3"/>
  <c r="M17" i="3"/>
  <c r="V16" i="3"/>
  <c r="M16" i="3"/>
  <c r="V15" i="3"/>
  <c r="M15" i="3"/>
  <c r="V14" i="3"/>
  <c r="M14" i="3"/>
  <c r="E9" i="3"/>
  <c r="B9" i="3"/>
  <c r="L8" i="3"/>
  <c r="E8" i="3"/>
  <c r="B8" i="3"/>
  <c r="Q58" i="1"/>
  <c r="Q57" i="1"/>
  <c r="Q56" i="1"/>
  <c r="Q55" i="1"/>
  <c r="Q54" i="1"/>
  <c r="Q53" i="1"/>
  <c r="Q52" i="1"/>
  <c r="Q51" i="1"/>
  <c r="Q48" i="1"/>
  <c r="Q47" i="1"/>
  <c r="Q46" i="1"/>
  <c r="Q45" i="1"/>
  <c r="Q44" i="1"/>
  <c r="Q43" i="1"/>
  <c r="Q42" i="1"/>
  <c r="Q41" i="1"/>
  <c r="Q40" i="1"/>
  <c r="Q38" i="1"/>
  <c r="Q37" i="1"/>
  <c r="Q36" i="1"/>
  <c r="Q35" i="1"/>
  <c r="Q33" i="1"/>
  <c r="Q32" i="1"/>
  <c r="Q31" i="1"/>
  <c r="Q30" i="1"/>
  <c r="Q29" i="1"/>
  <c r="S29" i="1" s="1"/>
  <c r="W26" i="1"/>
  <c r="Y26" i="1" s="1"/>
  <c r="G26" i="1"/>
  <c r="H26" i="1" s="1"/>
  <c r="I26" i="1" s="1"/>
  <c r="Y25" i="1"/>
  <c r="X25" i="1"/>
  <c r="W25" i="1"/>
  <c r="H25" i="1"/>
  <c r="I25" i="1" s="1"/>
  <c r="G25" i="1"/>
  <c r="Y24" i="1"/>
  <c r="X24" i="1"/>
  <c r="W24" i="1"/>
  <c r="G24" i="1"/>
  <c r="H24" i="1" s="1"/>
  <c r="I24" i="1" s="1"/>
  <c r="X23" i="1"/>
  <c r="W23" i="1"/>
  <c r="Y23" i="1" s="1"/>
  <c r="H23" i="1"/>
  <c r="I23" i="1" s="1"/>
  <c r="G23" i="1"/>
  <c r="Y22" i="1"/>
  <c r="X22" i="1"/>
  <c r="W22" i="1"/>
  <c r="K22" i="1"/>
  <c r="H22" i="1"/>
  <c r="I22" i="1" s="1"/>
  <c r="G22" i="1"/>
  <c r="W21" i="1"/>
  <c r="X21" i="1" s="1"/>
  <c r="Q21" i="1"/>
  <c r="P21" i="1"/>
  <c r="H21" i="1"/>
  <c r="I21" i="1" s="1"/>
  <c r="G21" i="1"/>
  <c r="W20" i="1"/>
  <c r="Y20" i="1" s="1"/>
  <c r="Q20" i="1"/>
  <c r="P20" i="1"/>
  <c r="H20" i="1"/>
  <c r="I20" i="1" s="1"/>
  <c r="G20" i="1"/>
  <c r="X19" i="1"/>
  <c r="W19" i="1"/>
  <c r="Y19" i="1" s="1"/>
  <c r="Q19" i="1"/>
  <c r="P19" i="1"/>
  <c r="G19" i="1"/>
  <c r="H19" i="1" s="1"/>
  <c r="I19" i="1" s="1"/>
  <c r="W18" i="1"/>
  <c r="Y18" i="1" s="1"/>
  <c r="Q18" i="1"/>
  <c r="P18" i="1"/>
  <c r="H18" i="1"/>
  <c r="I18" i="1" s="1"/>
  <c r="G18" i="1"/>
  <c r="Y17" i="1"/>
  <c r="X17" i="1"/>
  <c r="W17" i="1"/>
  <c r="Q17" i="1"/>
  <c r="P17" i="1"/>
  <c r="H17" i="1"/>
  <c r="I17" i="1" s="1"/>
  <c r="G17" i="1"/>
  <c r="Y16" i="1"/>
  <c r="W16" i="1"/>
  <c r="X16" i="1" s="1"/>
  <c r="Q16" i="1"/>
  <c r="P16" i="1"/>
  <c r="G16" i="1"/>
  <c r="H16" i="1" s="1"/>
  <c r="I16" i="1" s="1"/>
  <c r="X15" i="1"/>
  <c r="W15" i="1"/>
  <c r="Y15" i="1" s="1"/>
  <c r="Q15" i="1"/>
  <c r="P15" i="1"/>
  <c r="K15" i="1"/>
  <c r="H15" i="1"/>
  <c r="I15" i="1" s="1"/>
  <c r="G15" i="1"/>
  <c r="W14" i="1"/>
  <c r="X14" i="1" s="1"/>
  <c r="Q14" i="1"/>
  <c r="P14" i="1"/>
  <c r="M14" i="1"/>
  <c r="H14" i="1"/>
  <c r="I14" i="1" s="1"/>
  <c r="G14" i="1"/>
  <c r="Y13" i="1"/>
  <c r="W13" i="1"/>
  <c r="X13" i="1" s="1"/>
  <c r="Q13" i="1"/>
  <c r="P13" i="1"/>
  <c r="I13" i="1"/>
  <c r="H13" i="1"/>
  <c r="G13" i="1"/>
  <c r="Y12" i="1"/>
  <c r="W12" i="1"/>
  <c r="X12" i="1" s="1"/>
  <c r="Q12" i="1"/>
  <c r="P12" i="1"/>
  <c r="I12" i="1"/>
  <c r="G12" i="1"/>
  <c r="H12" i="1" s="1"/>
  <c r="Y11" i="1"/>
  <c r="W11" i="1"/>
  <c r="X11" i="1" s="1"/>
  <c r="Q11" i="1"/>
  <c r="P11" i="1"/>
  <c r="G11" i="1"/>
  <c r="H11" i="1" s="1"/>
  <c r="I11" i="1" s="1"/>
  <c r="Y10" i="1"/>
  <c r="X10" i="1"/>
  <c r="W10" i="1"/>
  <c r="Q10" i="1"/>
  <c r="P10" i="1"/>
  <c r="H10" i="1"/>
  <c r="I10" i="1" s="1"/>
  <c r="G10" i="1"/>
  <c r="W9" i="1"/>
  <c r="X9" i="1" s="1"/>
  <c r="Q9" i="1"/>
  <c r="P9" i="1"/>
  <c r="G9" i="1"/>
  <c r="H9" i="1" s="1"/>
  <c r="I9" i="1" s="1"/>
  <c r="X8" i="1"/>
  <c r="W8" i="1"/>
  <c r="Y8" i="1" s="1"/>
  <c r="Q8" i="1"/>
  <c r="P8" i="1"/>
  <c r="H8" i="1"/>
  <c r="I8" i="1" s="1"/>
  <c r="G8" i="1"/>
  <c r="Y7" i="1"/>
  <c r="X7" i="1"/>
  <c r="W7" i="1"/>
  <c r="Q7" i="1"/>
  <c r="P7" i="1"/>
  <c r="G7" i="1"/>
  <c r="H7" i="1" s="1"/>
  <c r="I7" i="1" s="1"/>
  <c r="W6" i="1"/>
  <c r="Y6" i="1" s="1"/>
  <c r="Q6" i="1"/>
  <c r="P6" i="1"/>
  <c r="K6" i="1"/>
  <c r="B6" i="3" s="1"/>
  <c r="H6" i="1"/>
  <c r="I6" i="1" s="1"/>
  <c r="G6" i="1"/>
  <c r="Y5" i="1"/>
  <c r="X5" i="1"/>
  <c r="W5" i="1"/>
  <c r="Q5" i="1"/>
  <c r="P5" i="1"/>
  <c r="G5" i="1"/>
  <c r="H5" i="1" s="1"/>
  <c r="I5" i="1" s="1"/>
  <c r="Y4" i="1"/>
  <c r="X4" i="1"/>
  <c r="W4" i="1"/>
  <c r="Q4" i="1"/>
  <c r="P4" i="1"/>
  <c r="I4" i="1"/>
  <c r="H4" i="1"/>
  <c r="G4" i="1"/>
  <c r="Y3" i="1"/>
  <c r="W3" i="1"/>
  <c r="X3" i="1" s="1"/>
  <c r="T3" i="1"/>
  <c r="Q3" i="1"/>
  <c r="P3" i="1"/>
  <c r="G3" i="1"/>
  <c r="H3" i="1" s="1"/>
  <c r="I3" i="1" s="1"/>
  <c r="W2" i="1"/>
  <c r="Y2" i="1" s="1"/>
  <c r="T2" i="1"/>
  <c r="Q2" i="1"/>
  <c r="P2" i="1"/>
  <c r="H2" i="1"/>
  <c r="I2" i="1" s="1"/>
  <c r="G2" i="1"/>
  <c r="U18" i="7"/>
  <c r="T18" i="7"/>
  <c r="R18" i="7"/>
  <c r="U17" i="7"/>
  <c r="T17" i="7"/>
  <c r="U9" i="7"/>
  <c r="T9" i="7"/>
  <c r="R9" i="7"/>
  <c r="U8" i="7"/>
  <c r="T8" i="7"/>
  <c r="R8" i="7"/>
  <c r="A8" i="7"/>
  <c r="T4" i="1" l="1"/>
  <c r="E8" i="10"/>
  <c r="H8" i="9"/>
  <c r="C8" i="10"/>
  <c r="H8" i="10"/>
  <c r="AA30" i="4"/>
  <c r="D31" i="1"/>
  <c r="F31" i="1" s="1"/>
  <c r="P11" i="11"/>
  <c r="V8" i="12"/>
  <c r="I8" i="12" s="1"/>
  <c r="D32" i="1"/>
  <c r="Y18" i="4"/>
  <c r="F8" i="13"/>
  <c r="G8" i="13"/>
  <c r="V8" i="13" s="1"/>
  <c r="H8" i="13"/>
  <c r="X8" i="13" s="1"/>
  <c r="V10" i="12"/>
  <c r="W10" i="12" s="1"/>
  <c r="Y10" i="12" s="1"/>
  <c r="Q10" i="12" s="1"/>
  <c r="U27" i="3"/>
  <c r="AF50" i="3"/>
  <c r="AF85" i="3"/>
  <c r="AF105" i="3"/>
  <c r="AF160" i="3"/>
  <c r="AF59" i="3"/>
  <c r="AF64" i="3"/>
  <c r="AF74" i="3"/>
  <c r="AF169" i="3"/>
  <c r="AF174" i="3"/>
  <c r="U44" i="3"/>
  <c r="U41" i="3"/>
  <c r="U81" i="3"/>
  <c r="U91" i="3"/>
  <c r="AF53" i="3"/>
  <c r="AF63" i="3"/>
  <c r="AF68" i="3"/>
  <c r="AF123" i="3"/>
  <c r="AF133" i="3"/>
  <c r="AF178" i="3"/>
  <c r="U124" i="3"/>
  <c r="U164" i="3"/>
  <c r="U169" i="3"/>
  <c r="U189" i="3"/>
  <c r="U199" i="3"/>
  <c r="AF217" i="3"/>
  <c r="U70" i="3"/>
  <c r="U120" i="3"/>
  <c r="U135" i="3"/>
  <c r="U165" i="3"/>
  <c r="U170" i="3"/>
  <c r="U175" i="3"/>
  <c r="U180" i="3"/>
  <c r="U185" i="3"/>
  <c r="U190" i="3"/>
  <c r="U195" i="3"/>
  <c r="U200" i="3"/>
  <c r="AF209" i="3"/>
  <c r="AF219" i="3"/>
  <c r="U39" i="3"/>
  <c r="U28" i="3"/>
  <c r="U141" i="3"/>
  <c r="U146" i="3"/>
  <c r="U171" i="3"/>
  <c r="U176" i="3"/>
  <c r="U181" i="3"/>
  <c r="U186" i="3"/>
  <c r="U196" i="3"/>
  <c r="AF211" i="3"/>
  <c r="AF61" i="3"/>
  <c r="AF86" i="3"/>
  <c r="U30" i="3"/>
  <c r="U42" i="3"/>
  <c r="U77" i="3"/>
  <c r="U87" i="3"/>
  <c r="U122" i="3"/>
  <c r="U162" i="3"/>
  <c r="U167" i="3"/>
  <c r="U182" i="3"/>
  <c r="AF57" i="3"/>
  <c r="AF107" i="3"/>
  <c r="AF122" i="3"/>
  <c r="AF132" i="3"/>
  <c r="AF177" i="3"/>
  <c r="U32" i="3"/>
  <c r="U38" i="3"/>
  <c r="U163" i="3"/>
  <c r="U188" i="3"/>
  <c r="U193" i="3"/>
  <c r="AF205" i="3"/>
  <c r="AF131" i="3"/>
  <c r="N125" i="3"/>
  <c r="O125" i="3" s="1"/>
  <c r="U125" i="3"/>
  <c r="AC96" i="3"/>
  <c r="AF140" i="3"/>
  <c r="AE140" i="3"/>
  <c r="AE102" i="3"/>
  <c r="N150" i="3"/>
  <c r="S150" i="3" s="1"/>
  <c r="AF102" i="3"/>
  <c r="AC189" i="3"/>
  <c r="N177" i="3"/>
  <c r="O177" i="3" s="1"/>
  <c r="T187" i="3"/>
  <c r="N81" i="3"/>
  <c r="S81" i="3" s="1"/>
  <c r="AF141" i="3"/>
  <c r="Y205" i="3"/>
  <c r="AA205" i="3" s="1"/>
  <c r="AB205" i="3" s="1"/>
  <c r="Y113" i="3"/>
  <c r="Z113" i="3" s="1"/>
  <c r="AC186" i="3"/>
  <c r="AF81" i="3"/>
  <c r="AC100" i="3"/>
  <c r="U119" i="3"/>
  <c r="N128" i="3"/>
  <c r="S128" i="3" s="1"/>
  <c r="N137" i="3"/>
  <c r="S137" i="3" s="1"/>
  <c r="N154" i="3"/>
  <c r="O154" i="3" s="1"/>
  <c r="R178" i="3"/>
  <c r="AC219" i="3"/>
  <c r="T128" i="3"/>
  <c r="R137" i="3"/>
  <c r="T178" i="3"/>
  <c r="AE210" i="3"/>
  <c r="AE219" i="3"/>
  <c r="AE96" i="3"/>
  <c r="AF96" i="3"/>
  <c r="AE146" i="3"/>
  <c r="AE81" i="3"/>
  <c r="AF146" i="3"/>
  <c r="AC179" i="3"/>
  <c r="U65" i="3"/>
  <c r="AE176" i="3"/>
  <c r="T180" i="3"/>
  <c r="R189" i="3"/>
  <c r="R148" i="3"/>
  <c r="N180" i="3"/>
  <c r="P180" i="3" s="1"/>
  <c r="Q180" i="3" s="1"/>
  <c r="AF144" i="3"/>
  <c r="AE113" i="3"/>
  <c r="T149" i="3"/>
  <c r="AF153" i="3"/>
  <c r="U140" i="3"/>
  <c r="N148" i="3"/>
  <c r="P148" i="3" s="1"/>
  <c r="Q148" i="3" s="1"/>
  <c r="Y219" i="3"/>
  <c r="Z219" i="3" s="1"/>
  <c r="N73" i="3"/>
  <c r="S73" i="3" s="1"/>
  <c r="AE144" i="3"/>
  <c r="AC211" i="3"/>
  <c r="T162" i="3"/>
  <c r="AE212" i="3"/>
  <c r="AF137" i="3"/>
  <c r="AC204" i="3"/>
  <c r="N70" i="3"/>
  <c r="S70" i="3" s="1"/>
  <c r="R70" i="3"/>
  <c r="AC162" i="3"/>
  <c r="AE205" i="3"/>
  <c r="T70" i="3"/>
  <c r="AF162" i="3"/>
  <c r="N184" i="3"/>
  <c r="O184" i="3" s="1"/>
  <c r="N112" i="3"/>
  <c r="P112" i="3" s="1"/>
  <c r="Q112" i="3" s="1"/>
  <c r="R138" i="3"/>
  <c r="R57" i="3"/>
  <c r="AE107" i="3"/>
  <c r="R112" i="3"/>
  <c r="T138" i="3"/>
  <c r="T154" i="3"/>
  <c r="T163" i="3"/>
  <c r="U138" i="3"/>
  <c r="U154" i="3"/>
  <c r="U112" i="3"/>
  <c r="U150" i="3"/>
  <c r="AD81" i="3"/>
  <c r="Y184" i="3"/>
  <c r="AA184" i="3" s="1"/>
  <c r="AB184" i="3" s="1"/>
  <c r="U74" i="3"/>
  <c r="U116" i="3"/>
  <c r="T142" i="3"/>
  <c r="N172" i="3"/>
  <c r="O172" i="3" s="1"/>
  <c r="T197" i="3"/>
  <c r="N158" i="3"/>
  <c r="P158" i="3" s="1"/>
  <c r="Q158" i="3" s="1"/>
  <c r="R129" i="3"/>
  <c r="AE148" i="3"/>
  <c r="AF54" i="3"/>
  <c r="R90" i="3"/>
  <c r="N185" i="3"/>
  <c r="P185" i="3" s="1"/>
  <c r="Q185" i="3" s="1"/>
  <c r="R182" i="3"/>
  <c r="AE109" i="3"/>
  <c r="U113" i="3"/>
  <c r="N124" i="3"/>
  <c r="S124" i="3" s="1"/>
  <c r="AF142" i="3"/>
  <c r="R146" i="3"/>
  <c r="U155" i="3"/>
  <c r="AE158" i="3"/>
  <c r="R68" i="3"/>
  <c r="AE79" i="3"/>
  <c r="AF90" i="3"/>
  <c r="R94" i="3"/>
  <c r="N106" i="3"/>
  <c r="P106" i="3" s="1"/>
  <c r="Q106" i="3" s="1"/>
  <c r="R124" i="3"/>
  <c r="N133" i="3"/>
  <c r="S133" i="3" s="1"/>
  <c r="N149" i="3"/>
  <c r="S149" i="3" s="1"/>
  <c r="AF158" i="3"/>
  <c r="AC195" i="3"/>
  <c r="R74" i="3"/>
  <c r="N197" i="3"/>
  <c r="P197" i="3" s="1"/>
  <c r="Q197" i="3" s="1"/>
  <c r="N191" i="3"/>
  <c r="P191" i="3" s="1"/>
  <c r="Q191" i="3" s="1"/>
  <c r="AF58" i="3"/>
  <c r="N71" i="3"/>
  <c r="S71" i="3" s="1"/>
  <c r="AE175" i="3"/>
  <c r="Y215" i="3"/>
  <c r="AA215" i="3" s="1"/>
  <c r="AB215" i="3" s="1"/>
  <c r="N179" i="3"/>
  <c r="S179" i="3" s="1"/>
  <c r="U71" i="3"/>
  <c r="AC79" i="3"/>
  <c r="U121" i="3"/>
  <c r="T185" i="3"/>
  <c r="AF79" i="3"/>
  <c r="T124" i="3"/>
  <c r="R133" i="3"/>
  <c r="T140" i="3"/>
  <c r="N162" i="3"/>
  <c r="S162" i="3" s="1"/>
  <c r="T173" i="3"/>
  <c r="N189" i="3"/>
  <c r="P189" i="3" s="1"/>
  <c r="Q189" i="3" s="1"/>
  <c r="AC207" i="3"/>
  <c r="AE207" i="3"/>
  <c r="T129" i="3"/>
  <c r="N130" i="3"/>
  <c r="S130" i="3" s="1"/>
  <c r="N196" i="3"/>
  <c r="P196" i="3" s="1"/>
  <c r="Q196" i="3" s="1"/>
  <c r="N199" i="3"/>
  <c r="P199" i="3" s="1"/>
  <c r="Q199" i="3" s="1"/>
  <c r="Y217" i="3"/>
  <c r="AA217" i="3" s="1"/>
  <c r="AB217" i="3" s="1"/>
  <c r="N123" i="3"/>
  <c r="O123" i="3" s="1"/>
  <c r="T194" i="3"/>
  <c r="N136" i="3"/>
  <c r="S136" i="3" s="1"/>
  <c r="U151" i="3"/>
  <c r="U129" i="3"/>
  <c r="Y158" i="3"/>
  <c r="AA158" i="3" s="1"/>
  <c r="AB158" i="3" s="1"/>
  <c r="U84" i="3"/>
  <c r="R99" i="3"/>
  <c r="AC106" i="3"/>
  <c r="R118" i="3"/>
  <c r="R122" i="3"/>
  <c r="U137" i="3"/>
  <c r="AE143" i="3"/>
  <c r="T153" i="3"/>
  <c r="U156" i="3"/>
  <c r="T159" i="3"/>
  <c r="N170" i="3"/>
  <c r="S170" i="3" s="1"/>
  <c r="Y173" i="3"/>
  <c r="AA173" i="3" s="1"/>
  <c r="AB173" i="3" s="1"/>
  <c r="R183" i="3"/>
  <c r="N193" i="3"/>
  <c r="S193" i="3" s="1"/>
  <c r="R196" i="3"/>
  <c r="R199" i="3"/>
  <c r="AC217" i="3"/>
  <c r="Y160" i="3"/>
  <c r="AA160" i="3" s="1"/>
  <c r="AB160" i="3" s="1"/>
  <c r="U123" i="3"/>
  <c r="T136" i="3"/>
  <c r="AC168" i="3"/>
  <c r="AC202" i="3"/>
  <c r="U76" i="3"/>
  <c r="U149" i="3"/>
  <c r="N183" i="3"/>
  <c r="P183" i="3" s="1"/>
  <c r="Q183" i="3" s="1"/>
  <c r="N65" i="3"/>
  <c r="S65" i="3" s="1"/>
  <c r="T118" i="3"/>
  <c r="T122" i="3"/>
  <c r="AF143" i="3"/>
  <c r="U153" i="3"/>
  <c r="U159" i="3"/>
  <c r="T170" i="3"/>
  <c r="AE173" i="3"/>
  <c r="T196" i="3"/>
  <c r="T199" i="3"/>
  <c r="AE217" i="3"/>
  <c r="T168" i="3"/>
  <c r="T151" i="3"/>
  <c r="R82" i="3"/>
  <c r="N126" i="3"/>
  <c r="S126" i="3" s="1"/>
  <c r="U142" i="3"/>
  <c r="Y168" i="3"/>
  <c r="AD168" i="3" s="1"/>
  <c r="AE164" i="3"/>
  <c r="N182" i="3"/>
  <c r="O182" i="3" s="1"/>
  <c r="AF164" i="3"/>
  <c r="U126" i="3"/>
  <c r="AE142" i="3"/>
  <c r="AF175" i="3"/>
  <c r="AF60" i="3"/>
  <c r="N122" i="3"/>
  <c r="S122" i="3" s="1"/>
  <c r="N153" i="3"/>
  <c r="O153" i="3" s="1"/>
  <c r="N159" i="3"/>
  <c r="S159" i="3" s="1"/>
  <c r="T65" i="3"/>
  <c r="AF76" i="3"/>
  <c r="U114" i="3"/>
  <c r="U118" i="3"/>
  <c r="AE137" i="3"/>
  <c r="AE162" i="3"/>
  <c r="AF173" i="3"/>
  <c r="R180" i="3"/>
  <c r="Y186" i="3"/>
  <c r="Z186" i="3" s="1"/>
  <c r="R193" i="3"/>
  <c r="AC205" i="3"/>
  <c r="AE211" i="3"/>
  <c r="R123" i="3"/>
  <c r="N93" i="3"/>
  <c r="P93" i="3" s="1"/>
  <c r="Q93" i="3" s="1"/>
  <c r="AE160" i="3"/>
  <c r="Y175" i="3"/>
  <c r="Z175" i="3" s="1"/>
  <c r="T191" i="3"/>
  <c r="U136" i="3"/>
  <c r="R113" i="3"/>
  <c r="N146" i="3"/>
  <c r="S146" i="3" s="1"/>
  <c r="AF172" i="3"/>
  <c r="T193" i="3"/>
  <c r="AF128" i="3"/>
  <c r="AC160" i="3"/>
  <c r="R126" i="3"/>
  <c r="N113" i="3"/>
  <c r="S113" i="3" s="1"/>
  <c r="N155" i="3"/>
  <c r="S155" i="3" s="1"/>
  <c r="T71" i="3"/>
  <c r="AF139" i="3"/>
  <c r="AF168" i="3"/>
  <c r="R185" i="3"/>
  <c r="AC215" i="3"/>
  <c r="N85" i="3"/>
  <c r="AE88" i="3"/>
  <c r="AC103" i="3"/>
  <c r="R125" i="3"/>
  <c r="T131" i="3"/>
  <c r="U144" i="3"/>
  <c r="AE147" i="3"/>
  <c r="T150" i="3"/>
  <c r="N157" i="3"/>
  <c r="P157" i="3" s="1"/>
  <c r="Q157" i="3" s="1"/>
  <c r="AC196" i="3"/>
  <c r="AC218" i="3"/>
  <c r="R194" i="3"/>
  <c r="T74" i="3"/>
  <c r="AF66" i="3"/>
  <c r="AF148" i="3"/>
  <c r="R84" i="3"/>
  <c r="AF88" i="3"/>
  <c r="AE103" i="3"/>
  <c r="U131" i="3"/>
  <c r="T157" i="3"/>
  <c r="AF82" i="3"/>
  <c r="R85" i="3"/>
  <c r="AF103" i="3"/>
  <c r="U157" i="3"/>
  <c r="S168" i="3"/>
  <c r="O168" i="3"/>
  <c r="O166" i="3"/>
  <c r="P166" i="3"/>
  <c r="Q166" i="3" s="1"/>
  <c r="AE85" i="3"/>
  <c r="N114" i="3"/>
  <c r="P114" i="3" s="1"/>
  <c r="Q114" i="3" s="1"/>
  <c r="N119" i="3"/>
  <c r="S119" i="3" s="1"/>
  <c r="AE133" i="3"/>
  <c r="N161" i="3"/>
  <c r="P161" i="3" s="1"/>
  <c r="Q161" i="3" s="1"/>
  <c r="Y165" i="3"/>
  <c r="AD165" i="3" s="1"/>
  <c r="N171" i="3"/>
  <c r="S171" i="3" s="1"/>
  <c r="N192" i="3"/>
  <c r="P192" i="3" s="1"/>
  <c r="Q192" i="3" s="1"/>
  <c r="R114" i="3"/>
  <c r="R119" i="3"/>
  <c r="T171" i="3"/>
  <c r="R192" i="3"/>
  <c r="AC203" i="3"/>
  <c r="N147" i="3"/>
  <c r="S147" i="3" s="1"/>
  <c r="AE171" i="3"/>
  <c r="Y203" i="3"/>
  <c r="AA203" i="3" s="1"/>
  <c r="AB203" i="3" s="1"/>
  <c r="N127" i="3"/>
  <c r="S127" i="3" s="1"/>
  <c r="N132" i="3"/>
  <c r="O132" i="3" s="1"/>
  <c r="U152" i="3"/>
  <c r="T166" i="3"/>
  <c r="R195" i="3"/>
  <c r="AC89" i="3"/>
  <c r="N186" i="3"/>
  <c r="O186" i="3" s="1"/>
  <c r="R188" i="3"/>
  <c r="T195" i="3"/>
  <c r="Y213" i="3"/>
  <c r="AA213" i="3" s="1"/>
  <c r="AB213" i="3" s="1"/>
  <c r="AF51" i="3"/>
  <c r="N63" i="3"/>
  <c r="S63" i="3" s="1"/>
  <c r="T72" i="3"/>
  <c r="AC86" i="3"/>
  <c r="AE89" i="3"/>
  <c r="AF94" i="3"/>
  <c r="AC104" i="3"/>
  <c r="AA110" i="3"/>
  <c r="AB110" i="3" s="1"/>
  <c r="R115" i="3"/>
  <c r="N120" i="3"/>
  <c r="S120" i="3" s="1"/>
  <c r="T127" i="3"/>
  <c r="T132" i="3"/>
  <c r="N139" i="3"/>
  <c r="S139" i="3" s="1"/>
  <c r="R141" i="3"/>
  <c r="R143" i="3"/>
  <c r="U145" i="3"/>
  <c r="U147" i="3"/>
  <c r="AE149" i="3"/>
  <c r="N160" i="3"/>
  <c r="O160" i="3" s="1"/>
  <c r="T169" i="3"/>
  <c r="T174" i="3"/>
  <c r="R181" i="3"/>
  <c r="R186" i="3"/>
  <c r="T188" i="3"/>
  <c r="N200" i="3"/>
  <c r="P200" i="3" s="1"/>
  <c r="Q200" i="3" s="1"/>
  <c r="Y209" i="3"/>
  <c r="AA209" i="3" s="1"/>
  <c r="AB209" i="3" s="1"/>
  <c r="N107" i="3"/>
  <c r="S107" i="3" s="1"/>
  <c r="R147" i="3"/>
  <c r="N181" i="3"/>
  <c r="P181" i="3" s="1"/>
  <c r="Q181" i="3" s="1"/>
  <c r="AF65" i="3"/>
  <c r="U72" i="3"/>
  <c r="AF89" i="3"/>
  <c r="AE104" i="3"/>
  <c r="AC110" i="3"/>
  <c r="T115" i="3"/>
  <c r="R120" i="3"/>
  <c r="U127" i="3"/>
  <c r="U132" i="3"/>
  <c r="R139" i="3"/>
  <c r="T141" i="3"/>
  <c r="T143" i="3"/>
  <c r="AF149" i="3"/>
  <c r="T164" i="3"/>
  <c r="T181" i="3"/>
  <c r="T186" i="3"/>
  <c r="R200" i="3"/>
  <c r="AC213" i="3"/>
  <c r="C8" i="6"/>
  <c r="AC171" i="3"/>
  <c r="AE180" i="3"/>
  <c r="AE136" i="3"/>
  <c r="AF91" i="3"/>
  <c r="T117" i="3"/>
  <c r="AF136" i="3"/>
  <c r="AE161" i="3"/>
  <c r="Y178" i="3"/>
  <c r="AA178" i="3" s="1"/>
  <c r="AB178" i="3" s="1"/>
  <c r="AF97" i="3"/>
  <c r="N141" i="3"/>
  <c r="S141" i="3" s="1"/>
  <c r="T176" i="3"/>
  <c r="AF104" i="3"/>
  <c r="AD110" i="3"/>
  <c r="T120" i="3"/>
  <c r="T200" i="3"/>
  <c r="AC209" i="3"/>
  <c r="AF48" i="3"/>
  <c r="AF56" i="3"/>
  <c r="N66" i="3"/>
  <c r="S66" i="3" s="1"/>
  <c r="R75" i="3"/>
  <c r="AE110" i="3"/>
  <c r="R130" i="3"/>
  <c r="N135" i="3"/>
  <c r="P135" i="3" s="1"/>
  <c r="Q135" i="3" s="1"/>
  <c r="U139" i="3"/>
  <c r="AE145" i="3"/>
  <c r="AF147" i="3"/>
  <c r="T155" i="3"/>
  <c r="T158" i="3"/>
  <c r="U160" i="3"/>
  <c r="N167" i="3"/>
  <c r="P167" i="3" s="1"/>
  <c r="Q167" i="3" s="1"/>
  <c r="Y174" i="3"/>
  <c r="AA174" i="3" s="1"/>
  <c r="AB174" i="3" s="1"/>
  <c r="AF176" i="3"/>
  <c r="R179" i="3"/>
  <c r="R184" i="3"/>
  <c r="Y188" i="3"/>
  <c r="Z188" i="3" s="1"/>
  <c r="N198" i="3"/>
  <c r="P198" i="3" s="1"/>
  <c r="Q198" i="3" s="1"/>
  <c r="AE209" i="3"/>
  <c r="N117" i="3"/>
  <c r="S117" i="3" s="1"/>
  <c r="N134" i="3"/>
  <c r="S134" i="3" s="1"/>
  <c r="AC97" i="3"/>
  <c r="N195" i="3"/>
  <c r="P195" i="3" s="1"/>
  <c r="Q195" i="3" s="1"/>
  <c r="AF171" i="3"/>
  <c r="T190" i="3"/>
  <c r="AF47" i="3"/>
  <c r="U134" i="3"/>
  <c r="AE178" i="3"/>
  <c r="T160" i="3"/>
  <c r="T75" i="3"/>
  <c r="AF110" i="3"/>
  <c r="R135" i="3"/>
  <c r="AF145" i="3"/>
  <c r="U158" i="3"/>
  <c r="T167" i="3"/>
  <c r="AC174" i="3"/>
  <c r="R198" i="3"/>
  <c r="N59" i="3"/>
  <c r="S59" i="3" s="1"/>
  <c r="AF138" i="3"/>
  <c r="AC192" i="3"/>
  <c r="N72" i="3"/>
  <c r="S72" i="3" s="1"/>
  <c r="AF159" i="3"/>
  <c r="N188" i="3"/>
  <c r="P188" i="3" s="1"/>
  <c r="Q188" i="3" s="1"/>
  <c r="U115" i="3"/>
  <c r="U143" i="3"/>
  <c r="AF52" i="3"/>
  <c r="U75" i="3"/>
  <c r="U130" i="3"/>
  <c r="T135" i="3"/>
  <c r="AE139" i="3"/>
  <c r="AE141" i="3"/>
  <c r="AE174" i="3"/>
  <c r="T152" i="3"/>
  <c r="AE97" i="3"/>
  <c r="R145" i="3"/>
  <c r="U117" i="3"/>
  <c r="AF55" i="3"/>
  <c r="N164" i="3"/>
  <c r="S164" i="3" s="1"/>
  <c r="N67" i="3"/>
  <c r="O67" i="3" s="1"/>
  <c r="R83" i="3"/>
  <c r="AE138" i="3"/>
  <c r="AC159" i="3"/>
  <c r="AE185" i="3"/>
  <c r="AC80" i="3"/>
  <c r="AE91" i="3"/>
  <c r="AE159" i="3"/>
  <c r="T134" i="3"/>
  <c r="U35" i="3"/>
  <c r="AF80" i="3"/>
  <c r="N169" i="3"/>
  <c r="O169" i="3" s="1"/>
  <c r="Z79" i="3"/>
  <c r="AC90" i="3"/>
  <c r="N165" i="3"/>
  <c r="P165" i="3" s="1"/>
  <c r="Q165" i="3" s="1"/>
  <c r="AF49" i="3"/>
  <c r="T73" i="3"/>
  <c r="R76" i="3"/>
  <c r="AA79" i="3"/>
  <c r="AB79" i="3" s="1"/>
  <c r="U85" i="3"/>
  <c r="AD90" i="3"/>
  <c r="AE111" i="3"/>
  <c r="AF113" i="3"/>
  <c r="R116" i="3"/>
  <c r="R121" i="3"/>
  <c r="AE123" i="3"/>
  <c r="U128" i="3"/>
  <c r="N131" i="3"/>
  <c r="S131" i="3" s="1"/>
  <c r="N140" i="3"/>
  <c r="O140" i="3" s="1"/>
  <c r="N142" i="3"/>
  <c r="S142" i="3" s="1"/>
  <c r="R144" i="3"/>
  <c r="T146" i="3"/>
  <c r="U148" i="3"/>
  <c r="Y153" i="3"/>
  <c r="Z153" i="3" s="1"/>
  <c r="N156" i="3"/>
  <c r="S156" i="3" s="1"/>
  <c r="T165" i="3"/>
  <c r="N175" i="3"/>
  <c r="P175" i="3" s="1"/>
  <c r="Q175" i="3" s="1"/>
  <c r="T182" i="3"/>
  <c r="N187" i="3"/>
  <c r="S187" i="3" s="1"/>
  <c r="AC201" i="3"/>
  <c r="R86" i="3"/>
  <c r="N152" i="3"/>
  <c r="O152" i="3" s="1"/>
  <c r="N190" i="3"/>
  <c r="P190" i="3" s="1"/>
  <c r="Q190" i="3" s="1"/>
  <c r="U86" i="3"/>
  <c r="N145" i="3"/>
  <c r="P145" i="3" s="1"/>
  <c r="Q145" i="3" s="1"/>
  <c r="R190" i="3"/>
  <c r="AC199" i="3"/>
  <c r="AF62" i="3"/>
  <c r="AE80" i="3"/>
  <c r="N176" i="3"/>
  <c r="P176" i="3" s="1"/>
  <c r="Q176" i="3" s="1"/>
  <c r="U37" i="3"/>
  <c r="AC111" i="3"/>
  <c r="N116" i="3"/>
  <c r="S116" i="3" s="1"/>
  <c r="N121" i="3"/>
  <c r="S121" i="3" s="1"/>
  <c r="N144" i="3"/>
  <c r="S144" i="3" s="1"/>
  <c r="Y201" i="3"/>
  <c r="AA201" i="3" s="1"/>
  <c r="AB201" i="3" s="1"/>
  <c r="U73" i="3"/>
  <c r="T76" i="3"/>
  <c r="AE90" i="3"/>
  <c r="AF111" i="3"/>
  <c r="AF118" i="3"/>
  <c r="U133" i="3"/>
  <c r="N151" i="3"/>
  <c r="O151" i="3" s="1"/>
  <c r="AE153" i="3"/>
  <c r="T156" i="3"/>
  <c r="N163" i="3"/>
  <c r="T175" i="3"/>
  <c r="T189" i="3"/>
  <c r="Y211" i="3"/>
  <c r="AA211" i="3" s="1"/>
  <c r="AB211" i="3" s="1"/>
  <c r="S174" i="3"/>
  <c r="AA90" i="3"/>
  <c r="AB90" i="3" s="1"/>
  <c r="Z99" i="3"/>
  <c r="AA80" i="3"/>
  <c r="AB80" i="3" s="1"/>
  <c r="P174" i="3"/>
  <c r="Q174" i="3" s="1"/>
  <c r="AD80" i="3"/>
  <c r="S99" i="3"/>
  <c r="AA103" i="3"/>
  <c r="AB103" i="3" s="1"/>
  <c r="P99" i="3"/>
  <c r="Q99" i="3" s="1"/>
  <c r="AD97" i="3"/>
  <c r="AD103" i="3"/>
  <c r="AA96" i="3"/>
  <c r="AB96" i="3" s="1"/>
  <c r="Z96" i="3"/>
  <c r="AA109" i="3"/>
  <c r="AB109" i="3" s="1"/>
  <c r="K11" i="10"/>
  <c r="V16" i="12"/>
  <c r="W16" i="12" s="1"/>
  <c r="Y16" i="12" s="1"/>
  <c r="Q16" i="12" s="1"/>
  <c r="S74" i="3"/>
  <c r="Z89" i="3"/>
  <c r="AA106" i="3"/>
  <c r="AB106" i="3" s="1"/>
  <c r="P168" i="3"/>
  <c r="Q168" i="3" s="1"/>
  <c r="P82" i="3"/>
  <c r="Q82" i="3" s="1"/>
  <c r="V12" i="13"/>
  <c r="W12" i="13" s="1"/>
  <c r="Y12" i="13" s="1"/>
  <c r="Q12" i="13" s="1"/>
  <c r="AD89" i="3"/>
  <c r="AD91" i="3"/>
  <c r="O94" i="3"/>
  <c r="S166" i="3"/>
  <c r="V11" i="12"/>
  <c r="K11" i="12" s="1"/>
  <c r="O68" i="3"/>
  <c r="AD104" i="3"/>
  <c r="AD109" i="3"/>
  <c r="V13" i="12"/>
  <c r="K13" i="12" s="1"/>
  <c r="V15" i="12"/>
  <c r="I15" i="12" s="1"/>
  <c r="P68" i="3"/>
  <c r="Q68" i="3" s="1"/>
  <c r="S94" i="3"/>
  <c r="X11" i="12"/>
  <c r="Z83" i="3"/>
  <c r="Z88" i="3"/>
  <c r="AA99" i="3"/>
  <c r="AB99" i="3" s="1"/>
  <c r="Z159" i="3"/>
  <c r="AA83" i="3"/>
  <c r="AB83" i="3" s="1"/>
  <c r="AD88" i="3"/>
  <c r="AA97" i="3"/>
  <c r="AB97" i="3" s="1"/>
  <c r="U40" i="3"/>
  <c r="U48" i="3"/>
  <c r="Y77" i="3"/>
  <c r="AF77" i="3"/>
  <c r="AE77" i="3"/>
  <c r="AC77" i="3"/>
  <c r="X2" i="1"/>
  <c r="Y14" i="1"/>
  <c r="Y95" i="3"/>
  <c r="AF95" i="3"/>
  <c r="AE95" i="3"/>
  <c r="AC95" i="3"/>
  <c r="U111" i="3"/>
  <c r="T111" i="3"/>
  <c r="N111" i="3"/>
  <c r="U34" i="3"/>
  <c r="U43" i="3"/>
  <c r="T80" i="3"/>
  <c r="U80" i="3"/>
  <c r="N80" i="3"/>
  <c r="U100" i="3"/>
  <c r="T100" i="3"/>
  <c r="R100" i="3"/>
  <c r="AC121" i="3"/>
  <c r="Y121" i="3"/>
  <c r="AF121" i="3"/>
  <c r="AE121" i="3"/>
  <c r="U36" i="3"/>
  <c r="U52" i="3"/>
  <c r="P74" i="3"/>
  <c r="Q74" i="3" s="1"/>
  <c r="N100" i="3"/>
  <c r="S109" i="3"/>
  <c r="P109" i="3"/>
  <c r="Q109" i="3" s="1"/>
  <c r="O109" i="3"/>
  <c r="R111" i="3"/>
  <c r="Y9" i="1"/>
  <c r="P60" i="3"/>
  <c r="Q60" i="3" s="1"/>
  <c r="O60" i="3"/>
  <c r="U64" i="3"/>
  <c r="N64" i="3"/>
  <c r="R80" i="3"/>
  <c r="AC117" i="3"/>
  <c r="Y117" i="3"/>
  <c r="AF117" i="3"/>
  <c r="U29" i="3"/>
  <c r="U98" i="3"/>
  <c r="T98" i="3"/>
  <c r="R98" i="3"/>
  <c r="N98" i="3"/>
  <c r="Y78" i="3"/>
  <c r="AF78" i="3"/>
  <c r="AC78" i="3"/>
  <c r="X26" i="1"/>
  <c r="T64" i="3"/>
  <c r="Y84" i="3"/>
  <c r="AF84" i="3"/>
  <c r="AE84" i="3"/>
  <c r="AE117" i="3"/>
  <c r="Y150" i="3"/>
  <c r="AF150" i="3"/>
  <c r="AC150" i="3"/>
  <c r="X20" i="1"/>
  <c r="U14" i="3"/>
  <c r="AC84" i="3"/>
  <c r="S103" i="3"/>
  <c r="P103" i="3"/>
  <c r="Q103" i="3" s="1"/>
  <c r="AE150" i="3"/>
  <c r="AF34" i="3"/>
  <c r="U92" i="3"/>
  <c r="T92" i="3"/>
  <c r="R92" i="3"/>
  <c r="Y98" i="3"/>
  <c r="AC98" i="3"/>
  <c r="AF98" i="3"/>
  <c r="O103" i="3"/>
  <c r="S105" i="3"/>
  <c r="P105" i="3"/>
  <c r="Q105" i="3" s="1"/>
  <c r="O105" i="3"/>
  <c r="U57" i="3"/>
  <c r="T57" i="3"/>
  <c r="AE78" i="3"/>
  <c r="S92" i="3"/>
  <c r="O92" i="3"/>
  <c r="Y107" i="3"/>
  <c r="AC107" i="3"/>
  <c r="U33" i="3"/>
  <c r="U53" i="3"/>
  <c r="P57" i="3"/>
  <c r="Q57" i="3" s="1"/>
  <c r="O57" i="3"/>
  <c r="U61" i="3"/>
  <c r="T61" i="3"/>
  <c r="U69" i="3"/>
  <c r="T69" i="3"/>
  <c r="R69" i="3"/>
  <c r="N69" i="3"/>
  <c r="U47" i="3"/>
  <c r="N61" i="3"/>
  <c r="AC124" i="3"/>
  <c r="Y124" i="3"/>
  <c r="AF124" i="3"/>
  <c r="AE124" i="3"/>
  <c r="X18" i="1"/>
  <c r="S57" i="3"/>
  <c r="R61" i="3"/>
  <c r="U97" i="3"/>
  <c r="T97" i="3"/>
  <c r="N97" i="3"/>
  <c r="R97" i="3"/>
  <c r="Y101" i="3"/>
  <c r="AE101" i="3"/>
  <c r="AF101" i="3"/>
  <c r="X6" i="1"/>
  <c r="Y21" i="1"/>
  <c r="Y112" i="3"/>
  <c r="AF112" i="3"/>
  <c r="AE112" i="3"/>
  <c r="AC131" i="3"/>
  <c r="Y131" i="3"/>
  <c r="Y193" i="3"/>
  <c r="AF193" i="3"/>
  <c r="AE193" i="3"/>
  <c r="AC193" i="3"/>
  <c r="AF72" i="3"/>
  <c r="N83" i="3"/>
  <c r="Y87" i="3"/>
  <c r="AF87" i="3"/>
  <c r="Y93" i="3"/>
  <c r="AF93" i="3"/>
  <c r="AE93" i="3"/>
  <c r="AF183" i="3"/>
  <c r="AE183" i="3"/>
  <c r="Y183" i="3"/>
  <c r="AC183" i="3"/>
  <c r="AE177" i="3"/>
  <c r="AC177" i="3"/>
  <c r="Z179" i="3"/>
  <c r="AD179" i="3"/>
  <c r="AF181" i="3"/>
  <c r="AE181" i="3"/>
  <c r="AC181" i="3"/>
  <c r="Y181" i="3"/>
  <c r="U56" i="3"/>
  <c r="U60" i="3"/>
  <c r="T60" i="3"/>
  <c r="T77" i="3"/>
  <c r="R77" i="3"/>
  <c r="N77" i="3"/>
  <c r="AC109" i="3"/>
  <c r="AD163" i="3"/>
  <c r="Z163" i="3"/>
  <c r="AA163" i="3"/>
  <c r="AB163" i="3" s="1"/>
  <c r="AC167" i="3"/>
  <c r="AF167" i="3"/>
  <c r="AE167" i="3"/>
  <c r="Y167" i="3"/>
  <c r="Y177" i="3"/>
  <c r="AA179" i="3"/>
  <c r="AB179" i="3" s="1"/>
  <c r="U31" i="3"/>
  <c r="U46" i="3"/>
  <c r="U51" i="3"/>
  <c r="R60" i="3"/>
  <c r="U83" i="3"/>
  <c r="AE87" i="3"/>
  <c r="U105" i="3"/>
  <c r="T105" i="3"/>
  <c r="R105" i="3"/>
  <c r="AF109" i="3"/>
  <c r="U55" i="3"/>
  <c r="U59" i="3"/>
  <c r="T59" i="3"/>
  <c r="U63" i="3"/>
  <c r="T63" i="3"/>
  <c r="R67" i="3"/>
  <c r="AF75" i="3"/>
  <c r="T82" i="3"/>
  <c r="U82" i="3"/>
  <c r="T88" i="3"/>
  <c r="U88" i="3"/>
  <c r="R88" i="3"/>
  <c r="Y92" i="3"/>
  <c r="AF92" i="3"/>
  <c r="AE92" i="3"/>
  <c r="AC92" i="3"/>
  <c r="U99" i="3"/>
  <c r="T99" i="3"/>
  <c r="U102" i="3"/>
  <c r="T102" i="3"/>
  <c r="R102" i="3"/>
  <c r="N102" i="3"/>
  <c r="AC114" i="3"/>
  <c r="Y114" i="3"/>
  <c r="AF114" i="3"/>
  <c r="AE114" i="3"/>
  <c r="S118" i="3"/>
  <c r="P118" i="3"/>
  <c r="Q118" i="3" s="1"/>
  <c r="O118" i="3"/>
  <c r="AC130" i="3"/>
  <c r="Y130" i="3"/>
  <c r="AF130" i="3"/>
  <c r="AE130" i="3"/>
  <c r="U67" i="3"/>
  <c r="Y86" i="3"/>
  <c r="AE86" i="3"/>
  <c r="S88" i="3"/>
  <c r="P88" i="3"/>
  <c r="Q88" i="3" s="1"/>
  <c r="T91" i="3"/>
  <c r="R91" i="3"/>
  <c r="Y100" i="3"/>
  <c r="AF100" i="3"/>
  <c r="Y108" i="3"/>
  <c r="AF108" i="3"/>
  <c r="AE108" i="3"/>
  <c r="U45" i="3"/>
  <c r="U50" i="3"/>
  <c r="P76" i="3"/>
  <c r="Q76" i="3" s="1"/>
  <c r="O76" i="3"/>
  <c r="O82" i="3"/>
  <c r="O88" i="3"/>
  <c r="N91" i="3"/>
  <c r="U93" i="3"/>
  <c r="T93" i="3"/>
  <c r="U96" i="3"/>
  <c r="T96" i="3"/>
  <c r="R96" i="3"/>
  <c r="Z102" i="3"/>
  <c r="Y105" i="3"/>
  <c r="AE105" i="3"/>
  <c r="AC105" i="3"/>
  <c r="S115" i="3"/>
  <c r="P115" i="3"/>
  <c r="Q115" i="3" s="1"/>
  <c r="O115" i="3"/>
  <c r="O129" i="3"/>
  <c r="AF157" i="3"/>
  <c r="AE157" i="3"/>
  <c r="AC157" i="3"/>
  <c r="AE170" i="3"/>
  <c r="AC170" i="3"/>
  <c r="Y170" i="3"/>
  <c r="AF170" i="3"/>
  <c r="Z172" i="3"/>
  <c r="AD172" i="3"/>
  <c r="AA172" i="3"/>
  <c r="AB172" i="3" s="1"/>
  <c r="U54" i="3"/>
  <c r="U58" i="3"/>
  <c r="T58" i="3"/>
  <c r="U62" i="3"/>
  <c r="T62" i="3"/>
  <c r="AF67" i="3"/>
  <c r="Y94" i="3"/>
  <c r="AC94" i="3"/>
  <c r="S96" i="3"/>
  <c r="P96" i="3"/>
  <c r="Q96" i="3" s="1"/>
  <c r="AA102" i="3"/>
  <c r="AB102" i="3" s="1"/>
  <c r="P129" i="3"/>
  <c r="Q129" i="3" s="1"/>
  <c r="Y157" i="3"/>
  <c r="U49" i="3"/>
  <c r="N58" i="3"/>
  <c r="P62" i="3"/>
  <c r="Q62" i="3" s="1"/>
  <c r="O62" i="3"/>
  <c r="N84" i="3"/>
  <c r="O96" i="3"/>
  <c r="U104" i="3"/>
  <c r="T104" i="3"/>
  <c r="AC127" i="3"/>
  <c r="Y127" i="3"/>
  <c r="AF127" i="3"/>
  <c r="T66" i="3"/>
  <c r="U68" i="3"/>
  <c r="T68" i="3"/>
  <c r="AF73" i="3"/>
  <c r="T78" i="3"/>
  <c r="U78" i="3"/>
  <c r="R78" i="3"/>
  <c r="Y82" i="3"/>
  <c r="AE82" i="3"/>
  <c r="AC82" i="3"/>
  <c r="T90" i="3"/>
  <c r="U90" i="3"/>
  <c r="AC102" i="3"/>
  <c r="N104" i="3"/>
  <c r="AC120" i="3"/>
  <c r="Y120" i="3"/>
  <c r="AF120" i="3"/>
  <c r="AE120" i="3"/>
  <c r="S138" i="3"/>
  <c r="P138" i="3"/>
  <c r="Q138" i="3" s="1"/>
  <c r="Y197" i="3"/>
  <c r="AF197" i="3"/>
  <c r="AC197" i="3"/>
  <c r="R58" i="3"/>
  <c r="R62" i="3"/>
  <c r="U66" i="3"/>
  <c r="AF69" i="3"/>
  <c r="P75" i="3"/>
  <c r="Q75" i="3" s="1"/>
  <c r="O75" i="3"/>
  <c r="S78" i="3"/>
  <c r="P78" i="3"/>
  <c r="Q78" i="3" s="1"/>
  <c r="T81" i="3"/>
  <c r="R81" i="3"/>
  <c r="Y85" i="3"/>
  <c r="AC85" i="3"/>
  <c r="T87" i="3"/>
  <c r="R87" i="3"/>
  <c r="N87" i="3"/>
  <c r="AC88" i="3"/>
  <c r="P90" i="3"/>
  <c r="Q90" i="3" s="1"/>
  <c r="O90" i="3"/>
  <c r="U106" i="3"/>
  <c r="T106" i="3"/>
  <c r="U109" i="3"/>
  <c r="T109" i="3"/>
  <c r="R109" i="3"/>
  <c r="Y206" i="3"/>
  <c r="AF206" i="3"/>
  <c r="AE206" i="3"/>
  <c r="AC206" i="3"/>
  <c r="W20" i="4"/>
  <c r="W44" i="4"/>
  <c r="W77" i="4"/>
  <c r="W72" i="4"/>
  <c r="W67" i="4"/>
  <c r="W62" i="4"/>
  <c r="AA28" i="4"/>
  <c r="W36" i="4"/>
  <c r="W31" i="4"/>
  <c r="W53" i="4"/>
  <c r="W41" i="4"/>
  <c r="W70" i="4"/>
  <c r="W58" i="4"/>
  <c r="W76" i="4"/>
  <c r="Y161" i="3"/>
  <c r="AF161" i="3"/>
  <c r="Y214" i="3"/>
  <c r="AF214" i="3"/>
  <c r="AC214" i="3"/>
  <c r="S143" i="3"/>
  <c r="O143" i="3"/>
  <c r="Z187" i="3"/>
  <c r="AD187" i="3"/>
  <c r="AA187" i="3"/>
  <c r="AB187" i="3" s="1"/>
  <c r="Y202" i="3"/>
  <c r="AF202" i="3"/>
  <c r="AE214" i="3"/>
  <c r="U110" i="3"/>
  <c r="T110" i="3"/>
  <c r="AA207" i="3"/>
  <c r="AB207" i="3" s="1"/>
  <c r="Z207" i="3"/>
  <c r="AD207" i="3"/>
  <c r="N79" i="3"/>
  <c r="N89" i="3"/>
  <c r="U103" i="3"/>
  <c r="T103" i="3"/>
  <c r="Z106" i="3"/>
  <c r="N110" i="3"/>
  <c r="AC116" i="3"/>
  <c r="Y116" i="3"/>
  <c r="AC126" i="3"/>
  <c r="Y126" i="3"/>
  <c r="AF165" i="3"/>
  <c r="AC165" i="3"/>
  <c r="AE172" i="3"/>
  <c r="AC172" i="3"/>
  <c r="P194" i="3"/>
  <c r="Q194" i="3" s="1"/>
  <c r="O194" i="3"/>
  <c r="AE154" i="3"/>
  <c r="AC154" i="3"/>
  <c r="Y154" i="3"/>
  <c r="W16" i="4"/>
  <c r="W50" i="4" s="1"/>
  <c r="W45" i="4"/>
  <c r="R79" i="3"/>
  <c r="AC83" i="3"/>
  <c r="R89" i="3"/>
  <c r="U95" i="3"/>
  <c r="T95" i="3"/>
  <c r="AC99" i="3"/>
  <c r="R110" i="3"/>
  <c r="AE116" i="3"/>
  <c r="AC119" i="3"/>
  <c r="Y119" i="3"/>
  <c r="AF119" i="3"/>
  <c r="AE119" i="3"/>
  <c r="AC122" i="3"/>
  <c r="Y122" i="3"/>
  <c r="AE126" i="3"/>
  <c r="AC129" i="3"/>
  <c r="Y129" i="3"/>
  <c r="AF129" i="3"/>
  <c r="AE129" i="3"/>
  <c r="AC132" i="3"/>
  <c r="Y132" i="3"/>
  <c r="F16" i="8"/>
  <c r="F14" i="5"/>
  <c r="Z81" i="3"/>
  <c r="Z91" i="3"/>
  <c r="N95" i="3"/>
  <c r="R103" i="3"/>
  <c r="AE106" i="3"/>
  <c r="U108" i="3"/>
  <c r="T108" i="3"/>
  <c r="AA111" i="3"/>
  <c r="AB111" i="3" s="1"/>
  <c r="AF116" i="3"/>
  <c r="AF126" i="3"/>
  <c r="Y151" i="3"/>
  <c r="U161" i="3"/>
  <c r="U166" i="3"/>
  <c r="Y194" i="3"/>
  <c r="AF194" i="3"/>
  <c r="AE194" i="3"/>
  <c r="AC194" i="3"/>
  <c r="AF71" i="3"/>
  <c r="U79" i="3"/>
  <c r="AE83" i="3"/>
  <c r="N86" i="3"/>
  <c r="U89" i="3"/>
  <c r="AE99" i="3"/>
  <c r="U101" i="3"/>
  <c r="T101" i="3"/>
  <c r="Z104" i="3"/>
  <c r="AF106" i="3"/>
  <c r="N108" i="3"/>
  <c r="AC115" i="3"/>
  <c r="Y115" i="3"/>
  <c r="AF115" i="3"/>
  <c r="AC125" i="3"/>
  <c r="Y125" i="3"/>
  <c r="AF125" i="3"/>
  <c r="AC135" i="3"/>
  <c r="Y135" i="3"/>
  <c r="AF135" i="3"/>
  <c r="AE135" i="3"/>
  <c r="AC151" i="3"/>
  <c r="AF156" i="3"/>
  <c r="AE156" i="3"/>
  <c r="AC156" i="3"/>
  <c r="Y156" i="3"/>
  <c r="AF70" i="3"/>
  <c r="AF83" i="3"/>
  <c r="U94" i="3"/>
  <c r="T94" i="3"/>
  <c r="AF99" i="3"/>
  <c r="N101" i="3"/>
  <c r="AF154" i="3"/>
  <c r="AC81" i="3"/>
  <c r="AC91" i="3"/>
  <c r="U107" i="3"/>
  <c r="T107" i="3"/>
  <c r="AD111" i="3"/>
  <c r="AE122" i="3"/>
  <c r="AE132" i="3"/>
  <c r="AF151" i="3"/>
  <c r="Y169" i="3"/>
  <c r="AE169" i="3"/>
  <c r="AC169" i="3"/>
  <c r="Z171" i="3"/>
  <c r="AD171" i="3"/>
  <c r="AA171" i="3"/>
  <c r="AB171" i="3" s="1"/>
  <c r="AF166" i="3"/>
  <c r="AE166" i="3"/>
  <c r="Y166" i="3"/>
  <c r="AC163" i="3"/>
  <c r="AF163" i="3"/>
  <c r="P173" i="3"/>
  <c r="Q173" i="3" s="1"/>
  <c r="O173" i="3"/>
  <c r="AF187" i="3"/>
  <c r="AE187" i="3"/>
  <c r="AC187" i="3"/>
  <c r="AC134" i="3"/>
  <c r="Y134" i="3"/>
  <c r="AC166" i="3"/>
  <c r="Y208" i="3"/>
  <c r="AF208" i="3"/>
  <c r="AE208" i="3"/>
  <c r="AC208" i="3"/>
  <c r="AE163" i="3"/>
  <c r="AF155" i="3"/>
  <c r="AE155" i="3"/>
  <c r="Y191" i="3"/>
  <c r="AF191" i="3"/>
  <c r="F12" i="9"/>
  <c r="G12" i="9" s="1"/>
  <c r="O29" i="8"/>
  <c r="O29" i="5"/>
  <c r="F17" i="12"/>
  <c r="G17" i="12" s="1"/>
  <c r="V17" i="12" s="1"/>
  <c r="F13" i="13"/>
  <c r="G13" i="13" s="1"/>
  <c r="O29" i="11"/>
  <c r="F13" i="10"/>
  <c r="G13" i="10" s="1"/>
  <c r="AC118" i="3"/>
  <c r="Y118" i="3"/>
  <c r="AC123" i="3"/>
  <c r="Y123" i="3"/>
  <c r="AC128" i="3"/>
  <c r="Y128" i="3"/>
  <c r="AC133" i="3"/>
  <c r="Y133" i="3"/>
  <c r="AE134" i="3"/>
  <c r="AF152" i="3"/>
  <c r="AC152" i="3"/>
  <c r="Y155" i="3"/>
  <c r="AA159" i="3"/>
  <c r="AB159" i="3" s="1"/>
  <c r="AF134" i="3"/>
  <c r="Y152" i="3"/>
  <c r="AA162" i="3"/>
  <c r="AB162" i="3" s="1"/>
  <c r="AD162" i="3"/>
  <c r="AC178" i="3"/>
  <c r="AF182" i="3"/>
  <c r="AE182" i="3"/>
  <c r="Y182" i="3"/>
  <c r="AC191" i="3"/>
  <c r="Y23" i="4"/>
  <c r="H12" i="5" s="1"/>
  <c r="F11" i="6" s="1"/>
  <c r="F14" i="8"/>
  <c r="F12" i="5"/>
  <c r="S178" i="3"/>
  <c r="AF179" i="3"/>
  <c r="AF184" i="3"/>
  <c r="Y195" i="3"/>
  <c r="AF195" i="3"/>
  <c r="U197" i="3"/>
  <c r="Y210" i="3"/>
  <c r="AF210" i="3"/>
  <c r="AF213" i="3"/>
  <c r="AF188" i="3"/>
  <c r="K16" i="12"/>
  <c r="Y198" i="3"/>
  <c r="AF198" i="3"/>
  <c r="Y216" i="3"/>
  <c r="AF216" i="3"/>
  <c r="X16" i="4"/>
  <c r="AB36" i="4" s="1"/>
  <c r="F10" i="8"/>
  <c r="F13" i="5"/>
  <c r="F15" i="8"/>
  <c r="AE179" i="3"/>
  <c r="AE184" i="3"/>
  <c r="AC188" i="3"/>
  <c r="AC198" i="3"/>
  <c r="AC216" i="3"/>
  <c r="F16" i="5"/>
  <c r="F11" i="8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U168" i="3"/>
  <c r="U174" i="3"/>
  <c r="Y190" i="3"/>
  <c r="AF190" i="3"/>
  <c r="U192" i="3"/>
  <c r="Y200" i="3"/>
  <c r="AF200" i="3"/>
  <c r="AF203" i="3"/>
  <c r="Y220" i="3"/>
  <c r="AF220" i="3"/>
  <c r="F21" i="8"/>
  <c r="F19" i="5"/>
  <c r="K15" i="12"/>
  <c r="Y164" i="3"/>
  <c r="Y176" i="3"/>
  <c r="U179" i="3"/>
  <c r="U184" i="3"/>
  <c r="AF186" i="3"/>
  <c r="P12" i="11"/>
  <c r="U173" i="3"/>
  <c r="U178" i="3"/>
  <c r="AE190" i="3"/>
  <c r="Y196" i="3"/>
  <c r="AF196" i="3"/>
  <c r="U198" i="3"/>
  <c r="AE200" i="3"/>
  <c r="Y212" i="3"/>
  <c r="AF212" i="3"/>
  <c r="AF215" i="3"/>
  <c r="AE220" i="3"/>
  <c r="F13" i="8"/>
  <c r="F11" i="5"/>
  <c r="U183" i="3"/>
  <c r="F20" i="5"/>
  <c r="F22" i="8"/>
  <c r="O178" i="3"/>
  <c r="AF180" i="3"/>
  <c r="AF185" i="3"/>
  <c r="Y189" i="3"/>
  <c r="AF189" i="3"/>
  <c r="U191" i="3"/>
  <c r="Y199" i="3"/>
  <c r="AF199" i="3"/>
  <c r="AF201" i="3"/>
  <c r="Y218" i="3"/>
  <c r="AF218" i="3"/>
  <c r="Y180" i="3"/>
  <c r="Y185" i="3"/>
  <c r="K8" i="12" s="1"/>
  <c r="U172" i="3"/>
  <c r="U177" i="3"/>
  <c r="U187" i="3"/>
  <c r="Y192" i="3"/>
  <c r="AF192" i="3"/>
  <c r="U194" i="3"/>
  <c r="Y204" i="3"/>
  <c r="AF204" i="3"/>
  <c r="AF207" i="3"/>
  <c r="K10" i="12" s="1"/>
  <c r="F17" i="8"/>
  <c r="V12" i="12"/>
  <c r="AC4" i="12"/>
  <c r="X12" i="12"/>
  <c r="AC5" i="12"/>
  <c r="C8" i="9"/>
  <c r="X8" i="9"/>
  <c r="X8" i="10"/>
  <c r="F17" i="5"/>
  <c r="D8" i="9"/>
  <c r="D8" i="10"/>
  <c r="E8" i="9"/>
  <c r="V9" i="12"/>
  <c r="V14" i="12"/>
  <c r="F23" i="8"/>
  <c r="B8" i="1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X9" i="12"/>
  <c r="X14" i="12"/>
  <c r="C8" i="13"/>
  <c r="D8" i="13"/>
  <c r="I10" i="12" l="1"/>
  <c r="F18" i="7"/>
  <c r="G18" i="7" s="1"/>
  <c r="V18" i="7" s="1"/>
  <c r="W18" i="7" s="1"/>
  <c r="F14" i="6"/>
  <c r="G14" i="6" s="1"/>
  <c r="V14" i="6" s="1"/>
  <c r="W14" i="6" s="1"/>
  <c r="J14" i="6"/>
  <c r="K14" i="6" s="1"/>
  <c r="L14" i="6" s="1"/>
  <c r="I16" i="12"/>
  <c r="J12" i="11"/>
  <c r="AC5" i="13"/>
  <c r="J29" i="11"/>
  <c r="AC4" i="13"/>
  <c r="W8" i="12"/>
  <c r="Y8" i="12" s="1"/>
  <c r="Q8" i="12" s="1"/>
  <c r="W13" i="12"/>
  <c r="Y13" i="12" s="1"/>
  <c r="Q13" i="12" s="1"/>
  <c r="W63" i="4"/>
  <c r="W43" i="4"/>
  <c r="W21" i="4"/>
  <c r="W26" i="4"/>
  <c r="W73" i="4"/>
  <c r="W46" i="4"/>
  <c r="W60" i="4"/>
  <c r="D33" i="1"/>
  <c r="F32" i="1"/>
  <c r="W22" i="4"/>
  <c r="W42" i="4"/>
  <c r="J25" i="11"/>
  <c r="W68" i="4"/>
  <c r="W47" i="4"/>
  <c r="J18" i="11"/>
  <c r="J32" i="11"/>
  <c r="W75" i="4"/>
  <c r="W52" i="4"/>
  <c r="J35" i="11"/>
  <c r="O5" i="11"/>
  <c r="AE24" i="4"/>
  <c r="W51" i="4"/>
  <c r="W56" i="4"/>
  <c r="W57" i="4"/>
  <c r="J28" i="11"/>
  <c r="W15" i="12"/>
  <c r="Y15" i="12" s="1"/>
  <c r="Q15" i="12" s="1"/>
  <c r="P125" i="3"/>
  <c r="Q125" i="3" s="1"/>
  <c r="S125" i="3"/>
  <c r="S186" i="3"/>
  <c r="O141" i="3"/>
  <c r="O128" i="3"/>
  <c r="P128" i="3"/>
  <c r="Q128" i="3" s="1"/>
  <c r="AA113" i="3"/>
  <c r="AB113" i="3" s="1"/>
  <c r="AD219" i="3"/>
  <c r="P150" i="3"/>
  <c r="Q150" i="3" s="1"/>
  <c r="AA219" i="3"/>
  <c r="AB219" i="3" s="1"/>
  <c r="O185" i="3"/>
  <c r="O150" i="3"/>
  <c r="S185" i="3"/>
  <c r="O131" i="3"/>
  <c r="O121" i="3"/>
  <c r="P131" i="3"/>
  <c r="Q131" i="3" s="1"/>
  <c r="S189" i="3"/>
  <c r="AD113" i="3"/>
  <c r="O137" i="3"/>
  <c r="P81" i="3"/>
  <c r="Q81" i="3" s="1"/>
  <c r="O81" i="3"/>
  <c r="O136" i="3"/>
  <c r="P123" i="3"/>
  <c r="Q123" i="3" s="1"/>
  <c r="O106" i="3"/>
  <c r="Z205" i="3"/>
  <c r="Z215" i="3"/>
  <c r="O179" i="3"/>
  <c r="AD205" i="3"/>
  <c r="P179" i="3"/>
  <c r="Q179" i="3" s="1"/>
  <c r="O72" i="3"/>
  <c r="O180" i="3"/>
  <c r="S180" i="3"/>
  <c r="P169" i="3"/>
  <c r="Q169" i="3" s="1"/>
  <c r="AD178" i="3"/>
  <c r="Z178" i="3"/>
  <c r="S169" i="3"/>
  <c r="O171" i="3"/>
  <c r="P73" i="3"/>
  <c r="Q73" i="3" s="1"/>
  <c r="P137" i="3"/>
  <c r="Q137" i="3" s="1"/>
  <c r="P177" i="3"/>
  <c r="Q177" i="3" s="1"/>
  <c r="O73" i="3"/>
  <c r="Z160" i="3"/>
  <c r="S123" i="3"/>
  <c r="S177" i="3"/>
  <c r="AD184" i="3"/>
  <c r="Z184" i="3"/>
  <c r="AD213" i="3"/>
  <c r="P154" i="3"/>
  <c r="Q154" i="3" s="1"/>
  <c r="P186" i="3"/>
  <c r="Q186" i="3" s="1"/>
  <c r="S199" i="3"/>
  <c r="S145" i="3"/>
  <c r="AA168" i="3"/>
  <c r="AB168" i="3" s="1"/>
  <c r="S106" i="3"/>
  <c r="S197" i="3"/>
  <c r="P144" i="3"/>
  <c r="Q144" i="3" s="1"/>
  <c r="AA153" i="3"/>
  <c r="AB153" i="3" s="1"/>
  <c r="Z168" i="3"/>
  <c r="O124" i="3"/>
  <c r="O66" i="3"/>
  <c r="O146" i="3"/>
  <c r="O63" i="3"/>
  <c r="Z217" i="3"/>
  <c r="O114" i="3"/>
  <c r="O199" i="3"/>
  <c r="O157" i="3"/>
  <c r="P126" i="3"/>
  <c r="Q126" i="3" s="1"/>
  <c r="S157" i="3"/>
  <c r="O190" i="3"/>
  <c r="O167" i="3"/>
  <c r="O134" i="3"/>
  <c r="S167" i="3"/>
  <c r="P122" i="3"/>
  <c r="Q122" i="3" s="1"/>
  <c r="AD173" i="3"/>
  <c r="AA175" i="3"/>
  <c r="AB175" i="3" s="1"/>
  <c r="AD158" i="3"/>
  <c r="AD175" i="3"/>
  <c r="P151" i="3"/>
  <c r="Q151" i="3" s="1"/>
  <c r="S154" i="3"/>
  <c r="P171" i="3"/>
  <c r="Q171" i="3" s="1"/>
  <c r="AD217" i="3"/>
  <c r="Z211" i="3"/>
  <c r="AA165" i="3"/>
  <c r="AB165" i="3" s="1"/>
  <c r="AD211" i="3"/>
  <c r="Z165" i="3"/>
  <c r="P142" i="3"/>
  <c r="Q142" i="3" s="1"/>
  <c r="AD160" i="3"/>
  <c r="P136" i="3"/>
  <c r="Q136" i="3" s="1"/>
  <c r="O176" i="3"/>
  <c r="O113" i="3"/>
  <c r="O70" i="3"/>
  <c r="S176" i="3"/>
  <c r="P113" i="3"/>
  <c r="Q113" i="3" s="1"/>
  <c r="P70" i="3"/>
  <c r="Q70" i="3" s="1"/>
  <c r="O158" i="3"/>
  <c r="P184" i="3"/>
  <c r="Q184" i="3" s="1"/>
  <c r="S158" i="3"/>
  <c r="S184" i="3"/>
  <c r="O161" i="3"/>
  <c r="O148" i="3"/>
  <c r="P147" i="3"/>
  <c r="Q147" i="3" s="1"/>
  <c r="S148" i="3"/>
  <c r="Z158" i="3"/>
  <c r="O112" i="3"/>
  <c r="P172" i="3"/>
  <c r="Q172" i="3" s="1"/>
  <c r="S112" i="3"/>
  <c r="O126" i="3"/>
  <c r="P117" i="3"/>
  <c r="Q117" i="3" s="1"/>
  <c r="P67" i="3"/>
  <c r="Q67" i="3" s="1"/>
  <c r="S172" i="3"/>
  <c r="S67" i="3"/>
  <c r="AA186" i="3"/>
  <c r="AB186" i="3" s="1"/>
  <c r="AD153" i="3"/>
  <c r="AD174" i="3"/>
  <c r="AD186" i="3"/>
  <c r="Z174" i="3"/>
  <c r="S161" i="3"/>
  <c r="K10" i="9" s="1"/>
  <c r="O189" i="3"/>
  <c r="O147" i="3"/>
  <c r="P63" i="3"/>
  <c r="Q63" i="3" s="1"/>
  <c r="AA188" i="3"/>
  <c r="AB188" i="3" s="1"/>
  <c r="P120" i="3"/>
  <c r="Q120" i="3" s="1"/>
  <c r="P133" i="3"/>
  <c r="Q133" i="3" s="1"/>
  <c r="O93" i="3"/>
  <c r="Z213" i="3"/>
  <c r="S151" i="3"/>
  <c r="P187" i="3"/>
  <c r="Q187" i="3" s="1"/>
  <c r="O149" i="3"/>
  <c r="O133" i="3"/>
  <c r="O183" i="3"/>
  <c r="P72" i="3"/>
  <c r="Q72" i="3" s="1"/>
  <c r="P59" i="3"/>
  <c r="Q59" i="3" s="1"/>
  <c r="K9" i="9" s="1"/>
  <c r="O122" i="3"/>
  <c r="O187" i="3"/>
  <c r="P66" i="3"/>
  <c r="Q66" i="3" s="1"/>
  <c r="O107" i="3"/>
  <c r="P65" i="3"/>
  <c r="Q65" i="3" s="1"/>
  <c r="O197" i="3"/>
  <c r="P146" i="3"/>
  <c r="Q146" i="3" s="1"/>
  <c r="O162" i="3"/>
  <c r="O139" i="3"/>
  <c r="P170" i="3"/>
  <c r="Q170" i="3" s="1"/>
  <c r="AD209" i="3"/>
  <c r="O196" i="3"/>
  <c r="P149" i="3"/>
  <c r="Q149" i="3" s="1"/>
  <c r="P139" i="3"/>
  <c r="Q139" i="3" s="1"/>
  <c r="P193" i="3"/>
  <c r="Q193" i="3" s="1"/>
  <c r="O193" i="3"/>
  <c r="O59" i="3"/>
  <c r="O170" i="3"/>
  <c r="P130" i="3"/>
  <c r="Q130" i="3" s="1"/>
  <c r="S93" i="3"/>
  <c r="P153" i="3"/>
  <c r="Q153" i="3" s="1"/>
  <c r="S152" i="3"/>
  <c r="Z173" i="3"/>
  <c r="P162" i="3"/>
  <c r="Q162" i="3" s="1"/>
  <c r="P121" i="3"/>
  <c r="Q121" i="3" s="1"/>
  <c r="P159" i="3"/>
  <c r="Q159" i="3" s="1"/>
  <c r="S182" i="3"/>
  <c r="P182" i="3"/>
  <c r="Q182" i="3" s="1"/>
  <c r="O65" i="3"/>
  <c r="S175" i="3"/>
  <c r="P124" i="3"/>
  <c r="Q124" i="3" s="1"/>
  <c r="S191" i="3"/>
  <c r="Z209" i="3"/>
  <c r="O198" i="3"/>
  <c r="O175" i="3"/>
  <c r="S196" i="3"/>
  <c r="S190" i="3"/>
  <c r="S114" i="3"/>
  <c r="S85" i="3"/>
  <c r="P85" i="3"/>
  <c r="Q85" i="3" s="1"/>
  <c r="O159" i="3"/>
  <c r="O127" i="3"/>
  <c r="O135" i="3"/>
  <c r="O130" i="3"/>
  <c r="S183" i="3"/>
  <c r="S153" i="3"/>
  <c r="O191" i="3"/>
  <c r="P127" i="3"/>
  <c r="Q127" i="3" s="1"/>
  <c r="S135" i="3"/>
  <c r="O71" i="3"/>
  <c r="P155" i="3"/>
  <c r="Q155" i="3" s="1"/>
  <c r="O155" i="3"/>
  <c r="O119" i="3"/>
  <c r="O145" i="3"/>
  <c r="Z203" i="3"/>
  <c r="P71" i="3"/>
  <c r="Q71" i="3" s="1"/>
  <c r="O85" i="3"/>
  <c r="AD215" i="3"/>
  <c r="O181" i="3"/>
  <c r="P132" i="3"/>
  <c r="Q132" i="3" s="1"/>
  <c r="AD201" i="3"/>
  <c r="S165" i="3"/>
  <c r="O116" i="3"/>
  <c r="S181" i="3"/>
  <c r="S132" i="3"/>
  <c r="O165" i="3"/>
  <c r="O192" i="3"/>
  <c r="O188" i="3"/>
  <c r="P164" i="3"/>
  <c r="Q164" i="3" s="1"/>
  <c r="O164" i="3"/>
  <c r="O195" i="3"/>
  <c r="O156" i="3"/>
  <c r="S195" i="3"/>
  <c r="P134" i="3"/>
  <c r="Q134" i="3" s="1"/>
  <c r="AD203" i="3"/>
  <c r="S198" i="3"/>
  <c r="O120" i="3"/>
  <c r="AD188" i="3"/>
  <c r="O142" i="3"/>
  <c r="O117" i="3"/>
  <c r="P116" i="3"/>
  <c r="Q116" i="3" s="1"/>
  <c r="S192" i="3"/>
  <c r="S163" i="3"/>
  <c r="O163" i="3"/>
  <c r="P163" i="3"/>
  <c r="Q163" i="3" s="1"/>
  <c r="S160" i="3"/>
  <c r="P160" i="3"/>
  <c r="Q160" i="3" s="1"/>
  <c r="P140" i="3"/>
  <c r="Q140" i="3" s="1"/>
  <c r="O200" i="3"/>
  <c r="P152" i="3"/>
  <c r="Q152" i="3" s="1"/>
  <c r="S188" i="3"/>
  <c r="S140" i="3"/>
  <c r="S200" i="3"/>
  <c r="P107" i="3"/>
  <c r="Q107" i="3" s="1"/>
  <c r="P156" i="3"/>
  <c r="Q156" i="3" s="1"/>
  <c r="P141" i="3"/>
  <c r="Q141" i="3" s="1"/>
  <c r="Z201" i="3"/>
  <c r="O144" i="3"/>
  <c r="P119" i="3"/>
  <c r="Q119" i="3" s="1"/>
  <c r="K12" i="13" s="1"/>
  <c r="I13" i="12"/>
  <c r="I12" i="13"/>
  <c r="I11" i="12"/>
  <c r="W11" i="12"/>
  <c r="Y11" i="12" s="1"/>
  <c r="Q11" i="12" s="1"/>
  <c r="Z13" i="13"/>
  <c r="Z12" i="13"/>
  <c r="Z8" i="13"/>
  <c r="AD150" i="3"/>
  <c r="AA150" i="3"/>
  <c r="AB150" i="3" s="1"/>
  <c r="Z150" i="3"/>
  <c r="O101" i="3"/>
  <c r="P101" i="3"/>
  <c r="Q101" i="3" s="1"/>
  <c r="S101" i="3"/>
  <c r="Z125" i="3"/>
  <c r="AA125" i="3"/>
  <c r="AB125" i="3" s="1"/>
  <c r="AD125" i="3"/>
  <c r="Z161" i="3"/>
  <c r="AA161" i="3"/>
  <c r="AB161" i="3" s="1"/>
  <c r="AD161" i="3"/>
  <c r="AD82" i="3"/>
  <c r="AA82" i="3"/>
  <c r="AB82" i="3" s="1"/>
  <c r="Z82" i="3"/>
  <c r="AD108" i="3"/>
  <c r="AA108" i="3"/>
  <c r="AB108" i="3" s="1"/>
  <c r="Z108" i="3"/>
  <c r="AD92" i="3"/>
  <c r="AA92" i="3"/>
  <c r="AB92" i="3" s="1"/>
  <c r="Z92" i="3"/>
  <c r="AD87" i="3"/>
  <c r="AA87" i="3"/>
  <c r="AB87" i="3" s="1"/>
  <c r="Z87" i="3"/>
  <c r="Z112" i="3"/>
  <c r="AA112" i="3"/>
  <c r="AB112" i="3" s="1"/>
  <c r="AD112" i="3"/>
  <c r="J13" i="11"/>
  <c r="Z190" i="3"/>
  <c r="AD190" i="3"/>
  <c r="AA190" i="3"/>
  <c r="AB190" i="3" s="1"/>
  <c r="Z169" i="3"/>
  <c r="AA169" i="3"/>
  <c r="AB169" i="3" s="1"/>
  <c r="AD169" i="3"/>
  <c r="Z119" i="3"/>
  <c r="AA119" i="3"/>
  <c r="AB119" i="3" s="1"/>
  <c r="AD119" i="3"/>
  <c r="S89" i="3"/>
  <c r="P89" i="3"/>
  <c r="Q89" i="3" s="1"/>
  <c r="O89" i="3"/>
  <c r="S91" i="3"/>
  <c r="P91" i="3"/>
  <c r="Q91" i="3" s="1"/>
  <c r="O91" i="3"/>
  <c r="S83" i="3"/>
  <c r="P83" i="3"/>
  <c r="Q83" i="3" s="1"/>
  <c r="O83" i="3"/>
  <c r="AD101" i="3"/>
  <c r="AA101" i="3"/>
  <c r="AB101" i="3" s="1"/>
  <c r="Z101" i="3"/>
  <c r="J30" i="11"/>
  <c r="Z208" i="3"/>
  <c r="AD208" i="3"/>
  <c r="AA208" i="3"/>
  <c r="AB208" i="3" s="1"/>
  <c r="Z137" i="3"/>
  <c r="AD137" i="3"/>
  <c r="AA137" i="3"/>
  <c r="AB137" i="3" s="1"/>
  <c r="S79" i="3"/>
  <c r="P79" i="3"/>
  <c r="Q79" i="3" s="1"/>
  <c r="O79" i="3"/>
  <c r="AA84" i="3"/>
  <c r="AB84" i="3" s="1"/>
  <c r="Z84" i="3"/>
  <c r="AD84" i="3"/>
  <c r="Z115" i="3"/>
  <c r="AA115" i="3"/>
  <c r="AB115" i="3" s="1"/>
  <c r="AD115" i="3"/>
  <c r="Z194" i="3"/>
  <c r="AD194" i="3"/>
  <c r="AA194" i="3"/>
  <c r="AB194" i="3" s="1"/>
  <c r="J11" i="11"/>
  <c r="Z78" i="3"/>
  <c r="AD78" i="3"/>
  <c r="AA78" i="3"/>
  <c r="AB78" i="3" s="1"/>
  <c r="AD155" i="3"/>
  <c r="Z155" i="3"/>
  <c r="AA155" i="3"/>
  <c r="AB155" i="3" s="1"/>
  <c r="P80" i="3"/>
  <c r="Q80" i="3" s="1"/>
  <c r="O80" i="3"/>
  <c r="S80" i="3"/>
  <c r="Z191" i="3"/>
  <c r="AD191" i="3"/>
  <c r="AA191" i="3"/>
  <c r="AB191" i="3" s="1"/>
  <c r="Z197" i="3"/>
  <c r="AD197" i="3"/>
  <c r="AA197" i="3"/>
  <c r="AB197" i="3" s="1"/>
  <c r="P84" i="3"/>
  <c r="Q84" i="3" s="1"/>
  <c r="O84" i="3"/>
  <c r="S84" i="3"/>
  <c r="J23" i="11"/>
  <c r="AD77" i="3"/>
  <c r="AA77" i="3"/>
  <c r="AB77" i="3" s="1"/>
  <c r="Z77" i="3"/>
  <c r="P87" i="3"/>
  <c r="Q87" i="3" s="1"/>
  <c r="O87" i="3"/>
  <c r="S87" i="3"/>
  <c r="AA93" i="3"/>
  <c r="AB93" i="3" s="1"/>
  <c r="Z93" i="3"/>
  <c r="AD93" i="3"/>
  <c r="K17" i="12" s="1"/>
  <c r="AD154" i="3"/>
  <c r="AA154" i="3"/>
  <c r="AB154" i="3" s="1"/>
  <c r="Z154" i="3"/>
  <c r="Z15" i="12"/>
  <c r="Z10" i="12"/>
  <c r="Z14" i="12"/>
  <c r="Z9" i="12"/>
  <c r="Z13" i="12"/>
  <c r="Z8" i="12"/>
  <c r="Z12" i="12"/>
  <c r="Z17" i="12"/>
  <c r="Z16" i="12"/>
  <c r="Z11" i="12"/>
  <c r="Z218" i="3"/>
  <c r="AD218" i="3"/>
  <c r="AA218" i="3"/>
  <c r="AB218" i="3" s="1"/>
  <c r="Z148" i="3"/>
  <c r="AA148" i="3"/>
  <c r="AB148" i="3" s="1"/>
  <c r="AD148" i="3"/>
  <c r="Z133" i="3"/>
  <c r="AA133" i="3"/>
  <c r="AB133" i="3" s="1"/>
  <c r="AD133" i="3"/>
  <c r="W28" i="4"/>
  <c r="W65" i="4"/>
  <c r="W34" i="4"/>
  <c r="P58" i="3"/>
  <c r="Q58" i="3" s="1"/>
  <c r="O58" i="3"/>
  <c r="S58" i="3"/>
  <c r="Z183" i="3"/>
  <c r="AD183" i="3"/>
  <c r="AA183" i="3"/>
  <c r="AB183" i="3" s="1"/>
  <c r="J16" i="11"/>
  <c r="O100" i="3"/>
  <c r="S100" i="3"/>
  <c r="P100" i="3"/>
  <c r="Q100" i="3" s="1"/>
  <c r="I17" i="12"/>
  <c r="W17" i="12"/>
  <c r="Y17" i="12" s="1"/>
  <c r="Q17" i="12" s="1"/>
  <c r="Z214" i="3"/>
  <c r="AD214" i="3"/>
  <c r="AA214" i="3"/>
  <c r="AB214" i="3" s="1"/>
  <c r="P108" i="3"/>
  <c r="Q108" i="3" s="1"/>
  <c r="O108" i="3"/>
  <c r="S108" i="3"/>
  <c r="Z147" i="3"/>
  <c r="AD147" i="3"/>
  <c r="AA147" i="3"/>
  <c r="AB147" i="3" s="1"/>
  <c r="Z166" i="3"/>
  <c r="AD166" i="3"/>
  <c r="AA166" i="3"/>
  <c r="AB166" i="3" s="1"/>
  <c r="Z202" i="3"/>
  <c r="AD202" i="3"/>
  <c r="AA202" i="3"/>
  <c r="AB202" i="3" s="1"/>
  <c r="W55" i="4"/>
  <c r="W71" i="4"/>
  <c r="W19" i="4"/>
  <c r="Z206" i="3"/>
  <c r="AD206" i="3"/>
  <c r="AA206" i="3"/>
  <c r="AB206" i="3" s="1"/>
  <c r="AD86" i="3"/>
  <c r="AA86" i="3"/>
  <c r="AB86" i="3" s="1"/>
  <c r="Z86" i="3"/>
  <c r="Z193" i="3"/>
  <c r="AD193" i="3"/>
  <c r="AA193" i="3"/>
  <c r="AB193" i="3" s="1"/>
  <c r="S69" i="3"/>
  <c r="P69" i="3"/>
  <c r="Q69" i="3" s="1"/>
  <c r="O69" i="3"/>
  <c r="AD98" i="3"/>
  <c r="AA98" i="3"/>
  <c r="AB98" i="3" s="1"/>
  <c r="Z98" i="3"/>
  <c r="J9" i="11"/>
  <c r="Z136" i="3"/>
  <c r="AA136" i="3"/>
  <c r="AB136" i="3" s="1"/>
  <c r="AD136" i="3"/>
  <c r="Z124" i="3"/>
  <c r="AA124" i="3"/>
  <c r="AB124" i="3" s="1"/>
  <c r="AD124" i="3"/>
  <c r="Z196" i="3"/>
  <c r="AD196" i="3"/>
  <c r="AA196" i="3"/>
  <c r="AB196" i="3" s="1"/>
  <c r="AA152" i="3"/>
  <c r="AB152" i="3" s="1"/>
  <c r="Z152" i="3"/>
  <c r="AD152" i="3"/>
  <c r="Z146" i="3"/>
  <c r="AD146" i="3"/>
  <c r="AA146" i="3"/>
  <c r="AB146" i="3" s="1"/>
  <c r="Z128" i="3"/>
  <c r="AA128" i="3"/>
  <c r="AB128" i="3" s="1"/>
  <c r="AD128" i="3"/>
  <c r="AA156" i="3"/>
  <c r="AB156" i="3" s="1"/>
  <c r="AD156" i="3"/>
  <c r="Z156" i="3"/>
  <c r="W24" i="4"/>
  <c r="W48" i="4"/>
  <c r="W27" i="4"/>
  <c r="AD105" i="3"/>
  <c r="AA105" i="3"/>
  <c r="AB105" i="3" s="1"/>
  <c r="Z105" i="3"/>
  <c r="Z114" i="3"/>
  <c r="AA114" i="3"/>
  <c r="AB114" i="3" s="1"/>
  <c r="AD114" i="3"/>
  <c r="J21" i="11"/>
  <c r="P64" i="3"/>
  <c r="Q64" i="3" s="1"/>
  <c r="S64" i="3"/>
  <c r="O64" i="3"/>
  <c r="AA100" i="3"/>
  <c r="AB100" i="3" s="1"/>
  <c r="AD100" i="3"/>
  <c r="Z100" i="3"/>
  <c r="P111" i="3"/>
  <c r="Q111" i="3" s="1"/>
  <c r="S111" i="3"/>
  <c r="O111" i="3"/>
  <c r="Z145" i="3"/>
  <c r="AA145" i="3"/>
  <c r="AB145" i="3" s="1"/>
  <c r="AD145" i="3"/>
  <c r="AA151" i="3"/>
  <c r="AB151" i="3" s="1"/>
  <c r="Z151" i="3"/>
  <c r="AD151" i="3"/>
  <c r="Z132" i="3"/>
  <c r="AD132" i="3"/>
  <c r="AA132" i="3"/>
  <c r="AB132" i="3" s="1"/>
  <c r="W61" i="4"/>
  <c r="W18" i="4"/>
  <c r="W39" i="4"/>
  <c r="Z177" i="3"/>
  <c r="AD177" i="3"/>
  <c r="AA177" i="3"/>
  <c r="AB177" i="3" s="1"/>
  <c r="J33" i="11"/>
  <c r="Z204" i="3"/>
  <c r="AD204" i="3"/>
  <c r="AA204" i="3"/>
  <c r="AB204" i="3" s="1"/>
  <c r="Z123" i="3"/>
  <c r="AA123" i="3"/>
  <c r="AB123" i="3" s="1"/>
  <c r="AD123" i="3"/>
  <c r="Z120" i="3"/>
  <c r="AD120" i="3"/>
  <c r="AA120" i="3"/>
  <c r="AB120" i="3" s="1"/>
  <c r="AA157" i="3"/>
  <c r="AB157" i="3" s="1"/>
  <c r="AD157" i="3"/>
  <c r="Z157" i="3"/>
  <c r="P102" i="3"/>
  <c r="Q102" i="3" s="1"/>
  <c r="O102" i="3"/>
  <c r="S102" i="3"/>
  <c r="AD107" i="3"/>
  <c r="AA107" i="3"/>
  <c r="AB107" i="3" s="1"/>
  <c r="Z107" i="3"/>
  <c r="J17" i="11"/>
  <c r="J26" i="11"/>
  <c r="Z130" i="3"/>
  <c r="AD130" i="3"/>
  <c r="AA130" i="3"/>
  <c r="AB130" i="3" s="1"/>
  <c r="Z144" i="3"/>
  <c r="AD144" i="3"/>
  <c r="AA144" i="3"/>
  <c r="AB144" i="3" s="1"/>
  <c r="K12" i="12" s="1"/>
  <c r="I12" i="12"/>
  <c r="W12" i="12"/>
  <c r="Y12" i="12" s="1"/>
  <c r="Q12" i="12" s="1"/>
  <c r="Z143" i="3"/>
  <c r="AA143" i="3"/>
  <c r="AB143" i="3" s="1"/>
  <c r="AD143" i="3"/>
  <c r="Z126" i="3"/>
  <c r="AD126" i="3"/>
  <c r="AA126" i="3"/>
  <c r="AB126" i="3" s="1"/>
  <c r="W33" i="4"/>
  <c r="W23" i="4"/>
  <c r="W49" i="4"/>
  <c r="J10" i="11"/>
  <c r="J14" i="11"/>
  <c r="O98" i="3"/>
  <c r="P98" i="3"/>
  <c r="Q98" i="3" s="1"/>
  <c r="S98" i="3"/>
  <c r="AD95" i="3"/>
  <c r="AA95" i="3"/>
  <c r="AB95" i="3" s="1"/>
  <c r="Z95" i="3"/>
  <c r="Z220" i="3"/>
  <c r="AD220" i="3"/>
  <c r="AA220" i="3"/>
  <c r="AB220" i="3" s="1"/>
  <c r="Z142" i="3"/>
  <c r="AD142" i="3"/>
  <c r="AA142" i="3"/>
  <c r="AB142" i="3" s="1"/>
  <c r="Z210" i="3"/>
  <c r="AD210" i="3"/>
  <c r="AA210" i="3"/>
  <c r="AB210" i="3" s="1"/>
  <c r="Z182" i="3"/>
  <c r="AD182" i="3"/>
  <c r="AA182" i="3"/>
  <c r="AB182" i="3" s="1"/>
  <c r="Z118" i="3"/>
  <c r="AA118" i="3"/>
  <c r="AB118" i="3" s="1"/>
  <c r="AD118" i="3"/>
  <c r="P86" i="3"/>
  <c r="Q86" i="3" s="1"/>
  <c r="O86" i="3"/>
  <c r="S86" i="3"/>
  <c r="W38" i="4"/>
  <c r="W32" i="4"/>
  <c r="W54" i="4"/>
  <c r="Z131" i="3"/>
  <c r="AA131" i="3"/>
  <c r="AB131" i="3" s="1"/>
  <c r="AD131" i="3"/>
  <c r="J22" i="11"/>
  <c r="J31" i="11"/>
  <c r="P95" i="3"/>
  <c r="Q95" i="3" s="1"/>
  <c r="O95" i="3"/>
  <c r="S95" i="3"/>
  <c r="AD85" i="3"/>
  <c r="AA85" i="3"/>
  <c r="AB85" i="3" s="1"/>
  <c r="Z85" i="3"/>
  <c r="V12" i="9"/>
  <c r="Z129" i="3"/>
  <c r="AA129" i="3"/>
  <c r="AB129" i="3" s="1"/>
  <c r="AD129" i="3"/>
  <c r="Z116" i="3"/>
  <c r="AD116" i="3"/>
  <c r="AA116" i="3"/>
  <c r="AB116" i="3" s="1"/>
  <c r="W29" i="4"/>
  <c r="W66" i="4"/>
  <c r="W59" i="4"/>
  <c r="P104" i="3"/>
  <c r="Q104" i="3" s="1"/>
  <c r="O104" i="3"/>
  <c r="S104" i="3"/>
  <c r="Z170" i="3"/>
  <c r="AD170" i="3"/>
  <c r="AA170" i="3"/>
  <c r="AB170" i="3" s="1"/>
  <c r="Z167" i="3"/>
  <c r="AD167" i="3"/>
  <c r="AA167" i="3"/>
  <c r="AB167" i="3" s="1"/>
  <c r="J34" i="11"/>
  <c r="J19" i="11"/>
  <c r="Z127" i="3"/>
  <c r="AA127" i="3"/>
  <c r="AB127" i="3" s="1"/>
  <c r="AD127" i="3"/>
  <c r="Z199" i="3"/>
  <c r="AD199" i="3"/>
  <c r="AA199" i="3"/>
  <c r="AB199" i="3" s="1"/>
  <c r="I14" i="12"/>
  <c r="W14" i="12"/>
  <c r="Y14" i="12" s="1"/>
  <c r="Q14" i="12" s="1"/>
  <c r="Z189" i="3"/>
  <c r="AD189" i="3"/>
  <c r="AA189" i="3"/>
  <c r="AB189" i="3" s="1"/>
  <c r="Z176" i="3"/>
  <c r="AD176" i="3"/>
  <c r="AA176" i="3"/>
  <c r="AB176" i="3" s="1"/>
  <c r="V13" i="10"/>
  <c r="K13" i="10" s="1"/>
  <c r="Z134" i="3"/>
  <c r="AA134" i="3"/>
  <c r="AB134" i="3" s="1"/>
  <c r="AD134" i="3"/>
  <c r="W30" i="4"/>
  <c r="W64" i="4"/>
  <c r="P61" i="3"/>
  <c r="Q61" i="3" s="1"/>
  <c r="O61" i="3"/>
  <c r="S61" i="3"/>
  <c r="J27" i="11"/>
  <c r="J24" i="11"/>
  <c r="I14" i="6"/>
  <c r="Z198" i="3"/>
  <c r="AD198" i="3"/>
  <c r="AA198" i="3"/>
  <c r="AB198" i="3" s="1"/>
  <c r="Z149" i="3"/>
  <c r="AD149" i="3"/>
  <c r="AA149" i="3"/>
  <c r="AB149" i="3" s="1"/>
  <c r="Z117" i="3"/>
  <c r="AD117" i="3"/>
  <c r="AA117" i="3"/>
  <c r="AB117" i="3" s="1"/>
  <c r="I9" i="12"/>
  <c r="W9" i="12"/>
  <c r="Y9" i="12" s="1"/>
  <c r="Q9" i="12" s="1"/>
  <c r="Z185" i="3"/>
  <c r="AD185" i="3"/>
  <c r="AA185" i="3"/>
  <c r="AB185" i="3" s="1"/>
  <c r="Z140" i="3"/>
  <c r="AA140" i="3"/>
  <c r="AB140" i="3" s="1"/>
  <c r="AD140" i="3"/>
  <c r="Z164" i="3"/>
  <c r="AD164" i="3"/>
  <c r="AA164" i="3"/>
  <c r="AB164" i="3" s="1"/>
  <c r="Z139" i="3"/>
  <c r="AA139" i="3"/>
  <c r="AB139" i="3" s="1"/>
  <c r="AD139" i="3"/>
  <c r="Z195" i="3"/>
  <c r="AD195" i="3"/>
  <c r="AA195" i="3"/>
  <c r="AB195" i="3" s="1"/>
  <c r="W35" i="4"/>
  <c r="W25" i="4"/>
  <c r="W69" i="4"/>
  <c r="Z181" i="3"/>
  <c r="AD181" i="3"/>
  <c r="AA181" i="3"/>
  <c r="AB181" i="3" s="1"/>
  <c r="S97" i="3"/>
  <c r="O97" i="3"/>
  <c r="P97" i="3"/>
  <c r="Q97" i="3" s="1"/>
  <c r="J15" i="11"/>
  <c r="J36" i="11"/>
  <c r="Z192" i="3"/>
  <c r="AD192" i="3"/>
  <c r="AA192" i="3"/>
  <c r="AB192" i="3" s="1"/>
  <c r="P77" i="3"/>
  <c r="Q77" i="3" s="1"/>
  <c r="O77" i="3"/>
  <c r="S77" i="3"/>
  <c r="I8" i="13"/>
  <c r="W8" i="13"/>
  <c r="Y8" i="13" s="1"/>
  <c r="Q8" i="13" s="1"/>
  <c r="Z141" i="3"/>
  <c r="AD141" i="3"/>
  <c r="AA141" i="3"/>
  <c r="AB141" i="3" s="1"/>
  <c r="K8" i="13" s="1"/>
  <c r="Z180" i="3"/>
  <c r="AD180" i="3"/>
  <c r="AA180" i="3"/>
  <c r="AB180" i="3" s="1"/>
  <c r="Z212" i="3"/>
  <c r="AD212" i="3"/>
  <c r="AA212" i="3"/>
  <c r="AB212" i="3" s="1"/>
  <c r="Z200" i="3"/>
  <c r="AD200" i="3"/>
  <c r="AA200" i="3"/>
  <c r="AB200" i="3" s="1"/>
  <c r="Z138" i="3"/>
  <c r="AA138" i="3"/>
  <c r="AB138" i="3" s="1"/>
  <c r="AD138" i="3"/>
  <c r="Z216" i="3"/>
  <c r="AD216" i="3"/>
  <c r="AA216" i="3"/>
  <c r="AB216" i="3" s="1"/>
  <c r="V13" i="13"/>
  <c r="K13" i="13" s="1"/>
  <c r="Z135" i="3"/>
  <c r="AA135" i="3"/>
  <c r="AB135" i="3" s="1"/>
  <c r="AD135" i="3"/>
  <c r="Z122" i="3"/>
  <c r="AD122" i="3"/>
  <c r="AA122" i="3"/>
  <c r="AB122" i="3" s="1"/>
  <c r="S110" i="3"/>
  <c r="P110" i="3"/>
  <c r="Q110" i="3" s="1"/>
  <c r="O110" i="3"/>
  <c r="W40" i="4"/>
  <c r="W37" i="4"/>
  <c r="W74" i="4"/>
  <c r="AD94" i="3"/>
  <c r="AA94" i="3"/>
  <c r="AB94" i="3" s="1"/>
  <c r="Z94" i="3"/>
  <c r="J20" i="11"/>
  <c r="Z121" i="3"/>
  <c r="AA121" i="3"/>
  <c r="AB121" i="3" s="1"/>
  <c r="AD121" i="3"/>
  <c r="I18" i="7" l="1"/>
  <c r="J18" i="7"/>
  <c r="Y18" i="7"/>
  <c r="Q18" i="7" s="1"/>
  <c r="Z11" i="13"/>
  <c r="Z9" i="13"/>
  <c r="Z10" i="13"/>
  <c r="P5" i="11"/>
  <c r="P2" i="11"/>
  <c r="K9" i="12" s="1"/>
  <c r="O6" i="11"/>
  <c r="Y32" i="4"/>
  <c r="H21" i="5" s="1"/>
  <c r="Y20" i="4"/>
  <c r="H16" i="5" s="1"/>
  <c r="F33" i="1"/>
  <c r="D34" i="1"/>
  <c r="AE20" i="4"/>
  <c r="AE18" i="4" s="1"/>
  <c r="K23" i="1"/>
  <c r="K24" i="1" s="1"/>
  <c r="K26" i="1" s="1"/>
  <c r="AE28" i="4"/>
  <c r="AE30" i="4"/>
  <c r="O16" i="11"/>
  <c r="F8" i="10"/>
  <c r="F8" i="9"/>
  <c r="W12" i="9"/>
  <c r="Y12" i="9" s="1"/>
  <c r="Q12" i="9" s="1"/>
  <c r="I12" i="9"/>
  <c r="W13" i="10"/>
  <c r="Y13" i="10" s="1"/>
  <c r="Q13" i="10" s="1"/>
  <c r="I13" i="10"/>
  <c r="W13" i="13"/>
  <c r="Y13" i="13" s="1"/>
  <c r="Q13" i="13" s="1"/>
  <c r="I13" i="13"/>
  <c r="Y14" i="6"/>
  <c r="Q14" i="6" s="1"/>
  <c r="L12" i="12" l="1"/>
  <c r="L11" i="13"/>
  <c r="L9" i="13"/>
  <c r="L10" i="13"/>
  <c r="F15" i="7"/>
  <c r="K18" i="7"/>
  <c r="L18" i="7" s="1"/>
  <c r="L13" i="13"/>
  <c r="M9" i="11"/>
  <c r="L10" i="12"/>
  <c r="L11" i="12"/>
  <c r="L15" i="12"/>
  <c r="L8" i="12"/>
  <c r="L13" i="12"/>
  <c r="L16" i="12"/>
  <c r="L8" i="13"/>
  <c r="K14" i="12" s="1"/>
  <c r="L14" i="12" s="1"/>
  <c r="L9" i="12"/>
  <c r="L12" i="13"/>
  <c r="D35" i="1"/>
  <c r="F34" i="1"/>
  <c r="Y24" i="4"/>
  <c r="H13" i="5" s="1"/>
  <c r="F12" i="6" s="1"/>
  <c r="Y30" i="4"/>
  <c r="H19" i="5" s="1"/>
  <c r="Y22" i="4"/>
  <c r="H11" i="5" s="1"/>
  <c r="F10" i="6" s="1"/>
  <c r="L17" i="12"/>
  <c r="Y26" i="4" l="1"/>
  <c r="H15" i="5" s="1"/>
  <c r="Y27" i="4"/>
  <c r="H9" i="5" s="1"/>
  <c r="Y21" i="4"/>
  <c r="H10" i="5" s="1"/>
  <c r="F9" i="6" s="1"/>
  <c r="D36" i="1"/>
  <c r="F35" i="1"/>
  <c r="Y31" i="4" s="1"/>
  <c r="H20" i="5" s="1"/>
  <c r="F10" i="7" l="1"/>
  <c r="F13" i="7"/>
  <c r="F14" i="7"/>
  <c r="F8" i="6"/>
  <c r="F8" i="7"/>
  <c r="D37" i="1"/>
  <c r="F36" i="1"/>
  <c r="Y28" i="4" s="1"/>
  <c r="H17" i="5" s="1"/>
  <c r="D38" i="1" l="1"/>
  <c r="F37" i="1"/>
  <c r="Y29" i="4" l="1"/>
  <c r="H18" i="5" s="1"/>
  <c r="Y25" i="4"/>
  <c r="H14" i="5" s="1"/>
  <c r="F9" i="7" s="1"/>
  <c r="F38" i="1"/>
  <c r="D39" i="1"/>
  <c r="F11" i="7" l="1"/>
  <c r="F12" i="7"/>
  <c r="E4" i="3"/>
  <c r="B11" i="3" s="1"/>
  <c r="E5" i="3"/>
  <c r="F39" i="1"/>
  <c r="D40" i="1"/>
  <c r="P11" i="8"/>
  <c r="P11" i="5"/>
  <c r="P12" i="5"/>
  <c r="F4" i="3" l="1"/>
  <c r="G4" i="3" s="1"/>
  <c r="F5" i="3"/>
  <c r="G5" i="3" s="1"/>
  <c r="B31" i="3"/>
  <c r="J34" i="5"/>
  <c r="J16" i="5"/>
  <c r="J28" i="5"/>
  <c r="J17" i="5"/>
  <c r="J29" i="5"/>
  <c r="J10" i="5"/>
  <c r="J45" i="5"/>
  <c r="J12" i="5"/>
  <c r="J32" i="5"/>
  <c r="J51" i="5"/>
  <c r="J41" i="5"/>
  <c r="J36" i="5"/>
  <c r="J30" i="5"/>
  <c r="J43" i="5"/>
  <c r="J49" i="5"/>
  <c r="J22" i="5"/>
  <c r="J11" i="5"/>
  <c r="J50" i="5"/>
  <c r="J40" i="5"/>
  <c r="J35" i="5"/>
  <c r="J46" i="5"/>
  <c r="J23" i="5"/>
  <c r="J24" i="5"/>
  <c r="J13" i="5"/>
  <c r="J31" i="5"/>
  <c r="J14" i="5"/>
  <c r="J27" i="5"/>
  <c r="J18" i="5"/>
  <c r="J42" i="5"/>
  <c r="J25" i="5"/>
  <c r="J33" i="5"/>
  <c r="J21" i="5"/>
  <c r="J20" i="5"/>
  <c r="J19" i="5"/>
  <c r="J47" i="5"/>
  <c r="J26" i="5"/>
  <c r="J48" i="5"/>
  <c r="J15" i="5"/>
  <c r="J38" i="5"/>
  <c r="J39" i="5"/>
  <c r="J37" i="5"/>
  <c r="J44" i="5"/>
  <c r="J9" i="5"/>
  <c r="D41" i="1"/>
  <c r="F40" i="1"/>
  <c r="E6" i="3" l="1"/>
  <c r="T55" i="3"/>
  <c r="AE75" i="3"/>
  <c r="T27" i="3"/>
  <c r="AE47" i="3"/>
  <c r="AE46" i="3"/>
  <c r="T26" i="3"/>
  <c r="T46" i="3"/>
  <c r="AE66" i="3"/>
  <c r="AE58" i="3"/>
  <c r="T38" i="3"/>
  <c r="T34" i="3"/>
  <c r="AE54" i="3"/>
  <c r="AE65" i="3"/>
  <c r="T45" i="3"/>
  <c r="AE52" i="3"/>
  <c r="T32" i="3"/>
  <c r="T22" i="3"/>
  <c r="AE42" i="3"/>
  <c r="AE63" i="3"/>
  <c r="T43" i="3"/>
  <c r="AE73" i="3"/>
  <c r="T53" i="3"/>
  <c r="AE72" i="3"/>
  <c r="T52" i="3"/>
  <c r="AE68" i="3"/>
  <c r="T48" i="3"/>
  <c r="AE61" i="3"/>
  <c r="T41" i="3"/>
  <c r="AE67" i="3"/>
  <c r="T47" i="3"/>
  <c r="AE37" i="3"/>
  <c r="T17" i="3"/>
  <c r="T19" i="3"/>
  <c r="AE39" i="3"/>
  <c r="D42" i="1"/>
  <c r="F41" i="1"/>
  <c r="AE49" i="3"/>
  <c r="T29" i="3"/>
  <c r="AE53" i="3"/>
  <c r="T33" i="3"/>
  <c r="AE64" i="3"/>
  <c r="T44" i="3"/>
  <c r="T20" i="3"/>
  <c r="AE40" i="3"/>
  <c r="T31" i="3"/>
  <c r="AE51" i="3"/>
  <c r="AE44" i="3"/>
  <c r="T24" i="3"/>
  <c r="T25" i="3"/>
  <c r="AE45" i="3"/>
  <c r="AE50" i="3"/>
  <c r="T30" i="3"/>
  <c r="T23" i="3"/>
  <c r="AE43" i="3"/>
  <c r="T15" i="3"/>
  <c r="AE35" i="3"/>
  <c r="T18" i="3"/>
  <c r="AE38" i="3"/>
  <c r="T28" i="3"/>
  <c r="AE48" i="3"/>
  <c r="T21" i="3"/>
  <c r="AE41" i="3"/>
  <c r="T40" i="3"/>
  <c r="AE60" i="3"/>
  <c r="T16" i="3"/>
  <c r="AE36" i="3"/>
  <c r="AE74" i="3"/>
  <c r="T54" i="3"/>
  <c r="AE55" i="3"/>
  <c r="T35" i="3"/>
  <c r="T56" i="3"/>
  <c r="AE76" i="3"/>
  <c r="T37" i="3"/>
  <c r="AE57" i="3"/>
  <c r="T50" i="3"/>
  <c r="AE70" i="3"/>
  <c r="T36" i="3"/>
  <c r="AE56" i="3"/>
  <c r="O16" i="5"/>
  <c r="T14" i="3"/>
  <c r="AE34" i="3"/>
  <c r="T49" i="3"/>
  <c r="AE69" i="3"/>
  <c r="T42" i="3"/>
  <c r="AE62" i="3"/>
  <c r="T51" i="3"/>
  <c r="AE71" i="3"/>
  <c r="T39" i="3"/>
  <c r="AE59" i="3"/>
  <c r="D43" i="1" l="1"/>
  <c r="F42" i="1"/>
  <c r="D44" i="1" l="1"/>
  <c r="F43" i="1"/>
  <c r="D45" i="1" l="1"/>
  <c r="F44" i="1"/>
  <c r="F45" i="1" l="1"/>
  <c r="D46" i="1"/>
  <c r="D47" i="1" l="1"/>
  <c r="F46" i="1"/>
  <c r="F47" i="1" l="1"/>
  <c r="D48" i="1"/>
  <c r="D49" i="1" l="1"/>
  <c r="F48" i="1"/>
  <c r="F49" i="1" l="1"/>
  <c r="D50" i="1"/>
  <c r="F50" i="1" l="1"/>
  <c r="D51" i="1"/>
  <c r="D52" i="1" l="1"/>
  <c r="F51" i="1"/>
  <c r="F52" i="1" l="1"/>
  <c r="D53" i="1"/>
  <c r="D54" i="1" l="1"/>
  <c r="F53" i="1"/>
  <c r="F54" i="1" l="1"/>
  <c r="D55" i="1"/>
  <c r="D56" i="1" l="1"/>
  <c r="F55" i="1"/>
  <c r="D57" i="1" l="1"/>
  <c r="F56" i="1"/>
  <c r="D58" i="1" l="1"/>
  <c r="F57" i="1"/>
  <c r="D59" i="1" l="1"/>
  <c r="F58" i="1"/>
  <c r="F59" i="1" l="1"/>
  <c r="D60" i="1"/>
  <c r="D61" i="1" l="1"/>
  <c r="F60" i="1"/>
  <c r="D62" i="1" l="1"/>
  <c r="F61" i="1"/>
  <c r="F62" i="1" l="1"/>
  <c r="D63" i="1"/>
  <c r="D64" i="1" l="1"/>
  <c r="F63" i="1"/>
  <c r="D65" i="1" l="1"/>
  <c r="F64" i="1"/>
  <c r="D66" i="1" l="1"/>
  <c r="F65" i="1"/>
  <c r="D67" i="1" l="1"/>
  <c r="F66" i="1"/>
  <c r="D68" i="1" l="1"/>
  <c r="F67" i="1"/>
  <c r="D69" i="1" l="1"/>
  <c r="F68" i="1"/>
  <c r="F69" i="1" l="1"/>
  <c r="D70" i="1"/>
  <c r="D71" i="1" l="1"/>
  <c r="F70" i="1"/>
  <c r="D72" i="1" l="1"/>
  <c r="F71" i="1"/>
  <c r="F72" i="1" l="1"/>
  <c r="D73" i="1"/>
  <c r="D74" i="1" l="1"/>
  <c r="F73" i="1"/>
  <c r="D75" i="1" l="1"/>
  <c r="F74" i="1"/>
  <c r="D76" i="1" l="1"/>
  <c r="F75" i="1"/>
  <c r="D77" i="1" l="1"/>
  <c r="F76" i="1"/>
  <c r="D78" i="1" l="1"/>
  <c r="F77" i="1"/>
  <c r="D79" i="1" l="1"/>
  <c r="F78" i="1"/>
  <c r="F79" i="1" l="1"/>
  <c r="D80" i="1"/>
  <c r="D81" i="1" l="1"/>
  <c r="F80" i="1"/>
  <c r="D82" i="1" l="1"/>
  <c r="F81" i="1"/>
  <c r="AB37" i="4" s="1"/>
  <c r="AC37" i="4" s="1"/>
  <c r="AD37" i="4" s="1"/>
  <c r="F82" i="1" l="1"/>
  <c r="D83" i="1"/>
  <c r="D84" i="1" l="1"/>
  <c r="F83" i="1"/>
  <c r="D85" i="1" l="1"/>
  <c r="F84" i="1"/>
  <c r="F85" i="1" l="1"/>
  <c r="D86" i="1"/>
  <c r="D87" i="1" l="1"/>
  <c r="F86" i="1"/>
  <c r="F87" i="1" l="1"/>
  <c r="D88" i="1"/>
  <c r="D89" i="1" l="1"/>
  <c r="F88" i="1"/>
  <c r="F89" i="1" l="1"/>
  <c r="D90" i="1"/>
  <c r="D91" i="1" l="1"/>
  <c r="F90" i="1"/>
  <c r="D92" i="1" l="1"/>
  <c r="F91" i="1"/>
  <c r="D93" i="1" l="1"/>
  <c r="F92" i="1"/>
  <c r="F93" i="1" l="1"/>
  <c r="D94" i="1"/>
  <c r="F94" i="1" l="1"/>
  <c r="D95" i="1"/>
  <c r="D96" i="1" l="1"/>
  <c r="F95" i="1"/>
  <c r="D97" i="1" l="1"/>
  <c r="F96" i="1"/>
  <c r="F97" i="1" l="1"/>
  <c r="D98" i="1"/>
  <c r="D99" i="1" l="1"/>
  <c r="F98" i="1"/>
  <c r="F99" i="1" l="1"/>
  <c r="D100" i="1"/>
  <c r="D101" i="1" l="1"/>
  <c r="F100" i="1"/>
  <c r="D102" i="1" l="1"/>
  <c r="F101" i="1"/>
  <c r="F102" i="1" l="1"/>
  <c r="D103" i="1"/>
  <c r="D104" i="1" l="1"/>
  <c r="F103" i="1"/>
  <c r="D105" i="1" l="1"/>
  <c r="F104" i="1"/>
  <c r="D106" i="1" l="1"/>
  <c r="F105" i="1"/>
  <c r="D107" i="1" l="1"/>
  <c r="F106" i="1"/>
  <c r="D108" i="1" l="1"/>
  <c r="F107" i="1"/>
  <c r="D109" i="1" l="1"/>
  <c r="F108" i="1"/>
  <c r="F109" i="1" l="1"/>
  <c r="D110" i="1"/>
  <c r="D111" i="1" l="1"/>
  <c r="F110" i="1"/>
  <c r="D112" i="1" l="1"/>
  <c r="F111" i="1"/>
  <c r="F112" i="1" l="1"/>
  <c r="D113" i="1"/>
  <c r="D114" i="1" l="1"/>
  <c r="F113" i="1"/>
  <c r="D115" i="1" l="1"/>
  <c r="F114" i="1"/>
  <c r="D116" i="1" l="1"/>
  <c r="F115" i="1"/>
  <c r="D117" i="1" l="1"/>
  <c r="F116" i="1"/>
  <c r="D118" i="1" l="1"/>
  <c r="F117" i="1"/>
  <c r="D119" i="1" l="1"/>
  <c r="F118" i="1"/>
  <c r="F119" i="1" l="1"/>
  <c r="D120" i="1"/>
  <c r="D121" i="1" l="1"/>
  <c r="F120" i="1"/>
  <c r="D122" i="1" l="1"/>
  <c r="F121" i="1"/>
  <c r="F122" i="1" l="1"/>
  <c r="D123" i="1"/>
  <c r="D124" i="1" l="1"/>
  <c r="F123" i="1"/>
  <c r="D125" i="1" l="1"/>
  <c r="F124" i="1"/>
  <c r="D126" i="1" l="1"/>
  <c r="F125" i="1"/>
  <c r="D127" i="1" l="1"/>
  <c r="F126" i="1"/>
  <c r="D128" i="1" l="1"/>
  <c r="F127" i="1"/>
  <c r="D129" i="1" l="1"/>
  <c r="F128" i="1"/>
  <c r="F129" i="1" l="1"/>
  <c r="D130" i="1"/>
  <c r="D131" i="1" l="1"/>
  <c r="F130" i="1"/>
  <c r="D132" i="1" l="1"/>
  <c r="F131" i="1"/>
  <c r="F132" i="1" l="1"/>
  <c r="D133" i="1"/>
  <c r="D134" i="1" l="1"/>
  <c r="F133" i="1"/>
  <c r="D135" i="1" l="1"/>
  <c r="F134" i="1"/>
  <c r="D136" i="1" l="1"/>
  <c r="F135" i="1"/>
  <c r="D137" i="1" l="1"/>
  <c r="F136" i="1"/>
  <c r="F137" i="1" l="1"/>
  <c r="D138" i="1"/>
  <c r="D139" i="1" l="1"/>
  <c r="F138" i="1"/>
  <c r="F139" i="1" l="1"/>
  <c r="D140" i="1"/>
  <c r="D141" i="1" l="1"/>
  <c r="F140" i="1"/>
  <c r="D142" i="1" l="1"/>
  <c r="F141" i="1"/>
  <c r="F142" i="1" l="1"/>
  <c r="D143" i="1"/>
  <c r="D144" i="1" l="1"/>
  <c r="F143" i="1"/>
  <c r="D145" i="1" l="1"/>
  <c r="F144" i="1"/>
  <c r="D146" i="1" l="1"/>
  <c r="F145" i="1"/>
  <c r="D147" i="1" l="1"/>
  <c r="F146" i="1"/>
  <c r="D148" i="1" l="1"/>
  <c r="F147" i="1"/>
  <c r="F148" i="1" l="1"/>
  <c r="D149" i="1"/>
  <c r="F149" i="1" l="1"/>
  <c r="D150" i="1"/>
  <c r="D151" i="1" l="1"/>
  <c r="F150" i="1"/>
  <c r="D152" i="1" l="1"/>
  <c r="F151" i="1"/>
  <c r="F152" i="1" l="1"/>
  <c r="D153" i="1"/>
  <c r="D154" i="1" l="1"/>
  <c r="F153" i="1"/>
  <c r="D155" i="1" l="1"/>
  <c r="F154" i="1"/>
  <c r="D156" i="1" l="1"/>
  <c r="F155" i="1"/>
  <c r="D157" i="1" l="1"/>
  <c r="F156" i="1"/>
  <c r="D158" i="1" l="1"/>
  <c r="F157" i="1"/>
  <c r="D159" i="1" l="1"/>
  <c r="F158" i="1"/>
  <c r="D160" i="1" l="1"/>
  <c r="F159" i="1"/>
  <c r="D161" i="1" l="1"/>
  <c r="F160" i="1"/>
  <c r="D162" i="1" l="1"/>
  <c r="F161" i="1"/>
  <c r="F162" i="1" l="1"/>
  <c r="D163" i="1"/>
  <c r="F163" i="1" l="1"/>
  <c r="D164" i="1"/>
  <c r="D165" i="1" l="1"/>
  <c r="F164" i="1"/>
  <c r="D166" i="1" l="1"/>
  <c r="F165" i="1"/>
  <c r="F166" i="1" l="1"/>
  <c r="D167" i="1"/>
  <c r="D168" i="1" l="1"/>
  <c r="F167" i="1"/>
  <c r="F168" i="1" l="1"/>
  <c r="D169" i="1"/>
  <c r="D170" i="1" l="1"/>
  <c r="F169" i="1"/>
  <c r="F170" i="1" l="1"/>
  <c r="D171" i="1"/>
  <c r="D172" i="1" l="1"/>
  <c r="F171" i="1"/>
  <c r="F172" i="1" l="1"/>
  <c r="D173" i="1"/>
  <c r="D174" i="1" l="1"/>
  <c r="F173" i="1"/>
  <c r="F174" i="1" l="1"/>
  <c r="D175" i="1"/>
  <c r="D176" i="1" l="1"/>
  <c r="F175" i="1"/>
  <c r="D177" i="1" l="1"/>
  <c r="F176" i="1"/>
  <c r="D178" i="1" l="1"/>
  <c r="F177" i="1"/>
  <c r="D179" i="1" l="1"/>
  <c r="F178" i="1"/>
  <c r="D180" i="1" l="1"/>
  <c r="F179" i="1"/>
  <c r="D181" i="1" l="1"/>
  <c r="F180" i="1"/>
  <c r="D182" i="1" l="1"/>
  <c r="F181" i="1"/>
  <c r="F182" i="1" l="1"/>
  <c r="D183" i="1"/>
  <c r="D184" i="1" l="1"/>
  <c r="F183" i="1"/>
  <c r="F184" i="1" l="1"/>
  <c r="D185" i="1"/>
  <c r="F185" i="1" l="1"/>
  <c r="D186" i="1"/>
  <c r="D187" i="1" l="1"/>
  <c r="F186" i="1"/>
  <c r="D188" i="1" l="1"/>
  <c r="F187" i="1"/>
  <c r="D189" i="1" l="1"/>
  <c r="F188" i="1"/>
  <c r="F189" i="1" l="1"/>
  <c r="D190" i="1"/>
  <c r="D191" i="1" l="1"/>
  <c r="F190" i="1"/>
  <c r="F191" i="1" l="1"/>
  <c r="D192" i="1"/>
  <c r="F192" i="1" l="1"/>
  <c r="D193" i="1"/>
  <c r="D194" i="1" l="1"/>
  <c r="F193" i="1"/>
  <c r="D195" i="1" l="1"/>
  <c r="F194" i="1"/>
  <c r="D196" i="1" l="1"/>
  <c r="F195" i="1"/>
  <c r="D197" i="1" l="1"/>
  <c r="F196" i="1"/>
  <c r="D198" i="1" l="1"/>
  <c r="F197" i="1"/>
  <c r="D199" i="1" l="1"/>
  <c r="F198" i="1"/>
  <c r="D200" i="1" l="1"/>
  <c r="F199" i="1"/>
  <c r="D201" i="1" l="1"/>
  <c r="F200" i="1"/>
  <c r="D202" i="1" l="1"/>
  <c r="F201" i="1"/>
  <c r="F202" i="1" l="1"/>
  <c r="D203" i="1"/>
  <c r="D204" i="1" l="1"/>
  <c r="F203" i="1"/>
  <c r="D205" i="1" l="1"/>
  <c r="F204" i="1"/>
  <c r="F205" i="1" l="1"/>
  <c r="D206" i="1"/>
  <c r="D207" i="1" l="1"/>
  <c r="F206" i="1"/>
  <c r="D208" i="1" l="1"/>
  <c r="F207" i="1"/>
  <c r="D209" i="1" l="1"/>
  <c r="F208" i="1"/>
  <c r="D210" i="1" l="1"/>
  <c r="F209" i="1"/>
  <c r="F210" i="1" l="1"/>
  <c r="D211" i="1"/>
  <c r="D212" i="1" l="1"/>
  <c r="F211" i="1"/>
  <c r="F212" i="1" l="1"/>
  <c r="D213" i="1"/>
  <c r="D214" i="1" l="1"/>
  <c r="F213" i="1"/>
  <c r="D215" i="1" l="1"/>
  <c r="F214" i="1"/>
  <c r="D216" i="1" l="1"/>
  <c r="F215" i="1"/>
  <c r="D217" i="1" l="1"/>
  <c r="F216" i="1"/>
  <c r="D218" i="1" l="1"/>
  <c r="F217" i="1"/>
  <c r="D219" i="1" l="1"/>
  <c r="F218" i="1"/>
  <c r="D220" i="1" l="1"/>
  <c r="F219" i="1"/>
  <c r="D221" i="1" l="1"/>
  <c r="F220" i="1"/>
  <c r="D222" i="1" l="1"/>
  <c r="F221" i="1"/>
  <c r="F222" i="1" l="1"/>
  <c r="D223" i="1"/>
  <c r="F223" i="1" l="1"/>
  <c r="D224" i="1"/>
  <c r="D225" i="1" l="1"/>
  <c r="F224" i="1"/>
  <c r="D226" i="1" l="1"/>
  <c r="F225" i="1"/>
  <c r="D227" i="1" l="1"/>
  <c r="F226" i="1"/>
  <c r="D228" i="1" l="1"/>
  <c r="F227" i="1"/>
  <c r="D229" i="1" l="1"/>
  <c r="F228" i="1"/>
  <c r="F229" i="1" l="1"/>
  <c r="D230" i="1"/>
  <c r="D231" i="1" l="1"/>
  <c r="F230" i="1"/>
  <c r="D232" i="1" l="1"/>
  <c r="F231" i="1"/>
  <c r="F232" i="1" l="1"/>
  <c r="D233" i="1"/>
  <c r="F233" i="1" l="1"/>
  <c r="D234" i="1"/>
  <c r="D235" i="1" l="1"/>
  <c r="F234" i="1"/>
  <c r="F235" i="1" l="1"/>
  <c r="D236" i="1"/>
  <c r="D237" i="1" l="1"/>
  <c r="F236" i="1"/>
  <c r="D238" i="1" l="1"/>
  <c r="F237" i="1"/>
  <c r="D239" i="1" l="1"/>
  <c r="F238" i="1"/>
  <c r="D240" i="1" l="1"/>
  <c r="F239" i="1"/>
  <c r="D241" i="1" l="1"/>
  <c r="F240" i="1"/>
  <c r="D242" i="1" l="1"/>
  <c r="F241" i="1"/>
  <c r="F242" i="1" l="1"/>
  <c r="D243" i="1"/>
  <c r="F243" i="1" l="1"/>
  <c r="D244" i="1"/>
  <c r="D245" i="1" l="1"/>
  <c r="F244" i="1"/>
  <c r="D246" i="1" l="1"/>
  <c r="F245" i="1"/>
  <c r="D247" i="1" l="1"/>
  <c r="F246" i="1"/>
  <c r="D248" i="1" l="1"/>
  <c r="F247" i="1"/>
  <c r="D249" i="1" l="1"/>
  <c r="F248" i="1"/>
  <c r="D250" i="1" l="1"/>
  <c r="F249" i="1"/>
  <c r="F250" i="1" l="1"/>
  <c r="D251" i="1"/>
  <c r="D252" i="1" l="1"/>
  <c r="F251" i="1"/>
  <c r="F252" i="1" l="1"/>
  <c r="D253" i="1"/>
  <c r="F253" i="1" l="1"/>
  <c r="D254" i="1"/>
  <c r="D255" i="1" l="1"/>
  <c r="F254" i="1"/>
  <c r="D256" i="1" l="1"/>
  <c r="F255" i="1"/>
  <c r="D257" i="1" l="1"/>
  <c r="F256" i="1"/>
  <c r="D258" i="1" l="1"/>
  <c r="F257" i="1"/>
  <c r="D259" i="1" l="1"/>
  <c r="F258" i="1"/>
  <c r="D260" i="1" l="1"/>
  <c r="F259" i="1"/>
  <c r="D261" i="1" l="1"/>
  <c r="F260" i="1"/>
  <c r="D262" i="1" l="1"/>
  <c r="F261" i="1"/>
  <c r="F262" i="1" l="1"/>
  <c r="D263" i="1"/>
  <c r="F263" i="1" l="1"/>
  <c r="D264" i="1"/>
  <c r="D265" i="1" l="1"/>
  <c r="F264" i="1"/>
  <c r="D266" i="1" l="1"/>
  <c r="F265" i="1"/>
  <c r="D267" i="1" l="1"/>
  <c r="F266" i="1"/>
  <c r="D268" i="1" l="1"/>
  <c r="F267" i="1"/>
  <c r="D269" i="1" l="1"/>
  <c r="F268" i="1"/>
  <c r="D270" i="1" l="1"/>
  <c r="F269" i="1"/>
  <c r="D271" i="1" l="1"/>
  <c r="F270" i="1"/>
  <c r="D272" i="1" l="1"/>
  <c r="F271" i="1"/>
  <c r="F272" i="1" l="1"/>
  <c r="D273" i="1"/>
  <c r="F273" i="1" l="1"/>
  <c r="D274" i="1"/>
  <c r="D275" i="1" l="1"/>
  <c r="F274" i="1"/>
  <c r="D276" i="1" l="1"/>
  <c r="F275" i="1"/>
  <c r="D277" i="1" l="1"/>
  <c r="F276" i="1"/>
  <c r="D278" i="1" l="1"/>
  <c r="F277" i="1"/>
  <c r="D279" i="1" l="1"/>
  <c r="F278" i="1"/>
  <c r="D280" i="1" l="1"/>
  <c r="F279" i="1"/>
  <c r="D281" i="1" l="1"/>
  <c r="F280" i="1"/>
  <c r="D282" i="1" l="1"/>
  <c r="F281" i="1"/>
  <c r="D283" i="1" l="1"/>
  <c r="F282" i="1"/>
  <c r="F283" i="1" l="1"/>
  <c r="D284" i="1"/>
  <c r="D285" i="1" l="1"/>
  <c r="F284" i="1"/>
  <c r="D286" i="1" l="1"/>
  <c r="F285" i="1"/>
  <c r="D287" i="1" l="1"/>
  <c r="F286" i="1"/>
  <c r="D288" i="1" l="1"/>
  <c r="F287" i="1"/>
  <c r="D289" i="1" l="1"/>
  <c r="F288" i="1"/>
  <c r="D290" i="1" l="1"/>
  <c r="F289" i="1"/>
  <c r="D291" i="1" l="1"/>
  <c r="F290" i="1"/>
  <c r="D292" i="1" l="1"/>
  <c r="F291" i="1"/>
  <c r="F292" i="1" l="1"/>
  <c r="D293" i="1"/>
  <c r="F293" i="1" l="1"/>
  <c r="D294" i="1"/>
  <c r="D295" i="1" l="1"/>
  <c r="F294" i="1"/>
  <c r="D296" i="1" l="1"/>
  <c r="F295" i="1"/>
  <c r="D297" i="1" l="1"/>
  <c r="F296" i="1"/>
  <c r="F297" i="1" l="1"/>
  <c r="D298" i="1"/>
  <c r="D299" i="1" l="1"/>
  <c r="F298" i="1"/>
  <c r="D300" i="1" l="1"/>
  <c r="F299" i="1"/>
  <c r="D301" i="1" l="1"/>
  <c r="F300" i="1"/>
  <c r="D302" i="1" l="1"/>
  <c r="F301" i="1"/>
  <c r="F302" i="1" l="1"/>
  <c r="D303" i="1"/>
  <c r="F303" i="1" l="1"/>
  <c r="D304" i="1"/>
  <c r="D305" i="1" l="1"/>
  <c r="F304" i="1"/>
  <c r="D306" i="1" l="1"/>
  <c r="F305" i="1"/>
  <c r="D307" i="1" l="1"/>
  <c r="F306" i="1"/>
  <c r="D308" i="1" l="1"/>
  <c r="F307" i="1"/>
  <c r="D309" i="1" l="1"/>
  <c r="F308" i="1"/>
  <c r="D310" i="1" l="1"/>
  <c r="F309" i="1"/>
  <c r="D311" i="1" l="1"/>
  <c r="F310" i="1"/>
  <c r="D312" i="1" l="1"/>
  <c r="F311" i="1"/>
  <c r="F312" i="1" l="1"/>
  <c r="D313" i="1"/>
  <c r="D314" i="1" l="1"/>
  <c r="F313" i="1"/>
  <c r="D315" i="1" l="1"/>
  <c r="F314" i="1"/>
  <c r="D316" i="1" l="1"/>
  <c r="F315" i="1"/>
  <c r="F316" i="1" l="1"/>
  <c r="D317" i="1"/>
  <c r="D318" i="1" l="1"/>
  <c r="F317" i="1"/>
  <c r="D319" i="1" l="1"/>
  <c r="F318" i="1"/>
  <c r="D320" i="1" l="1"/>
  <c r="F319" i="1"/>
  <c r="D321" i="1" l="1"/>
  <c r="F320" i="1"/>
  <c r="D322" i="1" l="1"/>
  <c r="F321" i="1"/>
  <c r="F322" i="1" l="1"/>
  <c r="D323" i="1"/>
  <c r="F323" i="1" l="1"/>
  <c r="D324" i="1"/>
  <c r="D325" i="1" l="1"/>
  <c r="F324" i="1"/>
  <c r="D326" i="1" l="1"/>
  <c r="F325" i="1"/>
  <c r="D327" i="1" l="1"/>
  <c r="F326" i="1"/>
  <c r="D328" i="1" l="1"/>
  <c r="F327" i="1"/>
  <c r="AF37" i="3"/>
  <c r="AF38" i="3"/>
  <c r="D329" i="1" l="1"/>
  <c r="F328" i="1"/>
  <c r="U24" i="3"/>
  <c r="U23" i="3"/>
  <c r="U26" i="3"/>
  <c r="U25" i="3"/>
  <c r="F329" i="1" l="1"/>
  <c r="D330" i="1"/>
  <c r="F330" i="1" s="1"/>
  <c r="U22" i="3" l="1"/>
  <c r="U20" i="3"/>
  <c r="U21" i="3"/>
  <c r="G13" i="5" l="1"/>
  <c r="I13" i="5" l="1"/>
  <c r="G12" i="6" s="1"/>
  <c r="G12" i="5"/>
  <c r="G11" i="5" s="1"/>
  <c r="V12" i="6" l="1"/>
  <c r="J12" i="6"/>
  <c r="K12" i="6" s="1"/>
  <c r="L12" i="6" s="1"/>
  <c r="G10" i="5"/>
  <c r="I12" i="5"/>
  <c r="G11" i="6" s="1"/>
  <c r="Y38" i="3"/>
  <c r="N18" i="3"/>
  <c r="I11" i="5" l="1"/>
  <c r="G10" i="6" s="1"/>
  <c r="J10" i="6" s="1"/>
  <c r="K10" i="6" s="1"/>
  <c r="L10" i="6" s="1"/>
  <c r="V11" i="6"/>
  <c r="J11" i="6"/>
  <c r="K11" i="6" s="1"/>
  <c r="L11" i="6" s="1"/>
  <c r="I12" i="6"/>
  <c r="W12" i="6"/>
  <c r="Y12" i="6" s="1"/>
  <c r="Q12" i="6" s="1"/>
  <c r="Y36" i="3"/>
  <c r="N16" i="3"/>
  <c r="AA38" i="3"/>
  <c r="AB38" i="3" s="1"/>
  <c r="Z38" i="3"/>
  <c r="AD38" i="3" s="1"/>
  <c r="O18" i="3"/>
  <c r="S18" i="3" s="1"/>
  <c r="P18" i="3"/>
  <c r="Q18" i="3" s="1"/>
  <c r="Y37" i="3"/>
  <c r="N17" i="3"/>
  <c r="V10" i="6" l="1"/>
  <c r="I10" i="5"/>
  <c r="W10" i="6"/>
  <c r="Y10" i="6" s="1"/>
  <c r="I11" i="6"/>
  <c r="W11" i="6"/>
  <c r="Y11" i="6" s="1"/>
  <c r="Q11" i="6" s="1"/>
  <c r="P16" i="3"/>
  <c r="Q16" i="3" s="1"/>
  <c r="O16" i="3"/>
  <c r="S16" i="3" s="1"/>
  <c r="Z36" i="3"/>
  <c r="AD36" i="3" s="1"/>
  <c r="AA36" i="3"/>
  <c r="AB36" i="3" s="1"/>
  <c r="O17" i="3"/>
  <c r="S17" i="3" s="1"/>
  <c r="P17" i="3"/>
  <c r="Q17" i="3" s="1"/>
  <c r="Z37" i="3"/>
  <c r="AD37" i="3" s="1"/>
  <c r="AA37" i="3"/>
  <c r="AB37" i="3" s="1"/>
  <c r="G9" i="6" l="1"/>
  <c r="Y35" i="3"/>
  <c r="N15" i="3"/>
  <c r="U19" i="3"/>
  <c r="P15" i="3" l="1"/>
  <c r="Q15" i="3" s="1"/>
  <c r="O15" i="3"/>
  <c r="S15" i="3" s="1"/>
  <c r="AA35" i="3"/>
  <c r="AB35" i="3" s="1"/>
  <c r="Z35" i="3"/>
  <c r="AD35" i="3" s="1"/>
  <c r="J9" i="6"/>
  <c r="K9" i="6" s="1"/>
  <c r="L9" i="6" s="1"/>
  <c r="V9" i="6"/>
  <c r="W9" i="6" s="1"/>
  <c r="Y9" i="6" s="1"/>
  <c r="K8" i="9"/>
  <c r="L12" i="9"/>
  <c r="K8" i="10"/>
  <c r="G13" i="8"/>
  <c r="G12" i="8" s="1"/>
  <c r="G11" i="8" s="1"/>
  <c r="G10" i="8" s="1"/>
  <c r="K12" i="9"/>
  <c r="G12" i="10" l="1"/>
  <c r="V12" i="10" s="1"/>
  <c r="G16" i="8"/>
  <c r="G15" i="8" s="1"/>
  <c r="G14" i="8" s="1"/>
  <c r="G9" i="8" s="1"/>
  <c r="G11" i="9" l="1"/>
  <c r="V11" i="9" s="1"/>
  <c r="K12" i="10"/>
  <c r="K9" i="10" s="1"/>
  <c r="I12" i="10"/>
  <c r="W12" i="10"/>
  <c r="Y12" i="10" s="1"/>
  <c r="Q12" i="10" s="1"/>
  <c r="G11" i="10"/>
  <c r="V11" i="10" s="1"/>
  <c r="G19" i="8"/>
  <c r="G17" i="8"/>
  <c r="G18" i="8"/>
  <c r="G20" i="8"/>
  <c r="G23" i="8"/>
  <c r="G21" i="8"/>
  <c r="G22" i="8"/>
  <c r="I11" i="10" l="1"/>
  <c r="W11" i="10"/>
  <c r="Y11" i="10" s="1"/>
  <c r="Q11" i="10" s="1"/>
  <c r="G9" i="10"/>
  <c r="V9" i="10" s="1"/>
  <c r="G10" i="10"/>
  <c r="V10" i="10" s="1"/>
  <c r="K11" i="9"/>
  <c r="L11" i="9" s="1"/>
  <c r="I11" i="9"/>
  <c r="W11" i="9"/>
  <c r="Y11" i="9" s="1"/>
  <c r="Q11" i="9" s="1"/>
  <c r="G10" i="9"/>
  <c r="V10" i="9" s="1"/>
  <c r="L9" i="10"/>
  <c r="L12" i="10"/>
  <c r="L11" i="10"/>
  <c r="L13" i="10"/>
  <c r="L10" i="9" l="1"/>
  <c r="G9" i="9"/>
  <c r="V9" i="9" s="1"/>
  <c r="K10" i="10"/>
  <c r="L10" i="10" s="1"/>
  <c r="W10" i="10"/>
  <c r="Y10" i="10" s="1"/>
  <c r="Q10" i="10" s="1"/>
  <c r="I10" i="10"/>
  <c r="I10" i="9"/>
  <c r="W10" i="9"/>
  <c r="Y10" i="9" s="1"/>
  <c r="Q10" i="9" s="1"/>
  <c r="I9" i="10"/>
  <c r="W9" i="10"/>
  <c r="Y9" i="10" s="1"/>
  <c r="Q9" i="10" s="1"/>
  <c r="L9" i="9" l="1"/>
  <c r="I9" i="9"/>
  <c r="W9" i="9"/>
  <c r="Y9" i="9" s="1"/>
  <c r="Q9" i="9" s="1"/>
  <c r="O5" i="8"/>
  <c r="AC24" i="4"/>
  <c r="G8" i="10"/>
  <c r="G8" i="9"/>
  <c r="AC4" i="10" l="1"/>
  <c r="V8" i="10"/>
  <c r="AC5" i="10"/>
  <c r="AC28" i="4"/>
  <c r="AC20" i="4"/>
  <c r="AC18" i="4" s="1"/>
  <c r="K16" i="1"/>
  <c r="K17" i="1" s="1"/>
  <c r="K19" i="1" s="1"/>
  <c r="AC30" i="4"/>
  <c r="P5" i="8"/>
  <c r="P2" i="8"/>
  <c r="O6" i="8"/>
  <c r="AC5" i="9"/>
  <c r="AC4" i="9"/>
  <c r="V8" i="9"/>
  <c r="L8" i="9"/>
  <c r="M8" i="9" s="1"/>
  <c r="I8" i="9" l="1"/>
  <c r="W8" i="9"/>
  <c r="Y8" i="9" s="1"/>
  <c r="Q8" i="9" s="1"/>
  <c r="Z8" i="9"/>
  <c r="Z11" i="9"/>
  <c r="Z10" i="9"/>
  <c r="Z12" i="9"/>
  <c r="Z9" i="9"/>
  <c r="N8" i="9"/>
  <c r="M9" i="9"/>
  <c r="L8" i="10"/>
  <c r="M8" i="10" s="1"/>
  <c r="M9" i="8"/>
  <c r="W8" i="10"/>
  <c r="Y8" i="10" s="1"/>
  <c r="Q8" i="10" s="1"/>
  <c r="I8" i="10"/>
  <c r="Z8" i="10"/>
  <c r="Z12" i="10"/>
  <c r="Z9" i="10"/>
  <c r="Z11" i="10"/>
  <c r="Z10" i="10"/>
  <c r="Z13" i="10"/>
  <c r="M10" i="9" l="1"/>
  <c r="N9" i="9"/>
  <c r="N8" i="10"/>
  <c r="M9" i="10"/>
  <c r="O8" i="9"/>
  <c r="P8" i="9"/>
  <c r="N9" i="10" l="1"/>
  <c r="M10" i="10"/>
  <c r="P8" i="10"/>
  <c r="O8" i="10"/>
  <c r="O9" i="9"/>
  <c r="M14" i="8" s="1"/>
  <c r="P9" i="9"/>
  <c r="N10" i="9"/>
  <c r="M11" i="9"/>
  <c r="N11" i="9" l="1"/>
  <c r="M12" i="9"/>
  <c r="N12" i="9" s="1"/>
  <c r="P10" i="9"/>
  <c r="O10" i="9"/>
  <c r="N10" i="10"/>
  <c r="M11" i="10"/>
  <c r="O9" i="10"/>
  <c r="M10" i="8" s="1"/>
  <c r="P9" i="10"/>
  <c r="N11" i="10" l="1"/>
  <c r="M12" i="10"/>
  <c r="O12" i="9"/>
  <c r="P31" i="8" s="1"/>
  <c r="M3" i="8" s="1"/>
  <c r="P12" i="9"/>
  <c r="O10" i="10"/>
  <c r="M11" i="8" s="1"/>
  <c r="P10" i="10"/>
  <c r="M15" i="8"/>
  <c r="O11" i="9"/>
  <c r="M16" i="8" s="1"/>
  <c r="P11" i="9"/>
  <c r="C2" i="9"/>
  <c r="B2" i="9" l="1"/>
  <c r="N12" i="10"/>
  <c r="M13" i="10"/>
  <c r="N13" i="10" s="1"/>
  <c r="P11" i="10"/>
  <c r="O11" i="10"/>
  <c r="M12" i="8" l="1"/>
  <c r="C2" i="10"/>
  <c r="P13" i="10"/>
  <c r="O13" i="10"/>
  <c r="P32" i="8" s="1"/>
  <c r="M5" i="8" s="1"/>
  <c r="P12" i="10"/>
  <c r="O12" i="10"/>
  <c r="M13" i="8" s="1"/>
  <c r="B2" i="10" l="1"/>
  <c r="AC75" i="3"/>
  <c r="AC54" i="3"/>
  <c r="AC50" i="3"/>
  <c r="AC49" i="3"/>
  <c r="AC62" i="3"/>
  <c r="AC63" i="3"/>
  <c r="AC51" i="3"/>
  <c r="AC56" i="3"/>
  <c r="AC47" i="3"/>
  <c r="AC52" i="3"/>
  <c r="AC38" i="3"/>
  <c r="AC73" i="3"/>
  <c r="AC72" i="3"/>
  <c r="AC67" i="3"/>
  <c r="AC58" i="3"/>
  <c r="AC61" i="3"/>
  <c r="AC59" i="3"/>
  <c r="AC35" i="3"/>
  <c r="AC66" i="3"/>
  <c r="AC76" i="3"/>
  <c r="AC74" i="3"/>
  <c r="AC68" i="3"/>
  <c r="AC55" i="3"/>
  <c r="AC60" i="3"/>
  <c r="AC71" i="3"/>
  <c r="AC48" i="3"/>
  <c r="AC64" i="3"/>
  <c r="AC37" i="3"/>
  <c r="AC57" i="3"/>
  <c r="AC36" i="3"/>
  <c r="AC53" i="3"/>
  <c r="AC69" i="3"/>
  <c r="AC65" i="3"/>
  <c r="AC70" i="3"/>
  <c r="R24" i="3"/>
  <c r="R33" i="3"/>
  <c r="R23" i="3"/>
  <c r="R32" i="3"/>
  <c r="R53" i="3"/>
  <c r="R50" i="3"/>
  <c r="R48" i="3"/>
  <c r="R36" i="3"/>
  <c r="R29" i="3"/>
  <c r="R54" i="3"/>
  <c r="R51" i="3"/>
  <c r="R31" i="3"/>
  <c r="R38" i="3"/>
  <c r="R52" i="3"/>
  <c r="R40" i="3"/>
  <c r="R35" i="3"/>
  <c r="R56" i="3"/>
  <c r="R25" i="3"/>
  <c r="R19" i="3"/>
  <c r="R34" i="3"/>
  <c r="R41" i="3"/>
  <c r="R37" i="3"/>
  <c r="R46" i="3"/>
  <c r="R26" i="3"/>
  <c r="R44" i="3"/>
  <c r="R55" i="3"/>
  <c r="R45" i="3"/>
  <c r="R42" i="3"/>
  <c r="R30" i="3"/>
  <c r="R49" i="3"/>
  <c r="R47" i="3"/>
  <c r="R20" i="3"/>
  <c r="R43" i="3"/>
  <c r="R27" i="3"/>
  <c r="R28" i="3"/>
  <c r="R39" i="3"/>
  <c r="I17" i="7" l="1"/>
  <c r="J17" i="7"/>
  <c r="Y17" i="7"/>
  <c r="Q17" i="7" s="1"/>
  <c r="K17" i="7" l="1"/>
  <c r="L17" i="7" s="1"/>
  <c r="I10" i="6" l="1"/>
  <c r="I9" i="6" l="1"/>
  <c r="Q10" i="6"/>
  <c r="Q9" i="6"/>
  <c r="R21" i="3" l="1"/>
  <c r="R22" i="3"/>
  <c r="AF35" i="3" l="1"/>
  <c r="AF36" i="3"/>
  <c r="G17" i="5" l="1"/>
  <c r="I17" i="5" l="1"/>
  <c r="N22" i="3" s="1"/>
  <c r="Y42" i="3" l="1"/>
  <c r="Z42" i="3" s="1"/>
  <c r="AD42" i="3" s="1"/>
  <c r="AA42" i="3"/>
  <c r="AB42" i="3" s="1"/>
  <c r="O22" i="3"/>
  <c r="S22" i="3" s="1"/>
  <c r="P22" i="3"/>
  <c r="Q22" i="3" s="1"/>
  <c r="G21" i="5" l="1"/>
  <c r="I21" i="5" l="1"/>
  <c r="G20" i="5"/>
  <c r="N26" i="3"/>
  <c r="Y46" i="3"/>
  <c r="G15" i="7" l="1"/>
  <c r="I20" i="5"/>
  <c r="G14" i="7" s="1"/>
  <c r="G19" i="5"/>
  <c r="AA46" i="3"/>
  <c r="AB46" i="3" s="1"/>
  <c r="Z46" i="3"/>
  <c r="AD46" i="3" s="1"/>
  <c r="O26" i="3"/>
  <c r="S26" i="3" s="1"/>
  <c r="P26" i="3"/>
  <c r="Q26" i="3" s="1"/>
  <c r="V14" i="7" l="1"/>
  <c r="J14" i="7"/>
  <c r="K14" i="7" s="1"/>
  <c r="V15" i="7"/>
  <c r="J15" i="7"/>
  <c r="K15" i="7" s="1"/>
  <c r="L15" i="7" s="1"/>
  <c r="I19" i="5"/>
  <c r="G18" i="5"/>
  <c r="G13" i="7"/>
  <c r="Y45" i="3"/>
  <c r="N25" i="3"/>
  <c r="W15" i="7" l="1"/>
  <c r="Y15" i="7" s="1"/>
  <c r="Q15" i="7" s="1"/>
  <c r="I15" i="7"/>
  <c r="I14" i="7"/>
  <c r="W14" i="7"/>
  <c r="Y14" i="7" s="1"/>
  <c r="Q14" i="7" s="1"/>
  <c r="Z45" i="3"/>
  <c r="AD45" i="3" s="1"/>
  <c r="AA45" i="3"/>
  <c r="AB45" i="3" s="1"/>
  <c r="I18" i="5"/>
  <c r="G16" i="5"/>
  <c r="P25" i="3"/>
  <c r="Q25" i="3" s="1"/>
  <c r="O25" i="3"/>
  <c r="S25" i="3" s="1"/>
  <c r="V13" i="7"/>
  <c r="J13" i="7"/>
  <c r="K13" i="7" s="1"/>
  <c r="L13" i="7" s="1"/>
  <c r="N24" i="3"/>
  <c r="G12" i="7"/>
  <c r="Y44" i="3"/>
  <c r="V12" i="7" l="1"/>
  <c r="J12" i="7"/>
  <c r="K12" i="7" s="1"/>
  <c r="L12" i="7" s="1"/>
  <c r="Z44" i="3"/>
  <c r="AD44" i="3" s="1"/>
  <c r="AA44" i="3"/>
  <c r="AB44" i="3" s="1"/>
  <c r="P24" i="3"/>
  <c r="Q24" i="3" s="1"/>
  <c r="O24" i="3"/>
  <c r="S24" i="3" s="1"/>
  <c r="I13" i="7"/>
  <c r="W13" i="7"/>
  <c r="Y13" i="7" s="1"/>
  <c r="Q13" i="7" s="1"/>
  <c r="N23" i="3"/>
  <c r="Y43" i="3"/>
  <c r="G15" i="5"/>
  <c r="I16" i="5"/>
  <c r="G11" i="7" s="1"/>
  <c r="V11" i="7" l="1"/>
  <c r="J11" i="7"/>
  <c r="K11" i="7" s="1"/>
  <c r="L11" i="7" s="1"/>
  <c r="G14" i="5"/>
  <c r="I15" i="5"/>
  <c r="P23" i="3"/>
  <c r="Q23" i="3" s="1"/>
  <c r="O23" i="3"/>
  <c r="S23" i="3" s="1"/>
  <c r="N21" i="3"/>
  <c r="G10" i="7"/>
  <c r="Y41" i="3"/>
  <c r="AA43" i="3"/>
  <c r="AB43" i="3" s="1"/>
  <c r="Z43" i="3"/>
  <c r="AD43" i="3" s="1"/>
  <c r="I12" i="7"/>
  <c r="W12" i="7"/>
  <c r="Y12" i="7" s="1"/>
  <c r="Q12" i="7" s="1"/>
  <c r="J10" i="7" l="1"/>
  <c r="K10" i="7" s="1"/>
  <c r="L10" i="7" s="1"/>
  <c r="V10" i="7"/>
  <c r="I14" i="5"/>
  <c r="G9" i="5"/>
  <c r="Z41" i="3"/>
  <c r="AD41" i="3" s="1"/>
  <c r="AA41" i="3"/>
  <c r="AB41" i="3" s="1"/>
  <c r="P21" i="3"/>
  <c r="Q21" i="3" s="1"/>
  <c r="O21" i="3"/>
  <c r="S21" i="3" s="1"/>
  <c r="N20" i="3"/>
  <c r="Y40" i="3"/>
  <c r="G9" i="7"/>
  <c r="W11" i="7"/>
  <c r="Y11" i="7" s="1"/>
  <c r="Q11" i="7" s="1"/>
  <c r="I11" i="7"/>
  <c r="G23" i="5" l="1"/>
  <c r="G36" i="5"/>
  <c r="G22" i="5"/>
  <c r="G32" i="5"/>
  <c r="G43" i="5"/>
  <c r="G27" i="5"/>
  <c r="G50" i="5"/>
  <c r="G37" i="5"/>
  <c r="G48" i="5"/>
  <c r="G51" i="5"/>
  <c r="G45" i="5"/>
  <c r="G47" i="5"/>
  <c r="G24" i="5"/>
  <c r="G38" i="5"/>
  <c r="G29" i="5"/>
  <c r="I29" i="5" s="1"/>
  <c r="G26" i="5"/>
  <c r="I26" i="5" s="1"/>
  <c r="G33" i="5"/>
  <c r="I33" i="5" s="1"/>
  <c r="G40" i="5"/>
  <c r="I40" i="5" s="1"/>
  <c r="G44" i="5"/>
  <c r="I44" i="5" s="1"/>
  <c r="G30" i="5"/>
  <c r="I30" i="5" s="1"/>
  <c r="G42" i="5"/>
  <c r="G35" i="5"/>
  <c r="G41" i="5"/>
  <c r="G28" i="5"/>
  <c r="G39" i="5"/>
  <c r="G49" i="5"/>
  <c r="G46" i="5"/>
  <c r="G31" i="5"/>
  <c r="G34" i="5"/>
  <c r="I9" i="5"/>
  <c r="G25" i="5"/>
  <c r="V9" i="7"/>
  <c r="J9" i="7"/>
  <c r="K9" i="7" s="1"/>
  <c r="L9" i="7" s="1"/>
  <c r="AA40" i="3"/>
  <c r="AB40" i="3" s="1"/>
  <c r="Z40" i="3"/>
  <c r="AD40" i="3" s="1"/>
  <c r="Y39" i="3"/>
  <c r="N19" i="3"/>
  <c r="P20" i="3"/>
  <c r="Q20" i="3" s="1"/>
  <c r="O20" i="3"/>
  <c r="S20" i="3" s="1"/>
  <c r="I10" i="7"/>
  <c r="W10" i="7"/>
  <c r="Y10" i="7" s="1"/>
  <c r="Q10" i="7" s="1"/>
  <c r="I43" i="5" l="1"/>
  <c r="I38" i="5"/>
  <c r="I47" i="5"/>
  <c r="N52" i="3" s="1"/>
  <c r="I51" i="5"/>
  <c r="I31" i="5"/>
  <c r="N36" i="3" s="1"/>
  <c r="I50" i="5"/>
  <c r="Y75" i="3" s="1"/>
  <c r="I28" i="5"/>
  <c r="N33" i="3" s="1"/>
  <c r="I32" i="5"/>
  <c r="Y57" i="3" s="1"/>
  <c r="I25" i="5"/>
  <c r="N30" i="3" s="1"/>
  <c r="I34" i="5"/>
  <c r="Y59" i="3" s="1"/>
  <c r="I37" i="5"/>
  <c r="Y62" i="3" s="1"/>
  <c r="I27" i="5"/>
  <c r="Y52" i="3" s="1"/>
  <c r="I41" i="5"/>
  <c r="I22" i="5"/>
  <c r="I24" i="5"/>
  <c r="Y49" i="3" s="1"/>
  <c r="I45" i="5"/>
  <c r="N50" i="3" s="1"/>
  <c r="I48" i="5"/>
  <c r="N53" i="3" s="1"/>
  <c r="I46" i="5"/>
  <c r="N51" i="3" s="1"/>
  <c r="I49" i="5"/>
  <c r="Y74" i="3" s="1"/>
  <c r="I39" i="5"/>
  <c r="N44" i="3" s="1"/>
  <c r="I35" i="5"/>
  <c r="I36" i="5"/>
  <c r="I42" i="5"/>
  <c r="I23" i="5"/>
  <c r="Y58" i="3"/>
  <c r="N38" i="3"/>
  <c r="N31" i="3"/>
  <c r="Y51" i="3"/>
  <c r="O19" i="3"/>
  <c r="S19" i="3" s="1"/>
  <c r="P19" i="3"/>
  <c r="Q19" i="3" s="1"/>
  <c r="Y55" i="3"/>
  <c r="N35" i="3"/>
  <c r="AA39" i="3"/>
  <c r="AB39" i="3" s="1"/>
  <c r="Z39" i="3"/>
  <c r="AD39" i="3" s="1"/>
  <c r="Y72" i="3"/>
  <c r="O5" i="5"/>
  <c r="N14" i="3"/>
  <c r="G8" i="6"/>
  <c r="G8" i="7"/>
  <c r="P2" i="5"/>
  <c r="Y34" i="3"/>
  <c r="K7" i="1"/>
  <c r="Y68" i="3"/>
  <c r="N48" i="3"/>
  <c r="Y69" i="3"/>
  <c r="N49" i="3"/>
  <c r="N43" i="3"/>
  <c r="Y63" i="3"/>
  <c r="N34" i="3"/>
  <c r="Y54" i="3"/>
  <c r="N46" i="3"/>
  <c r="Y66" i="3"/>
  <c r="Y47" i="3"/>
  <c r="N56" i="3"/>
  <c r="Y76" i="3"/>
  <c r="Y60" i="3"/>
  <c r="N40" i="3"/>
  <c r="Y61" i="3"/>
  <c r="N41" i="3"/>
  <c r="Y65" i="3"/>
  <c r="N45" i="3"/>
  <c r="I9" i="7"/>
  <c r="W9" i="7"/>
  <c r="Y9" i="7" s="1"/>
  <c r="Q9" i="7" s="1"/>
  <c r="N39" i="3"/>
  <c r="Y67" i="3"/>
  <c r="N47" i="3"/>
  <c r="N28" i="3"/>
  <c r="Y48" i="3"/>
  <c r="P12" i="8" l="1"/>
  <c r="N32" i="3"/>
  <c r="N27" i="3"/>
  <c r="Y50" i="3"/>
  <c r="Y64" i="3"/>
  <c r="AD64" i="3" s="1"/>
  <c r="N55" i="3"/>
  <c r="Y73" i="3"/>
  <c r="N29" i="3"/>
  <c r="O29" i="3" s="1"/>
  <c r="Y56" i="3"/>
  <c r="AA56" i="3" s="1"/>
  <c r="AB56" i="3" s="1"/>
  <c r="N42" i="3"/>
  <c r="P42" i="3" s="1"/>
  <c r="Q42" i="3" s="1"/>
  <c r="N37" i="3"/>
  <c r="S37" i="3" s="1"/>
  <c r="Y53" i="3"/>
  <c r="Z53" i="3" s="1"/>
  <c r="N54" i="3"/>
  <c r="O54" i="3" s="1"/>
  <c r="Y70" i="3"/>
  <c r="AA70" i="3" s="1"/>
  <c r="AB70" i="3" s="1"/>
  <c r="Y71" i="3"/>
  <c r="Z71" i="3" s="1"/>
  <c r="P54" i="3"/>
  <c r="Q54" i="3" s="1"/>
  <c r="S54" i="3"/>
  <c r="P14" i="3"/>
  <c r="Q14" i="3" s="1"/>
  <c r="O14" i="3"/>
  <c r="S14" i="3" s="1"/>
  <c r="AD68" i="3"/>
  <c r="Z68" i="3"/>
  <c r="AA68" i="3"/>
  <c r="AB68" i="3" s="1"/>
  <c r="AA52" i="3"/>
  <c r="AB52" i="3" s="1"/>
  <c r="Z52" i="3"/>
  <c r="AD52" i="3"/>
  <c r="AD76" i="3"/>
  <c r="Z76" i="3"/>
  <c r="AA76" i="3"/>
  <c r="AB76" i="3" s="1"/>
  <c r="S53" i="3"/>
  <c r="P53" i="3"/>
  <c r="Q53" i="3" s="1"/>
  <c r="O53" i="3"/>
  <c r="Z63" i="3"/>
  <c r="AD63" i="3"/>
  <c r="AA63" i="3"/>
  <c r="AB63" i="3" s="1"/>
  <c r="P34" i="3"/>
  <c r="Q34" i="3" s="1"/>
  <c r="O34" i="3"/>
  <c r="S34" i="3"/>
  <c r="AD70" i="3"/>
  <c r="P56" i="3"/>
  <c r="Q56" i="3" s="1"/>
  <c r="S56" i="3"/>
  <c r="O56" i="3"/>
  <c r="S28" i="3"/>
  <c r="O28" i="3"/>
  <c r="P28" i="3"/>
  <c r="Q28" i="3" s="1"/>
  <c r="O43" i="3"/>
  <c r="S43" i="3"/>
  <c r="P43" i="3"/>
  <c r="Q43" i="3" s="1"/>
  <c r="AA47" i="3"/>
  <c r="AB47" i="3" s="1"/>
  <c r="Z47" i="3"/>
  <c r="AD47" i="3"/>
  <c r="O27" i="3"/>
  <c r="S27" i="3"/>
  <c r="P27" i="3"/>
  <c r="Q27" i="3" s="1"/>
  <c r="S39" i="3"/>
  <c r="P39" i="3"/>
  <c r="Q39" i="3" s="1"/>
  <c r="O39" i="3"/>
  <c r="S32" i="3"/>
  <c r="O32" i="3"/>
  <c r="P32" i="3"/>
  <c r="Q32" i="3" s="1"/>
  <c r="J9" i="8"/>
  <c r="J11" i="8"/>
  <c r="J23" i="8"/>
  <c r="J14" i="8"/>
  <c r="J16" i="8"/>
  <c r="J19" i="8"/>
  <c r="J22" i="8"/>
  <c r="J18" i="8"/>
  <c r="J21" i="8"/>
  <c r="J17" i="8"/>
  <c r="J10" i="8"/>
  <c r="J12" i="8"/>
  <c r="J13" i="8"/>
  <c r="J20" i="8"/>
  <c r="J15" i="8"/>
  <c r="S41" i="3"/>
  <c r="P41" i="3"/>
  <c r="Q41" i="3" s="1"/>
  <c r="O41" i="3"/>
  <c r="AA34" i="3"/>
  <c r="AB34" i="3" s="1"/>
  <c r="Z34" i="3"/>
  <c r="AD34" i="3" s="1"/>
  <c r="AA51" i="3"/>
  <c r="AB51" i="3" s="1"/>
  <c r="Z51" i="3"/>
  <c r="AD51" i="3"/>
  <c r="AA74" i="3"/>
  <c r="AB74" i="3" s="1"/>
  <c r="AD74" i="3"/>
  <c r="Z74" i="3"/>
  <c r="AD72" i="3"/>
  <c r="Z72" i="3"/>
  <c r="AA72" i="3"/>
  <c r="AB72" i="3" s="1"/>
  <c r="S50" i="3"/>
  <c r="P50" i="3"/>
  <c r="Q50" i="3" s="1"/>
  <c r="O50" i="3"/>
  <c r="P49" i="3"/>
  <c r="Q49" i="3" s="1"/>
  <c r="O49" i="3"/>
  <c r="S49" i="3"/>
  <c r="AA64" i="3"/>
  <c r="AB64" i="3" s="1"/>
  <c r="AA62" i="3"/>
  <c r="AB62" i="3" s="1"/>
  <c r="AD62" i="3"/>
  <c r="Z62" i="3"/>
  <c r="AA54" i="3"/>
  <c r="AB54" i="3" s="1"/>
  <c r="Z54" i="3"/>
  <c r="AD54" i="3"/>
  <c r="Z61" i="3"/>
  <c r="AD61" i="3"/>
  <c r="AA61" i="3"/>
  <c r="AB61" i="3" s="1"/>
  <c r="AA57" i="3"/>
  <c r="AB57" i="3" s="1"/>
  <c r="AD57" i="3"/>
  <c r="Z57" i="3"/>
  <c r="P31" i="3"/>
  <c r="Q31" i="3" s="1"/>
  <c r="S31" i="3"/>
  <c r="O31" i="3"/>
  <c r="O6" i="5"/>
  <c r="P5" i="5"/>
  <c r="S35" i="3"/>
  <c r="O35" i="3"/>
  <c r="P35" i="3"/>
  <c r="Q35" i="3" s="1"/>
  <c r="AA69" i="3"/>
  <c r="AB69" i="3" s="1"/>
  <c r="AD69" i="3"/>
  <c r="Z69" i="3"/>
  <c r="Z66" i="3"/>
  <c r="AA66" i="3"/>
  <c r="AB66" i="3" s="1"/>
  <c r="AD66" i="3"/>
  <c r="AD59" i="3"/>
  <c r="Z59" i="3"/>
  <c r="AA59" i="3"/>
  <c r="AB59" i="3" s="1"/>
  <c r="O55" i="3"/>
  <c r="P55" i="3"/>
  <c r="Q55" i="3" s="1"/>
  <c r="S55" i="3"/>
  <c r="Z73" i="3"/>
  <c r="AD73" i="3"/>
  <c r="AA73" i="3"/>
  <c r="AB73" i="3" s="1"/>
  <c r="AA49" i="3"/>
  <c r="AB49" i="3" s="1"/>
  <c r="AD49" i="3"/>
  <c r="Z49" i="3"/>
  <c r="AA50" i="3"/>
  <c r="AB50" i="3" s="1"/>
  <c r="Z50" i="3"/>
  <c r="AD50" i="3"/>
  <c r="S30" i="3"/>
  <c r="P30" i="3"/>
  <c r="Q30" i="3" s="1"/>
  <c r="O30" i="3"/>
  <c r="P45" i="3"/>
  <c r="Q45" i="3" s="1"/>
  <c r="S45" i="3"/>
  <c r="O45" i="3"/>
  <c r="Z65" i="3"/>
  <c r="AD65" i="3"/>
  <c r="AA65" i="3"/>
  <c r="AB65" i="3" s="1"/>
  <c r="B5" i="3"/>
  <c r="B7" i="3" s="1"/>
  <c r="K8" i="1"/>
  <c r="T5" i="1"/>
  <c r="S40" i="3"/>
  <c r="O40" i="3"/>
  <c r="P40" i="3"/>
  <c r="Q40" i="3" s="1"/>
  <c r="P33" i="3"/>
  <c r="Q33" i="3" s="1"/>
  <c r="S33" i="3"/>
  <c r="O33" i="3"/>
  <c r="AC4" i="7"/>
  <c r="V8" i="7"/>
  <c r="J8" i="7"/>
  <c r="K8" i="7" s="1"/>
  <c r="AC5" i="7"/>
  <c r="P38" i="3"/>
  <c r="Q38" i="3" s="1"/>
  <c r="O38" i="3"/>
  <c r="S38" i="3"/>
  <c r="S36" i="3"/>
  <c r="O36" i="3"/>
  <c r="P36" i="3"/>
  <c r="Q36" i="3" s="1"/>
  <c r="S52" i="3"/>
  <c r="P52" i="3"/>
  <c r="Q52" i="3" s="1"/>
  <c r="O52" i="3"/>
  <c r="AA48" i="3"/>
  <c r="AB48" i="3" s="1"/>
  <c r="AD48" i="3"/>
  <c r="Z48" i="3"/>
  <c r="P47" i="3"/>
  <c r="Q47" i="3" s="1"/>
  <c r="S47" i="3"/>
  <c r="O47" i="3"/>
  <c r="Z67" i="3"/>
  <c r="AA67" i="3"/>
  <c r="AB67" i="3" s="1"/>
  <c r="AD67" i="3"/>
  <c r="Z55" i="3"/>
  <c r="AA55" i="3"/>
  <c r="AB55" i="3" s="1"/>
  <c r="AD55" i="3"/>
  <c r="P48" i="3"/>
  <c r="Q48" i="3" s="1"/>
  <c r="S48" i="3"/>
  <c r="O48" i="3"/>
  <c r="P46" i="3"/>
  <c r="Q46" i="3" s="1"/>
  <c r="S46" i="3"/>
  <c r="O46" i="3"/>
  <c r="P44" i="3"/>
  <c r="Q44" i="3" s="1"/>
  <c r="S44" i="3"/>
  <c r="O44" i="3"/>
  <c r="Z75" i="3"/>
  <c r="AD75" i="3"/>
  <c r="AA75" i="3"/>
  <c r="AB75" i="3" s="1"/>
  <c r="O51" i="3"/>
  <c r="S51" i="3"/>
  <c r="P51" i="3"/>
  <c r="Q51" i="3" s="1"/>
  <c r="Z60" i="3"/>
  <c r="AD60" i="3"/>
  <c r="AA60" i="3"/>
  <c r="AB60" i="3" s="1"/>
  <c r="V8" i="6"/>
  <c r="AC4" i="6"/>
  <c r="AC5" i="6"/>
  <c r="J8" i="6"/>
  <c r="K8" i="6" s="1"/>
  <c r="AD58" i="3"/>
  <c r="AA58" i="3"/>
  <c r="AB58" i="3" s="1"/>
  <c r="Z58" i="3"/>
  <c r="AA53" i="3" l="1"/>
  <c r="AB53" i="3" s="1"/>
  <c r="AD53" i="3"/>
  <c r="S29" i="3"/>
  <c r="P29" i="3"/>
  <c r="Q29" i="3" s="1"/>
  <c r="Z56" i="3"/>
  <c r="Z64" i="3"/>
  <c r="O37" i="3"/>
  <c r="Z70" i="3"/>
  <c r="AA71" i="3"/>
  <c r="AB71" i="3" s="1"/>
  <c r="AD71" i="3"/>
  <c r="O42" i="3"/>
  <c r="S42" i="3"/>
  <c r="P37" i="3"/>
  <c r="Q37" i="3" s="1"/>
  <c r="AD56" i="3"/>
  <c r="Z13" i="6"/>
  <c r="Z14" i="6"/>
  <c r="Z11" i="6"/>
  <c r="Z10" i="6"/>
  <c r="Z9" i="6"/>
  <c r="Z12" i="6"/>
  <c r="Z8" i="6"/>
  <c r="T6" i="1"/>
  <c r="K10" i="1"/>
  <c r="I8" i="7"/>
  <c r="W8" i="7"/>
  <c r="Y8" i="7" s="1"/>
  <c r="Q8" i="7" s="1"/>
  <c r="O16" i="8"/>
  <c r="Z13" i="7"/>
  <c r="Z17" i="7"/>
  <c r="Z12" i="7"/>
  <c r="Z16" i="7"/>
  <c r="Z10" i="7"/>
  <c r="Z9" i="7"/>
  <c r="Z14" i="7"/>
  <c r="Z15" i="7"/>
  <c r="Z11" i="7"/>
  <c r="Z8" i="7"/>
  <c r="Z18" i="7"/>
  <c r="W8" i="6"/>
  <c r="Y8" i="6" s="1"/>
  <c r="Q8" i="6" s="1"/>
  <c r="I8" i="6"/>
  <c r="L14" i="7" l="1"/>
  <c r="M9" i="5"/>
  <c r="T7" i="1"/>
  <c r="L8" i="7"/>
  <c r="M8" i="7" s="1"/>
  <c r="L8" i="6"/>
  <c r="M8" i="6" s="1"/>
  <c r="N8" i="7" l="1"/>
  <c r="AC34" i="3" s="1"/>
  <c r="M9" i="7"/>
  <c r="P8" i="7"/>
  <c r="O8" i="7"/>
  <c r="M9" i="6"/>
  <c r="N8" i="6"/>
  <c r="N9" i="7" l="1"/>
  <c r="M10" i="7"/>
  <c r="R14" i="3"/>
  <c r="O8" i="6"/>
  <c r="P8" i="6"/>
  <c r="M10" i="6"/>
  <c r="N9" i="6"/>
  <c r="N10" i="7" l="1"/>
  <c r="M11" i="7"/>
  <c r="M12" i="7" s="1"/>
  <c r="N12" i="7" s="1"/>
  <c r="AC39" i="3"/>
  <c r="O9" i="7"/>
  <c r="P9" i="7"/>
  <c r="M11" i="6"/>
  <c r="N10" i="6"/>
  <c r="O9" i="6"/>
  <c r="M10" i="5" s="1"/>
  <c r="P9" i="6"/>
  <c r="R15" i="3"/>
  <c r="AC42" i="3" l="1"/>
  <c r="O12" i="7"/>
  <c r="P12" i="7"/>
  <c r="N11" i="7"/>
  <c r="M13" i="7"/>
  <c r="M14" i="5"/>
  <c r="AC40" i="3"/>
  <c r="O10" i="7"/>
  <c r="M15" i="5" s="1"/>
  <c r="P10" i="7"/>
  <c r="O10" i="6"/>
  <c r="M11" i="5" s="1"/>
  <c r="P10" i="6"/>
  <c r="R16" i="3"/>
  <c r="M12" i="6"/>
  <c r="N11" i="6"/>
  <c r="AC41" i="3" l="1"/>
  <c r="O11" i="7"/>
  <c r="P11" i="7"/>
  <c r="M17" i="5"/>
  <c r="M16" i="5"/>
  <c r="M14" i="7"/>
  <c r="N14" i="7" s="1"/>
  <c r="N13" i="7"/>
  <c r="R17" i="3"/>
  <c r="O11" i="6"/>
  <c r="M12" i="5" s="1"/>
  <c r="P11" i="6"/>
  <c r="M14" i="6"/>
  <c r="N14" i="6" s="1"/>
  <c r="N12" i="6"/>
  <c r="AC44" i="3" l="1"/>
  <c r="O14" i="7"/>
  <c r="P14" i="7"/>
  <c r="AC43" i="3"/>
  <c r="O13" i="7"/>
  <c r="P13" i="7"/>
  <c r="R18" i="3"/>
  <c r="O12" i="6"/>
  <c r="M13" i="5" s="1"/>
  <c r="P12" i="6"/>
  <c r="C2" i="6"/>
  <c r="O14" i="6"/>
  <c r="P14" i="6"/>
  <c r="M19" i="5" l="1"/>
  <c r="M18" i="5"/>
  <c r="P31" i="5"/>
  <c r="M3" i="5" s="1"/>
  <c r="B2" i="6"/>
  <c r="M15" i="7"/>
  <c r="N15" i="7" s="1"/>
  <c r="AC45" i="3" l="1"/>
  <c r="O15" i="7"/>
  <c r="M20" i="5" s="1"/>
  <c r="P15" i="7"/>
  <c r="M18" i="7" l="1"/>
  <c r="N18" i="7" s="1"/>
  <c r="AC46" i="3" l="1"/>
  <c r="C2" i="7"/>
  <c r="O18" i="7"/>
  <c r="P18" i="7"/>
  <c r="B2" i="7" l="1"/>
  <c r="P32" i="5"/>
  <c r="M5" i="5" s="1"/>
  <c r="M21" i="5"/>
  <c r="O9" i="13"/>
  <c r="M9" i="13"/>
  <c r="N9" i="13"/>
  <c r="P9" i="13"/>
  <c r="B2" i="13"/>
  <c r="O8" i="13"/>
  <c r="P10" i="13"/>
  <c r="M10" i="13"/>
  <c r="N10" i="13"/>
  <c r="O10" i="13"/>
  <c r="P17" i="12"/>
  <c r="B2" i="12"/>
  <c r="O8" i="12"/>
  <c r="P11" i="13"/>
  <c r="M11" i="13"/>
  <c r="N11" i="13"/>
  <c r="O11" i="13"/>
  <c r="M5" i="11"/>
  <c r="P32" i="11"/>
  <c r="O13" i="13"/>
  <c r="M3" i="11"/>
  <c r="M17" i="12"/>
  <c r="N17" i="12"/>
  <c r="O17" i="12"/>
  <c r="P31" i="11"/>
  <c r="O15" i="12"/>
  <c r="M15" i="12"/>
  <c r="N15" i="12"/>
  <c r="P15" i="12"/>
  <c r="O17" i="7"/>
  <c r="M17" i="7"/>
  <c r="N17" i="7"/>
  <c r="P17" i="7"/>
  <c r="O16" i="7"/>
  <c r="P16" i="7"/>
  <c r="P10" i="12"/>
  <c r="M10" i="12"/>
  <c r="N10" i="12"/>
  <c r="O10" i="12"/>
  <c r="M13" i="13"/>
  <c r="N13" i="13"/>
  <c r="P13" i="13"/>
  <c r="G19" i="3"/>
  <c r="C19" i="3"/>
  <c r="E19" i="3"/>
  <c r="I19" i="3"/>
  <c r="H19" i="3"/>
  <c r="B19" i="3"/>
  <c r="F19" i="3"/>
  <c r="J19" i="3"/>
  <c r="D19" i="3"/>
  <c r="C20" i="3"/>
  <c r="B20" i="3"/>
  <c r="E20" i="3"/>
  <c r="D20" i="3"/>
  <c r="I20" i="3"/>
  <c r="G20" i="3"/>
  <c r="F20" i="3"/>
  <c r="J20" i="3"/>
  <c r="H20" i="3"/>
  <c r="O16" i="12"/>
  <c r="M16" i="12"/>
  <c r="N16" i="12"/>
  <c r="P16" i="12"/>
  <c r="C2" i="13"/>
  <c r="N8" i="13"/>
  <c r="P8" i="13"/>
  <c r="F24" i="3"/>
  <c r="D24" i="3"/>
  <c r="E24" i="3"/>
  <c r="G24" i="3"/>
  <c r="B24" i="3"/>
  <c r="I24" i="3"/>
  <c r="H24" i="3"/>
  <c r="J24" i="3"/>
  <c r="C24" i="3"/>
  <c r="AF40" i="3"/>
  <c r="AF41" i="3"/>
  <c r="AF46" i="3"/>
  <c r="AF43" i="3"/>
  <c r="AF44" i="3"/>
  <c r="AF45" i="3"/>
  <c r="AF42" i="3"/>
  <c r="P8" i="12"/>
  <c r="N8" i="12"/>
  <c r="C2" i="12"/>
  <c r="G45" i="3"/>
  <c r="I45" i="3"/>
  <c r="D45" i="3"/>
  <c r="B45" i="3"/>
  <c r="F45" i="3"/>
  <c r="E45" i="3"/>
  <c r="H45" i="3"/>
  <c r="J45" i="3"/>
  <c r="C45" i="3"/>
  <c r="U17" i="3"/>
  <c r="U18" i="3"/>
  <c r="U16" i="3"/>
  <c r="O9" i="12"/>
  <c r="M9" i="12"/>
  <c r="N9" i="12"/>
  <c r="P9" i="12"/>
  <c r="D15" i="3"/>
  <c r="G15" i="3"/>
  <c r="E15" i="3"/>
  <c r="I15" i="3"/>
  <c r="B15" i="3"/>
  <c r="H15" i="3"/>
  <c r="C15" i="3"/>
  <c r="J15" i="3"/>
  <c r="F15" i="3"/>
  <c r="P13" i="6"/>
  <c r="O13" i="6"/>
  <c r="I38" i="3"/>
  <c r="H38" i="3"/>
  <c r="G38" i="3"/>
  <c r="E38" i="3"/>
  <c r="C38" i="3"/>
  <c r="D38" i="3"/>
  <c r="B38" i="3"/>
  <c r="J38" i="3"/>
  <c r="F38" i="3"/>
  <c r="O12" i="12"/>
  <c r="M12" i="12"/>
  <c r="N12" i="12"/>
  <c r="P12" i="12"/>
  <c r="G34" i="3"/>
  <c r="I34" i="3"/>
  <c r="B34" i="3"/>
  <c r="E34" i="3"/>
  <c r="F34" i="3"/>
  <c r="D34" i="3"/>
  <c r="C34" i="3"/>
  <c r="J34" i="3"/>
  <c r="H34" i="3"/>
  <c r="E25" i="3"/>
  <c r="I25" i="3"/>
  <c r="G25" i="3"/>
  <c r="H25" i="3"/>
  <c r="F25" i="3"/>
  <c r="D25" i="3"/>
  <c r="B25" i="3"/>
  <c r="J25" i="3"/>
  <c r="C25" i="3"/>
  <c r="C16" i="3"/>
  <c r="G16" i="3"/>
  <c r="E16" i="3"/>
  <c r="H16" i="3"/>
  <c r="I16" i="3"/>
  <c r="D16" i="3"/>
  <c r="B16" i="3"/>
  <c r="J16" i="3"/>
  <c r="F16" i="3"/>
  <c r="O12" i="13"/>
  <c r="M8" i="13"/>
  <c r="M12" i="13"/>
  <c r="N12" i="13"/>
  <c r="P12" i="13"/>
  <c r="B35" i="3"/>
  <c r="D35" i="3"/>
  <c r="H35" i="3"/>
  <c r="G35" i="3"/>
  <c r="E35" i="3"/>
  <c r="I35" i="3"/>
  <c r="F35" i="3"/>
  <c r="J35" i="3"/>
  <c r="C35" i="3"/>
  <c r="H42" i="3"/>
  <c r="F42" i="3"/>
  <c r="C42" i="3"/>
  <c r="D42" i="3"/>
  <c r="G42" i="3"/>
  <c r="E42" i="3"/>
  <c r="I42" i="3"/>
  <c r="J42" i="3"/>
  <c r="B42" i="3"/>
  <c r="B21" i="3"/>
  <c r="C21" i="3"/>
  <c r="H21" i="3"/>
  <c r="I21" i="3"/>
  <c r="G21" i="3"/>
  <c r="F21" i="3"/>
  <c r="E21" i="3"/>
  <c r="J21" i="3"/>
  <c r="D21" i="3"/>
  <c r="G36" i="3"/>
  <c r="C36" i="3"/>
  <c r="E36" i="3"/>
  <c r="F36" i="3"/>
  <c r="D36" i="3"/>
  <c r="H36" i="3"/>
  <c r="B36" i="3"/>
  <c r="J36" i="3"/>
  <c r="I36" i="3"/>
  <c r="B37" i="3"/>
  <c r="H37" i="3"/>
  <c r="I37" i="3"/>
  <c r="G37" i="3"/>
  <c r="D37" i="3"/>
  <c r="F37" i="3"/>
  <c r="E37" i="3"/>
  <c r="J37" i="3"/>
  <c r="C37" i="3"/>
  <c r="D39" i="3"/>
  <c r="G39" i="3"/>
  <c r="C39" i="3"/>
  <c r="I39" i="3"/>
  <c r="B39" i="3"/>
  <c r="H39" i="3"/>
  <c r="E39" i="3"/>
  <c r="J39" i="3"/>
  <c r="F39" i="3"/>
  <c r="E14" i="3"/>
  <c r="G14" i="3"/>
  <c r="B14" i="3"/>
  <c r="I14" i="3"/>
  <c r="H14" i="3"/>
  <c r="C14" i="3"/>
  <c r="D14" i="3"/>
  <c r="J14" i="3"/>
  <c r="F14" i="3"/>
  <c r="G23" i="3"/>
  <c r="H23" i="3"/>
  <c r="E23" i="3"/>
  <c r="B23" i="3"/>
  <c r="F23" i="3"/>
  <c r="C23" i="3"/>
  <c r="D23" i="3"/>
  <c r="J23" i="3"/>
  <c r="I23" i="3"/>
  <c r="B43" i="3"/>
  <c r="E43" i="3"/>
  <c r="C43" i="3"/>
  <c r="H43" i="3"/>
  <c r="F43" i="3"/>
  <c r="I43" i="3"/>
  <c r="D43" i="3"/>
  <c r="J43" i="3"/>
  <c r="G43" i="3"/>
  <c r="B41" i="3"/>
  <c r="C41" i="3"/>
  <c r="E41" i="3"/>
  <c r="I41" i="3"/>
  <c r="H41" i="3"/>
  <c r="G41" i="3"/>
  <c r="D41" i="3"/>
  <c r="J41" i="3"/>
  <c r="F41" i="3"/>
  <c r="C22" i="3"/>
  <c r="E22" i="3"/>
  <c r="D22" i="3"/>
  <c r="H22" i="3"/>
  <c r="B22" i="3"/>
  <c r="G22" i="3"/>
  <c r="F22" i="3"/>
  <c r="J22" i="3"/>
  <c r="I22" i="3"/>
  <c r="B18" i="3"/>
  <c r="F18" i="3"/>
  <c r="E18" i="3"/>
  <c r="D18" i="3"/>
  <c r="G18" i="3"/>
  <c r="C18" i="3"/>
  <c r="I18" i="3"/>
  <c r="J18" i="3"/>
  <c r="H18" i="3"/>
  <c r="D17" i="3"/>
  <c r="G17" i="3"/>
  <c r="I17" i="3"/>
  <c r="F17" i="3"/>
  <c r="E17" i="3"/>
  <c r="H17" i="3"/>
  <c r="C17" i="3"/>
  <c r="M13" i="6"/>
  <c r="N13" i="6"/>
  <c r="D11" i="3"/>
  <c r="U15" i="3"/>
  <c r="J17" i="3"/>
  <c r="B17" i="3"/>
  <c r="C40" i="3"/>
  <c r="D40" i="3"/>
  <c r="H40" i="3"/>
  <c r="I40" i="3"/>
  <c r="B40" i="3"/>
  <c r="G40" i="3"/>
  <c r="E40" i="3"/>
  <c r="J40" i="3"/>
  <c r="F40" i="3"/>
  <c r="P11" i="12"/>
  <c r="M11" i="12"/>
  <c r="N11" i="12"/>
  <c r="O11" i="12"/>
  <c r="H44" i="3"/>
  <c r="C44" i="3"/>
  <c r="I44" i="3"/>
  <c r="G44" i="3"/>
  <c r="B44" i="3"/>
  <c r="D44" i="3"/>
  <c r="F44" i="3"/>
  <c r="M16" i="7"/>
  <c r="N16" i="7"/>
  <c r="D31" i="3"/>
  <c r="AF39" i="3"/>
  <c r="J44" i="3"/>
  <c r="E44" i="3"/>
  <c r="O14" i="12"/>
  <c r="M14" i="12"/>
  <c r="N14" i="12"/>
  <c r="P14" i="12"/>
  <c r="O13" i="12"/>
  <c r="M8" i="12"/>
  <c r="M13" i="12"/>
  <c r="N13" i="12"/>
  <c r="P13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Copilot</author>
  </authors>
  <commentList>
    <comment ref="P1" authorId="0" shapeId="0" xr:uid="{00000000-0006-0000-0000-000001000000}">
      <text>
        <r>
          <rPr>
            <sz val="11"/>
            <color rgb="FF000000"/>
            <rFont val="Aptos Narrow"/>
            <family val="2"/>
            <charset val="1"/>
          </rPr>
          <t>I_MIN: Mostra medida em metros do trecho para referencia de extensao.</t>
        </r>
      </text>
    </comment>
    <comment ref="Q1" authorId="0" shapeId="0" xr:uid="{00000000-0006-0000-0000-000002000000}">
      <text>
        <r>
          <rPr>
            <sz val="11"/>
            <color rgb="FF000000"/>
            <rFont val="Aptos Narrow"/>
            <family val="2"/>
            <charset val="1"/>
          </rPr>
          <t>IN_PADRAO: identifica este campo e serve para facilitar a leitura e conferencia dos dados desta aba.</t>
        </r>
      </text>
    </comment>
    <comment ref="S1" authorId="0" shapeId="0" xr:uid="{00000000-0006-0000-0000-000003000000}">
      <text>
        <r>
          <rPr>
            <sz val="11"/>
            <color rgb="FF000000"/>
            <rFont val="Aptos Narrow"/>
            <family val="2"/>
            <charset val="1"/>
          </rPr>
          <t>PARAMETRO: Mostra medida em metros do trecho para referencia de extensao.</t>
        </r>
      </text>
    </comment>
    <comment ref="T1" authorId="0" shapeId="0" xr:uid="{00000000-0006-0000-0000-000004000000}">
      <text>
        <r>
          <rPr>
            <sz val="11"/>
            <color rgb="FF000000"/>
            <rFont val="Aptos Narrow"/>
            <family val="2"/>
            <charset val="1"/>
          </rPr>
          <t>VALOR: identifica este campo e serve para facilitar a leitura e conferencia dos dados desta aba.</t>
        </r>
      </text>
    </comment>
    <comment ref="U1" authorId="0" shapeId="0" xr:uid="{00000000-0006-0000-0000-000005000000}">
      <text>
        <r>
          <rPr>
            <sz val="11"/>
            <color rgb="FF000000"/>
            <rFont val="Aptos Narrow"/>
            <family val="2"/>
            <charset val="1"/>
          </rPr>
          <t>UNIDADE: identifica este campo e serve para facilitar a leitura e conferencia dos dados desta aba.</t>
        </r>
      </text>
    </comment>
    <comment ref="W1" authorId="0" shapeId="0" xr:uid="{00000000-0006-0000-0000-000006000000}">
      <text>
        <r>
          <rPr>
            <sz val="11"/>
            <color rgb="FF000000"/>
            <rFont val="Aptos Narrow"/>
            <family val="2"/>
            <charset val="1"/>
          </rPr>
          <t>CONDUTOR: Informa o condutor vinculado ao ponto para identificacao do trecho.</t>
        </r>
      </text>
    </comment>
    <comment ref="X1" authorId="0" shapeId="0" xr:uid="{00000000-0006-0000-0000-000007000000}">
      <text>
        <r>
          <rPr>
            <sz val="11"/>
            <color rgb="FF000000"/>
            <rFont val="Aptos Narrow"/>
            <family val="2"/>
            <charset val="1"/>
          </rPr>
          <t>MATERIAL: Mostra medida em metros do trecho para referencia de extensao.</t>
        </r>
      </text>
    </comment>
    <comment ref="Y1" authorId="0" shapeId="0" xr:uid="{00000000-0006-0000-0000-000008000000}">
      <text>
        <r>
          <rPr>
            <sz val="11"/>
            <color rgb="FF000000"/>
            <rFont val="Aptos Narrow"/>
            <family val="2"/>
            <charset val="1"/>
          </rPr>
          <t>COD_CONDUTOR: Informa o condutor vinculado ao ponto para identificacao do trecho.</t>
        </r>
      </text>
    </comment>
    <comment ref="M3" authorId="0" shapeId="0" xr:uid="{00000000-0006-0000-0000-000009000000}">
      <text>
        <r>
          <rPr>
            <sz val="11"/>
            <color rgb="FF000000"/>
            <rFont val="Aptos Narrow"/>
            <family val="2"/>
            <charset val="1"/>
          </rPr>
          <t>TRAFO: Mostra o transformador atual/sugerido para o cenario analisado.</t>
        </r>
      </text>
    </comment>
    <comment ref="N3" authorId="0" shapeId="0" xr:uid="{00000000-0006-0000-0000-00000A000000}">
      <text>
        <r>
          <rPr>
            <sz val="11"/>
            <color rgb="FF000000"/>
            <rFont val="Aptos Narrow"/>
            <family val="2"/>
            <charset val="1"/>
          </rPr>
          <t>Z%: identifica este campo e serve para facilitar a leitura e conferencia dos dados desta aba.</t>
        </r>
      </text>
    </comment>
    <comment ref="N28" authorId="0" shapeId="0" xr:uid="{00000000-0006-0000-0000-00000B000000}">
      <text>
        <r>
          <rPr>
            <sz val="11"/>
            <color rgb="FF000000"/>
            <rFont val="Aptos Narrow"/>
            <family val="2"/>
            <charset val="1"/>
          </rPr>
          <t>Rede Com Estrutura: Mostra medida em metros do trecho para referencia de extensao.</t>
        </r>
      </text>
    </comment>
    <comment ref="O28" authorId="0" shapeId="0" xr:uid="{00000000-0006-0000-0000-00000C000000}">
      <text>
        <r>
          <rPr>
            <sz val="11"/>
            <color rgb="FF000000"/>
            <rFont val="Aptos Narrow"/>
            <family val="2"/>
            <charset val="1"/>
          </rPr>
          <t>BT: identifica este campo e serve para facilitar a leitura e conferencia dos dados desta aba.</t>
        </r>
      </text>
    </comment>
    <comment ref="N29" authorId="0" shapeId="0" xr:uid="{00000000-0006-0000-0000-00000D000000}">
      <text>
        <r>
          <rPr>
            <sz val="11"/>
            <color rgb="FF000000"/>
            <rFont val="Aptos Narrow"/>
            <family val="2"/>
            <charset val="1"/>
          </rPr>
          <t>Cabo 53 mm² CA – Nu e PVC: Mostra medida em metros do trecho para referencia de extensao.</t>
        </r>
      </text>
    </comment>
    <comment ref="C30" authorId="0" shapeId="0" xr:uid="{00000000-0006-0000-0000-00000E000000}">
      <text>
        <r>
          <rPr>
            <sz val="11"/>
            <color rgb="FF000000"/>
            <rFont val="Aptos Narrow"/>
            <family val="2"/>
            <charset val="1"/>
          </rPr>
          <t>QTD Clientes: Mostra o percentual de QT do ponto para apoiar a priorizacao.</t>
        </r>
      </text>
    </comment>
    <comment ref="D30" authorId="0" shapeId="0" xr:uid="{00000000-0006-0000-0000-00000F000000}">
      <text>
        <r>
          <rPr>
            <sz val="11"/>
            <color rgb="FF000000"/>
            <rFont val="Aptos Narrow"/>
            <family val="2"/>
            <charset val="1"/>
          </rPr>
          <t>Fator por área: identifica este campo e serve para facilitar a leitura e conferencia dos dados desta aba.</t>
        </r>
      </text>
    </comment>
    <comment ref="E30" authorId="0" shapeId="0" xr:uid="{00000000-0006-0000-0000-000010000000}">
      <text>
        <r>
          <rPr>
            <sz val="11"/>
            <color rgb="FF000000"/>
            <rFont val="Aptos Narrow"/>
            <family val="2"/>
            <charset val="1"/>
          </rPr>
          <t>Fator Diversificação: identifica este campo e serve para facilitar a leitura e conferencia dos dados desta aba.</t>
        </r>
      </text>
    </comment>
    <comment ref="F30" authorId="0" shapeId="0" xr:uid="{00000000-0006-0000-0000-000011000000}">
      <text>
        <r>
          <rPr>
            <sz val="11"/>
            <color rgb="FF000000"/>
            <rFont val="Aptos Narrow"/>
            <family val="2"/>
            <charset val="1"/>
          </rPr>
          <t>Demanda (KVA): Mostra a carga em kVA usada para analise e dimensionamento geral.</t>
        </r>
      </text>
    </comment>
    <comment ref="N30" authorId="0" shapeId="0" xr:uid="{00000000-0006-0000-0000-000012000000}">
      <text>
        <r>
          <rPr>
            <sz val="11"/>
            <color rgb="FF000000"/>
            <rFont val="Aptos Narrow"/>
            <family val="2"/>
            <charset val="1"/>
          </rPr>
          <t>Cabo 201 mm² CA - Nu e PVC: Mostra medida em metros do trecho para referencia de extensao.</t>
        </r>
      </text>
    </comment>
    <comment ref="N31" authorId="0" shapeId="0" xr:uid="{00000000-0006-0000-0000-000013000000}">
      <text>
        <r>
          <rPr>
            <sz val="11"/>
            <color rgb="FF000000"/>
            <rFont val="Aptos Narrow"/>
            <family val="2"/>
            <charset val="1"/>
          </rPr>
          <t>Cabo 70 mm² CA MMX: Mostra coordenada X para localizar o ponto no eixo horizontal.</t>
        </r>
      </text>
    </comment>
    <comment ref="N32" authorId="0" shapeId="0" xr:uid="{00000000-0006-0000-0000-000014000000}">
      <text>
        <r>
          <rPr>
            <sz val="11"/>
            <color rgb="FF000000"/>
            <rFont val="Aptos Narrow"/>
            <family val="2"/>
            <charset val="1"/>
          </rPr>
          <t>Cabo 185 mm² CA MMX: Mostra coordenada X para localizar o ponto no eixo horizontal.</t>
        </r>
      </text>
    </comment>
    <comment ref="N33" authorId="0" shapeId="0" xr:uid="{00000000-0006-0000-0000-000015000000}">
      <text>
        <r>
          <rPr>
            <sz val="11"/>
            <color rgb="FF000000"/>
            <rFont val="Aptos Narrow"/>
            <family val="2"/>
            <charset val="1"/>
          </rPr>
          <t>Cabo 240 mm² CA MMX: Mostra coordenada X para localizar o ponto no eixo horizontal.</t>
        </r>
      </text>
    </comment>
    <comment ref="N35" authorId="0" shapeId="0" xr:uid="{00000000-0006-0000-0000-000016000000}">
      <text>
        <r>
          <rPr>
            <sz val="11"/>
            <color rgb="FF000000"/>
            <rFont val="Aptos Narrow"/>
            <family val="2"/>
            <charset val="1"/>
          </rPr>
          <t>Rede Cabo Armado: Mostra medida em metros do trecho para referencia de extensao.</t>
        </r>
      </text>
    </comment>
    <comment ref="N36" authorId="0" shapeId="0" xr:uid="{00000000-0006-0000-0000-000017000000}">
      <text>
        <r>
          <rPr>
            <sz val="11"/>
            <color rgb="FF000000"/>
            <rFont val="Aptos Narrow"/>
            <family val="2"/>
            <charset val="1"/>
          </rPr>
          <t>Cabo armado 3X1X50 mm²+35 mm²: Mostra coordenada X para localizar o ponto no eixo horizontal.</t>
        </r>
      </text>
    </comment>
    <comment ref="N37" authorId="0" shapeId="0" xr:uid="{00000000-0006-0000-0000-000018000000}">
      <text>
        <r>
          <rPr>
            <sz val="11"/>
            <color rgb="FF000000"/>
            <rFont val="Aptos Narrow"/>
            <family val="2"/>
            <charset val="1"/>
          </rPr>
          <t>Cabo armado 3X1X95 mm²+50 mm²: Mostra coordenada X para localizar o ponto no eixo horizontal.</t>
        </r>
      </text>
    </comment>
    <comment ref="N38" authorId="0" shapeId="0" xr:uid="{00000000-0006-0000-0000-000019000000}">
      <text>
        <r>
          <rPr>
            <sz val="11"/>
            <color rgb="FF000000"/>
            <rFont val="Aptos Narrow"/>
            <family val="2"/>
            <charset val="1"/>
          </rPr>
          <t>Cabo armado 3X1X240 mm²+120 mm²: Mostra coordenada X para localizar o ponto no eixo horizontal.</t>
        </r>
      </text>
    </comment>
    <comment ref="O39" authorId="0" shapeId="0" xr:uid="{00000000-0006-0000-0000-00001A000000}">
      <text>
        <r>
          <rPr>
            <sz val="11"/>
            <color rgb="FF000000"/>
            <rFont val="Aptos Narrow"/>
            <family val="2"/>
            <charset val="1"/>
          </rPr>
          <t>TRAFO: Mostra o transformador atual/sugerido para o cenario analisado.</t>
        </r>
      </text>
    </comment>
    <comment ref="O49" authorId="0" shapeId="0" xr:uid="{00000000-0006-0000-0000-00001B000000}">
      <text>
        <r>
          <rPr>
            <sz val="11"/>
            <color rgb="FF000000"/>
            <rFont val="Aptos Narrow"/>
            <family val="2"/>
            <charset val="1"/>
          </rPr>
          <t>MT: Mostra medida em metros do trecho para referencia de extensao.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Copilot</author>
  </authors>
  <commentList>
    <comment ref="K1" authorId="0" shapeId="0" xr:uid="{00000000-0006-0000-0200-000001000000}">
      <text>
        <r>
          <rPr>
            <sz val="11"/>
            <color rgb="FF000000"/>
            <rFont val="Aptos Narrow"/>
            <family val="2"/>
            <charset val="1"/>
          </rPr>
          <t>PARAMETROS SCORE: Mostra a nota final da sugestao para apoiar a comparacao entre opcoes.</t>
        </r>
      </text>
    </comment>
    <comment ref="K2" authorId="0" shapeId="0" xr:uid="{00000000-0006-0000-0200-000002000000}">
      <text>
        <r>
          <rPr>
            <sz val="11"/>
            <color rgb="FF000000"/>
            <rFont val="Aptos Narrow"/>
            <family val="2"/>
            <charset val="1"/>
          </rPr>
          <t>Peso carga acumulada: Mostra o acumulado ate este ponto para acompanhar a evolucao dos valores.</t>
        </r>
      </text>
    </comment>
    <comment ref="D3" authorId="0" shapeId="0" xr:uid="{00000000-0006-0000-0200-000003000000}">
      <text>
        <r>
          <rPr>
            <sz val="11"/>
            <color rgb="FF000000"/>
            <rFont val="Aptos Narrow"/>
            <family val="2"/>
            <charset val="1"/>
          </rPr>
          <t>Cenario 2 trafos: Mostra o transformador atual/sugerido para o cenario analisado.</t>
        </r>
      </text>
    </comment>
    <comment ref="K3" authorId="0" shapeId="0" xr:uid="{00000000-0006-0000-0200-000004000000}">
      <text>
        <r>
          <rPr>
            <sz val="11"/>
            <color rgb="FF000000"/>
            <rFont val="Aptos Narrow"/>
            <family val="2"/>
            <charset val="1"/>
          </rPr>
          <t>Peso QT: Mostra o percentual de QT do ponto para apoiar a priorizacao.</t>
        </r>
      </text>
    </comment>
    <comment ref="D4" authorId="0" shapeId="0" xr:uid="{00000000-0006-0000-0200-000005000000}">
      <text>
        <r>
          <rPr>
            <sz val="11"/>
            <color rgb="FF000000"/>
            <rFont val="Aptos Narrow"/>
            <family val="2"/>
            <charset val="1"/>
          </rPr>
          <t>ESQ: identifica este campo e serve para facilitar a leitura e conferencia dos dados desta aba.</t>
        </r>
      </text>
    </comment>
    <comment ref="K4" authorId="0" shapeId="0" xr:uid="{00000000-0006-0000-0200-000006000000}">
      <text>
        <r>
          <rPr>
            <sz val="11"/>
            <color rgb="FF000000"/>
            <rFont val="Aptos Narrow"/>
            <family val="2"/>
            <charset val="1"/>
          </rPr>
          <t>Peso balanceamento: Mostra um indicador de equilibrio entre os lados apos a sugestao de corte.</t>
        </r>
      </text>
    </comment>
    <comment ref="D5" authorId="0" shapeId="0" xr:uid="{00000000-0006-0000-0200-000007000000}">
      <text>
        <r>
          <rPr>
            <sz val="11"/>
            <color rgb="FF000000"/>
            <rFont val="Aptos Narrow"/>
            <family val="2"/>
            <charset val="1"/>
          </rPr>
          <t>DIR: identifica este campo e serve para facilitar a leitura e conferencia dos dados desta aba.</t>
        </r>
      </text>
    </comment>
    <comment ref="K5" authorId="0" shapeId="0" xr:uid="{00000000-0006-0000-0200-000008000000}">
      <text>
        <r>
          <rPr>
            <sz val="11"/>
            <color rgb="FF000000"/>
            <rFont val="Aptos Narrow"/>
            <family val="2"/>
            <charset val="1"/>
          </rPr>
          <t>Penalidade distancia: Mostra indicador de distancia/posicao para comparar a distribuicao dos pontos.</t>
        </r>
      </text>
    </comment>
    <comment ref="D6" authorId="0" shapeId="0" xr:uid="{00000000-0006-0000-0200-000009000000}">
      <text>
        <r>
          <rPr>
            <sz val="11"/>
            <color rgb="FF000000"/>
            <rFont val="Aptos Narrow"/>
            <family val="2"/>
            <charset val="1"/>
          </rPr>
          <t>Status: Mostra o resultado geral da verificacao para leitura rapida.</t>
        </r>
      </text>
    </comment>
    <comment ref="K6" authorId="0" shapeId="0" xr:uid="{00000000-0006-0000-0200-00000A000000}">
      <text>
        <r>
          <rPr>
            <sz val="11"/>
            <color rgb="FF000000"/>
            <rFont val="Aptos Narrow"/>
            <family val="2"/>
            <charset val="1"/>
          </rPr>
          <t>Penalidade saturacao: Mostra o nivel de saturacao para avaliar folga ou sobrecarga.</t>
        </r>
      </text>
    </comment>
    <comment ref="K7" authorId="0" shapeId="0" xr:uid="{00000000-0006-0000-0200-00000B000000}">
      <text>
        <r>
          <rPr>
            <sz val="11"/>
            <color rgb="FF000000"/>
            <rFont val="Aptos Narrow"/>
            <family val="2"/>
            <charset val="1"/>
          </rPr>
          <t>Limite sat pos-corte: Mostra o nivel de saturacao para avaliar folga ou sobrecarga.</t>
        </r>
      </text>
    </comment>
    <comment ref="K8" authorId="0" shapeId="0" xr:uid="{00000000-0006-0000-0200-00000C000000}">
      <text>
        <r>
          <rPr>
            <sz val="11"/>
            <color rgb="FF000000"/>
            <rFont val="Aptos Narrow"/>
            <family val="2"/>
            <charset val="1"/>
          </rPr>
          <t>Soma pesos (ideal 1,00): Mostra medida em metros do trecho para referencia de extensao.</t>
        </r>
      </text>
    </comment>
    <comment ref="A10" authorId="0" shapeId="0" xr:uid="{00000000-0006-0000-0200-00000D000000}">
      <text>
        <r>
          <rPr>
            <sz val="11"/>
            <color rgb="FF000000"/>
            <rFont val="Aptos Narrow"/>
            <family val="2"/>
            <charset val="1"/>
          </rPr>
          <t>LADO ESQUERDO - TOP CORTES: Mostra o lado do circuito (ex.: esquerdo/direito) para separar a analise.</t>
        </r>
      </text>
    </comment>
    <comment ref="A13" authorId="0" shapeId="0" xr:uid="{00000000-0006-0000-0200-00000E000000}">
      <text>
        <r>
          <rPr>
            <sz val="11"/>
            <color rgb="FF000000"/>
            <rFont val="Aptos Narrow"/>
            <family val="2"/>
            <charset val="1"/>
          </rPr>
          <t>RANK: Mostra a posicao no ranking, onde 1 representa a melhor sugestao.</t>
        </r>
      </text>
    </comment>
    <comment ref="B13" authorId="0" shapeId="0" xr:uid="{00000000-0006-0000-0200-00000F000000}">
      <text>
        <r>
          <rPr>
            <sz val="11"/>
            <color rgb="FF000000"/>
            <rFont val="Aptos Narrow"/>
            <family val="2"/>
            <charset val="1"/>
          </rPr>
          <t>PONTO: Identifica o ponto de referencia deste registro e ajuda na localizacao dos dados.</t>
        </r>
      </text>
    </comment>
    <comment ref="C13" authorId="0" shapeId="0" xr:uid="{00000000-0006-0000-0200-000010000000}">
      <text>
        <r>
          <rPr>
            <sz val="11"/>
            <color rgb="FF000000"/>
            <rFont val="Aptos Narrow"/>
            <family val="2"/>
            <charset val="1"/>
          </rPr>
          <t>SUB_KVA: Mostra a carga em kVA usada para analise e dimensionamento geral.</t>
        </r>
      </text>
    </comment>
    <comment ref="D13" authorId="0" shapeId="0" xr:uid="{00000000-0006-0000-0200-000011000000}">
      <text>
        <r>
          <rPr>
            <sz val="11"/>
            <color rgb="FF000000"/>
            <rFont val="Aptos Narrow"/>
            <family val="2"/>
            <charset val="1"/>
          </rPr>
          <t>REM_KVA: Mostra a carga em kVA usada para analise e dimensionamento geral.</t>
        </r>
      </text>
    </comment>
    <comment ref="E13" authorId="0" shapeId="0" xr:uid="{00000000-0006-0000-0200-000012000000}">
      <text>
        <r>
          <rPr>
            <sz val="11"/>
            <color rgb="FF000000"/>
            <rFont val="Aptos Narrow"/>
            <family val="2"/>
            <charset val="1"/>
          </rPr>
          <t>CAP_SUG: Mostra a capacidade sugerida/considerada para atender a carga do ponto.</t>
        </r>
      </text>
    </comment>
    <comment ref="F13" authorId="0" shapeId="0" xr:uid="{00000000-0006-0000-0200-000013000000}">
      <text>
        <r>
          <rPr>
            <sz val="11"/>
            <color rgb="FF000000"/>
            <rFont val="Aptos Narrow"/>
            <family val="2"/>
            <charset val="1"/>
          </rPr>
          <t>SAT_NOVA: Mostra o nivel de saturacao para avaliar folga ou sobrecarga.</t>
        </r>
      </text>
    </comment>
    <comment ref="G13" authorId="0" shapeId="0" xr:uid="{00000000-0006-0000-0200-000014000000}">
      <text>
        <r>
          <rPr>
            <sz val="11"/>
            <color rgb="FF000000"/>
            <rFont val="Aptos Narrow"/>
            <family val="2"/>
            <charset val="1"/>
          </rPr>
          <t>QT_PONTO: Identifica o ponto de referencia deste registro e ajuda na localizacao dos dados.</t>
        </r>
      </text>
    </comment>
    <comment ref="H13" authorId="0" shapeId="0" xr:uid="{00000000-0006-0000-0200-000015000000}">
      <text>
        <r>
          <rPr>
            <sz val="11"/>
            <color rgb="FF000000"/>
            <rFont val="Aptos Narrow"/>
            <family val="2"/>
            <charset val="1"/>
          </rPr>
          <t>BAL: Mostra um indicador de equilibrio entre os lados apos a sugestao de corte.</t>
        </r>
      </text>
    </comment>
    <comment ref="I13" authorId="0" shapeId="0" xr:uid="{00000000-0006-0000-0200-000016000000}">
      <text>
        <r>
          <rPr>
            <sz val="11"/>
            <color rgb="FF000000"/>
            <rFont val="Aptos Narrow"/>
            <family val="2"/>
            <charset val="1"/>
          </rPr>
          <t>DIST_NORM: Mostra indicador de distancia/posicao para comparar a distribuicao dos pontos.</t>
        </r>
      </text>
    </comment>
    <comment ref="J13" authorId="0" shapeId="0" xr:uid="{00000000-0006-0000-0200-000017000000}">
      <text>
        <r>
          <rPr>
            <sz val="11"/>
            <color rgb="FF000000"/>
            <rFont val="Aptos Narrow"/>
            <family val="2"/>
            <charset val="1"/>
          </rPr>
          <t>SCORE: Mostra a nota final da sugestao para apoiar a comparacao entre opcoes.</t>
        </r>
      </text>
    </comment>
    <comment ref="A30" authorId="0" shapeId="0" xr:uid="{00000000-0006-0000-0200-000018000000}">
      <text>
        <r>
          <rPr>
            <sz val="11"/>
            <color rgb="FF000000"/>
            <rFont val="Aptos Narrow"/>
            <family val="2"/>
            <charset val="1"/>
          </rPr>
          <t>LADO DIREITO - TOP CORTES: Mostra o lado do circuito (ex.: esquerdo/direito) para separar a analise.</t>
        </r>
      </text>
    </comment>
    <comment ref="A33" authorId="0" shapeId="0" xr:uid="{00000000-0006-0000-0200-000019000000}">
      <text>
        <r>
          <rPr>
            <sz val="11"/>
            <color rgb="FF000000"/>
            <rFont val="Aptos Narrow"/>
            <family val="2"/>
            <charset val="1"/>
          </rPr>
          <t>RANK: Mostra a posicao no ranking, onde 1 representa a melhor sugestao.</t>
        </r>
      </text>
    </comment>
    <comment ref="B33" authorId="0" shapeId="0" xr:uid="{00000000-0006-0000-0200-00001A000000}">
      <text>
        <r>
          <rPr>
            <sz val="11"/>
            <color rgb="FF000000"/>
            <rFont val="Aptos Narrow"/>
            <family val="2"/>
            <charset val="1"/>
          </rPr>
          <t>PONTO: Identifica o ponto de referencia deste registro e ajuda na localizacao dos dados.</t>
        </r>
      </text>
    </comment>
    <comment ref="C33" authorId="0" shapeId="0" xr:uid="{00000000-0006-0000-0200-00001B000000}">
      <text>
        <r>
          <rPr>
            <sz val="11"/>
            <color rgb="FF000000"/>
            <rFont val="Aptos Narrow"/>
            <family val="2"/>
            <charset val="1"/>
          </rPr>
          <t>SUB_KVA: Mostra a carga em kVA usada para analise e dimensionamento geral.</t>
        </r>
      </text>
    </comment>
    <comment ref="D33" authorId="0" shapeId="0" xr:uid="{00000000-0006-0000-0200-00001C000000}">
      <text>
        <r>
          <rPr>
            <sz val="11"/>
            <color rgb="FF000000"/>
            <rFont val="Aptos Narrow"/>
            <family val="2"/>
            <charset val="1"/>
          </rPr>
          <t>REM_KVA: Mostra a carga em kVA usada para analise e dimensionamento geral.</t>
        </r>
      </text>
    </comment>
    <comment ref="E33" authorId="0" shapeId="0" xr:uid="{00000000-0006-0000-0200-00001D000000}">
      <text>
        <r>
          <rPr>
            <sz val="11"/>
            <color rgb="FF000000"/>
            <rFont val="Aptos Narrow"/>
            <family val="2"/>
            <charset val="1"/>
          </rPr>
          <t>CAP_SUG: Mostra a capacidade sugerida/considerada para atender a carga do ponto.</t>
        </r>
      </text>
    </comment>
    <comment ref="F33" authorId="0" shapeId="0" xr:uid="{00000000-0006-0000-0200-00001E000000}">
      <text>
        <r>
          <rPr>
            <sz val="11"/>
            <color rgb="FF000000"/>
            <rFont val="Aptos Narrow"/>
            <family val="2"/>
            <charset val="1"/>
          </rPr>
          <t>SAT_NOVA: Mostra o nivel de saturacao para avaliar folga ou sobrecarga.</t>
        </r>
      </text>
    </comment>
    <comment ref="G33" authorId="0" shapeId="0" xr:uid="{00000000-0006-0000-0200-00001F000000}">
      <text>
        <r>
          <rPr>
            <sz val="11"/>
            <color rgb="FF000000"/>
            <rFont val="Aptos Narrow"/>
            <family val="2"/>
            <charset val="1"/>
          </rPr>
          <t>QT_PONTO: Identifica o ponto de referencia deste registro e ajuda na localizacao dos dados.</t>
        </r>
      </text>
    </comment>
    <comment ref="H33" authorId="0" shapeId="0" xr:uid="{00000000-0006-0000-0200-000020000000}">
      <text>
        <r>
          <rPr>
            <sz val="11"/>
            <color rgb="FF000000"/>
            <rFont val="Aptos Narrow"/>
            <family val="2"/>
            <charset val="1"/>
          </rPr>
          <t>BAL: Mostra um indicador de equilibrio entre os lados apos a sugestao de corte.</t>
        </r>
      </text>
    </comment>
    <comment ref="I33" authorId="0" shapeId="0" xr:uid="{00000000-0006-0000-0200-000021000000}">
      <text>
        <r>
          <rPr>
            <sz val="11"/>
            <color rgb="FF000000"/>
            <rFont val="Aptos Narrow"/>
            <family val="2"/>
            <charset val="1"/>
          </rPr>
          <t>DIST_NORM: Mostra indicador de distancia/posicao para comparar a distribuicao dos pontos.</t>
        </r>
      </text>
    </comment>
    <comment ref="J33" authorId="0" shapeId="0" xr:uid="{00000000-0006-0000-0200-000022000000}">
      <text>
        <r>
          <rPr>
            <sz val="11"/>
            <color rgb="FF000000"/>
            <rFont val="Aptos Narrow"/>
            <family val="2"/>
            <charset val="1"/>
          </rPr>
          <t>SCORE: Mostra a nota final da sugestao para apoiar a comparacao entre opcoes.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Copilot</author>
  </authors>
  <commentList>
    <comment ref="A1" authorId="0" shapeId="0" xr:uid="{00000000-0006-0000-0300-000001000000}">
      <text>
        <r>
          <rPr>
            <sz val="11"/>
            <color rgb="FF000000"/>
            <rFont val="Aptos Narrow"/>
            <family val="2"/>
            <charset val="1"/>
          </rPr>
          <t>Ampacidade dos Condutores de Ramais de BT (A): Informa o condutor vinculado ao ponto para identificacao do trecho.</t>
        </r>
      </text>
    </comment>
    <comment ref="A2" authorId="0" shapeId="0" xr:uid="{00000000-0006-0000-0300-000002000000}">
      <text>
        <r>
          <rPr>
            <sz val="11"/>
            <color rgb="FF000000"/>
            <rFont val="Aptos Narrow"/>
            <family val="2"/>
            <charset val="1"/>
          </rPr>
          <t>Item: Mostra medida em metros do trecho para referencia de extensao.</t>
        </r>
      </text>
    </comment>
    <comment ref="B2" authorId="0" shapeId="0" xr:uid="{00000000-0006-0000-0300-000003000000}">
      <text>
        <r>
          <rPr>
            <sz val="11"/>
            <color rgb="FF000000"/>
            <rFont val="Aptos Narrow"/>
            <family val="2"/>
            <charset val="1"/>
          </rPr>
          <t>Condutores Fora de Padrão: Informa o condutor vinculado ao ponto para identificacao do trecho.</t>
        </r>
      </text>
    </comment>
    <comment ref="M2" authorId="0" shapeId="0" xr:uid="{00000000-0006-0000-0300-000004000000}">
      <text>
        <r>
          <rPr>
            <sz val="11"/>
            <color rgb="FF000000"/>
            <rFont val="Aptos Narrow"/>
            <family val="2"/>
            <charset val="1"/>
          </rPr>
          <t>Condutores Padrão: Informa o condutor vinculado ao ponto para identificacao do trecho.</t>
        </r>
      </text>
    </comment>
    <comment ref="A3" authorId="0" shapeId="0" xr:uid="{00000000-0006-0000-0300-000005000000}">
      <text>
        <r>
          <rPr>
            <sz val="11"/>
            <color rgb="FF000000"/>
            <rFont val="Aptos Narrow"/>
            <family val="2"/>
            <charset val="1"/>
          </rPr>
          <t>Condutor: Informa o condutor vinculado ao ponto para identificacao do trecho.</t>
        </r>
      </text>
    </comment>
    <comment ref="M3" authorId="0" shapeId="0" xr:uid="{00000000-0006-0000-0300-000006000000}">
      <text>
        <r>
          <rPr>
            <sz val="11"/>
            <color rgb="FF000000"/>
            <rFont val="Aptos Narrow"/>
            <family val="2"/>
            <charset val="1"/>
          </rPr>
          <t>13 DX: Mostra coordenada X para localizar o ponto no eixo horizontal.</t>
        </r>
      </text>
    </comment>
    <comment ref="N3" authorId="0" shapeId="0" xr:uid="{00000000-0006-0000-0300-000007000000}">
      <text>
        <r>
          <rPr>
            <sz val="11"/>
            <color rgb="FF000000"/>
            <rFont val="Aptos Narrow"/>
            <family val="2"/>
            <charset val="1"/>
          </rPr>
          <t>13 TX: Mostra coordenada X para localizar o ponto no eixo horizontal.</t>
        </r>
      </text>
    </comment>
    <comment ref="O3" authorId="0" shapeId="0" xr:uid="{00000000-0006-0000-0300-000008000000}">
      <text>
        <r>
          <rPr>
            <sz val="11"/>
            <color rgb="FF000000"/>
            <rFont val="Aptos Narrow"/>
            <family val="2"/>
            <charset val="1"/>
          </rPr>
          <t>13 QX: Mostra coordenada X para localizar o ponto no eixo horizontal.</t>
        </r>
      </text>
    </comment>
    <comment ref="P3" authorId="0" shapeId="0" xr:uid="{00000000-0006-0000-0300-000009000000}">
      <text>
        <r>
          <rPr>
            <sz val="11"/>
            <color rgb="FF000000"/>
            <rFont val="Aptos Narrow"/>
            <family val="2"/>
            <charset val="1"/>
          </rPr>
          <t>21 QX: Mostra coordenada X para localizar o ponto no eixo horizontal.</t>
        </r>
      </text>
    </comment>
    <comment ref="Q3" authorId="0" shapeId="0" xr:uid="{00000000-0006-0000-0300-00000A000000}">
      <text>
        <r>
          <rPr>
            <sz val="11"/>
            <color rgb="FF000000"/>
            <rFont val="Aptos Narrow"/>
            <family val="2"/>
            <charset val="1"/>
          </rPr>
          <t>53 QX: Mostra coordenada X para localizar o ponto no eixo horizontal.</t>
        </r>
      </text>
    </comment>
    <comment ref="R3" authorId="0" shapeId="0" xr:uid="{00000000-0006-0000-0300-00000B000000}">
      <text>
        <r>
          <rPr>
            <sz val="11"/>
            <color rgb="FF000000"/>
            <rFont val="Aptos Narrow"/>
            <family val="2"/>
            <charset val="1"/>
          </rPr>
          <t>85 QX: Mostra coordenada X para localizar o ponto no eixo horizontal.</t>
        </r>
      </text>
    </comment>
    <comment ref="S3" authorId="0" shapeId="0" xr:uid="{00000000-0006-0000-0300-00000C000000}">
      <text>
        <r>
          <rPr>
            <sz val="11"/>
            <color rgb="FF000000"/>
            <rFont val="Aptos Narrow"/>
            <family val="2"/>
            <charset val="1"/>
          </rPr>
          <t>107 QX: Mostra coordenada X para localizar o ponto no eixo horizontal.</t>
        </r>
      </text>
    </comment>
    <comment ref="B4" authorId="0" shapeId="0" xr:uid="{00000000-0006-0000-0300-00000D000000}">
      <text>
        <r>
          <rPr>
            <sz val="11"/>
            <color rgb="FF000000"/>
            <rFont val="Aptos Narrow"/>
            <family val="2"/>
            <charset val="1"/>
          </rPr>
          <t>CC: identifica este campo e serve para facilitar a leitura e conferencia dos dados desta aba.</t>
        </r>
      </text>
    </comment>
    <comment ref="C4" authorId="0" shapeId="0" xr:uid="{00000000-0006-0000-0300-00000E000000}">
      <text>
        <r>
          <rPr>
            <sz val="11"/>
            <color rgb="FF000000"/>
            <rFont val="Aptos Narrow"/>
            <family val="2"/>
            <charset val="1"/>
          </rPr>
          <t>CC: identifica este campo e serve para facilitar a leitura e conferencia dos dados desta aba.</t>
        </r>
      </text>
    </comment>
    <comment ref="D4" authorId="0" shapeId="0" xr:uid="{00000000-0006-0000-0300-00000F000000}">
      <text>
        <r>
          <rPr>
            <sz val="11"/>
            <color rgb="FF000000"/>
            <rFont val="Aptos Narrow"/>
            <family val="2"/>
            <charset val="1"/>
          </rPr>
          <t>CC: identifica este campo e serve para facilitar a leitura e conferencia dos dados desta aba.</t>
        </r>
      </text>
    </comment>
    <comment ref="E4" authorId="0" shapeId="0" xr:uid="{00000000-0006-0000-0300-000010000000}">
      <text>
        <r>
          <rPr>
            <sz val="11"/>
            <color rgb="FF000000"/>
            <rFont val="Aptos Narrow"/>
            <family val="2"/>
            <charset val="1"/>
          </rPr>
          <t>CC: identifica este campo e serve para facilitar a leitura e conferencia dos dados desta aba.</t>
        </r>
      </text>
    </comment>
    <comment ref="F4" authorId="0" shapeId="0" xr:uid="{00000000-0006-0000-0300-000011000000}">
      <text>
        <r>
          <rPr>
            <sz val="11"/>
            <color rgb="FF000000"/>
            <rFont val="Aptos Narrow"/>
            <family val="2"/>
            <charset val="1"/>
          </rPr>
          <t>CC: identifica este campo e serve para facilitar a leitura e conferencia dos dados desta aba.</t>
        </r>
      </text>
    </comment>
    <comment ref="G4" authorId="0" shapeId="0" xr:uid="{00000000-0006-0000-0300-000012000000}">
      <text>
        <r>
          <rPr>
            <sz val="11"/>
            <color rgb="FF000000"/>
            <rFont val="Aptos Narrow"/>
            <family val="2"/>
            <charset val="1"/>
          </rPr>
          <t>CC: identifica este campo e serve para facilitar a leitura e conferencia dos dados desta aba.</t>
        </r>
      </text>
    </comment>
    <comment ref="H4" authorId="0" shapeId="0" xr:uid="{00000000-0006-0000-0300-000013000000}">
      <text>
        <r>
          <rPr>
            <sz val="11"/>
            <color rgb="FF000000"/>
            <rFont val="Aptos Narrow"/>
            <family val="2"/>
            <charset val="1"/>
          </rPr>
          <t>CC: identifica este campo e serve para facilitar a leitura e conferencia dos dados desta aba.</t>
        </r>
      </text>
    </comment>
    <comment ref="I4" authorId="0" shapeId="0" xr:uid="{00000000-0006-0000-0300-000014000000}">
      <text>
        <r>
          <rPr>
            <sz val="11"/>
            <color rgb="FF000000"/>
            <rFont val="Aptos Narrow"/>
            <family val="2"/>
            <charset val="1"/>
          </rPr>
          <t>CC: identifica este campo e serve para facilitar a leitura e conferencia dos dados desta aba.</t>
        </r>
      </text>
    </comment>
    <comment ref="J4" authorId="0" shapeId="0" xr:uid="{00000000-0006-0000-0300-000015000000}">
      <text>
        <r>
          <rPr>
            <sz val="11"/>
            <color rgb="FF000000"/>
            <rFont val="Aptos Narrow"/>
            <family val="2"/>
            <charset val="1"/>
          </rPr>
          <t>CC: identifica este campo e serve para facilitar a leitura e conferencia dos dados desta aba.</t>
        </r>
      </text>
    </comment>
    <comment ref="K4" authorId="0" shapeId="0" xr:uid="{00000000-0006-0000-0300-000016000000}">
      <text>
        <r>
          <rPr>
            <sz val="11"/>
            <color rgb="FF000000"/>
            <rFont val="Aptos Narrow"/>
            <family val="2"/>
            <charset val="1"/>
          </rPr>
          <t>CC: identifica este campo e serve para facilitar a leitura e conferencia dos dados desta aba.</t>
        </r>
      </text>
    </comment>
    <comment ref="L4" authorId="0" shapeId="0" xr:uid="{00000000-0006-0000-0300-000017000000}">
      <text>
        <r>
          <rPr>
            <sz val="11"/>
            <color rgb="FF000000"/>
            <rFont val="Aptos Narrow"/>
            <family val="2"/>
            <charset val="1"/>
          </rPr>
          <t>CC: identifica este campo e serve para facilitar a leitura e conferencia dos dados desta aba.</t>
        </r>
      </text>
    </comment>
    <comment ref="M4" authorId="0" shapeId="0" xr:uid="{00000000-0006-0000-0300-000018000000}">
      <text>
        <r>
          <rPr>
            <sz val="11"/>
            <color rgb="FF000000"/>
            <rFont val="Aptos Narrow"/>
            <family val="2"/>
            <charset val="1"/>
          </rPr>
          <t>6 AWG: identifica este campo e serve para facilitar a leitura e conferencia dos dados desta aba.</t>
        </r>
      </text>
    </comment>
    <comment ref="N4" authorId="0" shapeId="0" xr:uid="{00000000-0006-0000-0300-000019000000}">
      <text>
        <r>
          <rPr>
            <sz val="11"/>
            <color rgb="FF000000"/>
            <rFont val="Aptos Narrow"/>
            <family val="2"/>
            <charset val="1"/>
          </rPr>
          <t>6 AWG: identifica este campo e serve para facilitar a leitura e conferencia dos dados desta aba.</t>
        </r>
      </text>
    </comment>
    <comment ref="O4" authorId="0" shapeId="0" xr:uid="{00000000-0006-0000-0300-00001A000000}">
      <text>
        <r>
          <rPr>
            <sz val="11"/>
            <color rgb="FF000000"/>
            <rFont val="Aptos Narrow"/>
            <family val="2"/>
            <charset val="1"/>
          </rPr>
          <t>6 AWG: identifica este campo e serve para facilitar a leitura e conferencia dos dados desta aba.</t>
        </r>
      </text>
    </comment>
    <comment ref="P4" authorId="0" shapeId="0" xr:uid="{00000000-0006-0000-0300-00001B000000}">
      <text>
        <r>
          <rPr>
            <sz val="11"/>
            <color rgb="FF000000"/>
            <rFont val="Aptos Narrow"/>
            <family val="2"/>
            <charset val="1"/>
          </rPr>
          <t>4 AWG: identifica este campo e serve para facilitar a leitura e conferencia dos dados desta aba.</t>
        </r>
      </text>
    </comment>
    <comment ref="Q4" authorId="0" shapeId="0" xr:uid="{00000000-0006-0000-0300-00001C000000}">
      <text>
        <r>
          <rPr>
            <sz val="11"/>
            <color rgb="FF000000"/>
            <rFont val="Aptos Narrow"/>
            <family val="2"/>
            <charset val="1"/>
          </rPr>
          <t>1/0: identifica este campo e serve para facilitar a leitura e conferencia dos dados desta aba.</t>
        </r>
      </text>
    </comment>
    <comment ref="R4" authorId="0" shapeId="0" xr:uid="{00000000-0006-0000-0300-00001D000000}">
      <text>
        <r>
          <rPr>
            <sz val="11"/>
            <color rgb="FF000000"/>
            <rFont val="Aptos Narrow"/>
            <family val="2"/>
            <charset val="1"/>
          </rPr>
          <t>3/0: identifica este campo e serve para facilitar a leitura e conferencia dos dados desta aba.</t>
        </r>
      </text>
    </comment>
    <comment ref="S4" authorId="0" shapeId="0" xr:uid="{00000000-0006-0000-0300-00001E000000}">
      <text>
        <r>
          <rPr>
            <sz val="11"/>
            <color rgb="FF000000"/>
            <rFont val="Aptos Narrow"/>
            <family val="2"/>
            <charset val="1"/>
          </rPr>
          <t>4/0: identifica este campo e serve para facilitar a leitura e conferencia dos dados desta aba.</t>
        </r>
      </text>
    </comment>
    <comment ref="T4" authorId="0" shapeId="0" xr:uid="{00000000-0006-0000-0300-00001F000000}">
      <text>
        <r>
          <rPr>
            <sz val="11"/>
            <color rgb="FF000000"/>
            <rFont val="Aptos Narrow"/>
            <family val="2"/>
            <charset val="1"/>
          </rPr>
          <t>MMX: Mostra coordenada X para localizar o ponto no eixo horizontal.</t>
        </r>
      </text>
    </comment>
    <comment ref="U4" authorId="0" shapeId="0" xr:uid="{00000000-0006-0000-0300-000020000000}">
      <text>
        <r>
          <rPr>
            <sz val="11"/>
            <color rgb="FF000000"/>
            <rFont val="Aptos Narrow"/>
            <family val="2"/>
            <charset val="1"/>
          </rPr>
          <t>MMX: Mostra coordenada X para localizar o ponto no eixo horizontal.</t>
        </r>
      </text>
    </comment>
    <comment ref="A5" authorId="0" shapeId="0" xr:uid="{00000000-0006-0000-0300-000021000000}">
      <text>
        <r>
          <rPr>
            <sz val="11"/>
            <color rgb="FF000000"/>
            <rFont val="Aptos Narrow"/>
            <family val="2"/>
            <charset val="1"/>
          </rPr>
          <t>Carregamento: Mostra medida em metros do trecho para referencia de extensao.</t>
        </r>
      </text>
    </comment>
    <comment ref="A7" authorId="0" shapeId="0" xr:uid="{00000000-0006-0000-0300-000022000000}">
      <text>
        <r>
          <rPr>
            <sz val="11"/>
            <color rgb="FF000000"/>
            <rFont val="Aptos Narrow"/>
            <family val="2"/>
            <charset val="1"/>
          </rPr>
          <t>Cabo de Rede: identifica este campo e serve para facilitar a leitura e conferencia dos dados desta aba.</t>
        </r>
      </text>
    </comment>
    <comment ref="J7" authorId="0" shapeId="0" xr:uid="{00000000-0006-0000-0300-000023000000}">
      <text>
        <r>
          <rPr>
            <sz val="11"/>
            <color rgb="FF000000"/>
            <rFont val="Aptos Narrow"/>
            <family val="2"/>
            <charset val="1"/>
          </rPr>
          <t>53 QX: Mostra coordenada X para localizar o ponto no eixo horizontal.</t>
        </r>
      </text>
    </comment>
    <comment ref="K7" authorId="0" shapeId="0" xr:uid="{00000000-0006-0000-0300-000024000000}">
      <text>
        <r>
          <rPr>
            <sz val="11"/>
            <color rgb="FF000000"/>
            <rFont val="Aptos Narrow"/>
            <family val="2"/>
            <charset val="1"/>
          </rPr>
          <t>85 QX: Mostra coordenada X para localizar o ponto no eixo horizontal.</t>
        </r>
      </text>
    </comment>
    <comment ref="L7" authorId="0" shapeId="0" xr:uid="{00000000-0006-0000-0300-000025000000}">
      <text>
        <r>
          <rPr>
            <sz val="11"/>
            <color rgb="FF000000"/>
            <rFont val="Aptos Narrow"/>
            <family val="2"/>
            <charset val="1"/>
          </rPr>
          <t>107 QX: Mostra coordenada X para localizar o ponto no eixo horizontal.</t>
        </r>
      </text>
    </comment>
    <comment ref="B8" authorId="0" shapeId="0" xr:uid="{00000000-0006-0000-0300-000026000000}">
      <text>
        <r>
          <rPr>
            <sz val="11"/>
            <color rgb="FF000000"/>
            <rFont val="Aptos Narrow"/>
            <family val="2"/>
            <charset val="1"/>
          </rPr>
          <t>AA: identifica este campo e serve para facilitar a leitura e conferencia dos dados desta aba.</t>
        </r>
      </text>
    </comment>
    <comment ref="C8" authorId="0" shapeId="0" xr:uid="{00000000-0006-0000-0300-000027000000}">
      <text>
        <r>
          <rPr>
            <sz val="11"/>
            <color rgb="FF000000"/>
            <rFont val="Aptos Narrow"/>
            <family val="2"/>
            <charset val="1"/>
          </rPr>
          <t>AC: identifica este campo e serve para facilitar a leitura e conferencia dos dados desta aba.</t>
        </r>
      </text>
    </comment>
    <comment ref="D8" authorId="0" shapeId="0" xr:uid="{00000000-0006-0000-0300-000028000000}">
      <text>
        <r>
          <rPr>
            <sz val="11"/>
            <color rgb="FF000000"/>
            <rFont val="Aptos Narrow"/>
            <family val="2"/>
            <charset val="1"/>
          </rPr>
          <t>AA: identifica este campo e serve para facilitar a leitura e conferencia dos dados desta aba.</t>
        </r>
      </text>
    </comment>
    <comment ref="E8" authorId="0" shapeId="0" xr:uid="{00000000-0006-0000-0300-000029000000}">
      <text>
        <r>
          <rPr>
            <sz val="11"/>
            <color rgb="FF000000"/>
            <rFont val="Aptos Narrow"/>
            <family val="2"/>
            <charset val="1"/>
          </rPr>
          <t>AC: identifica este campo e serve para facilitar a leitura e conferencia dos dados desta aba.</t>
        </r>
      </text>
    </comment>
    <comment ref="F8" authorId="0" shapeId="0" xr:uid="{00000000-0006-0000-0300-00002A000000}">
      <text>
        <r>
          <rPr>
            <sz val="11"/>
            <color rgb="FF000000"/>
            <rFont val="Aptos Narrow"/>
            <family val="2"/>
            <charset val="1"/>
          </rPr>
          <t>A: identifica este campo e serve para facilitar a leitura e conferencia dos dados desta aba.</t>
        </r>
      </text>
    </comment>
    <comment ref="G8" authorId="0" shapeId="0" xr:uid="{00000000-0006-0000-0300-00002B000000}">
      <text>
        <r>
          <rPr>
            <sz val="11"/>
            <color rgb="FF000000"/>
            <rFont val="Aptos Narrow"/>
            <family val="2"/>
            <charset val="1"/>
          </rPr>
          <t>AC: identifica este campo e serve para facilitar a leitura e conferencia dos dados desta aba.</t>
        </r>
      </text>
    </comment>
    <comment ref="H8" authorId="0" shapeId="0" xr:uid="{00000000-0006-0000-0300-00002C000000}">
      <text>
        <r>
          <rPr>
            <sz val="11"/>
            <color rgb="FF000000"/>
            <rFont val="Aptos Narrow"/>
            <family val="2"/>
            <charset val="1"/>
          </rPr>
          <t>A: identifica este campo e serve para facilitar a leitura e conferencia dos dados desta aba.</t>
        </r>
      </text>
    </comment>
    <comment ref="I8" authorId="0" shapeId="0" xr:uid="{00000000-0006-0000-0300-00002D000000}">
      <text>
        <r>
          <rPr>
            <sz val="11"/>
            <color rgb="FF000000"/>
            <rFont val="Aptos Narrow"/>
            <family val="2"/>
            <charset val="1"/>
          </rPr>
          <t>AC: identifica este campo e serve para facilitar a leitura e conferencia dos dados desta aba.</t>
        </r>
      </text>
    </comment>
    <comment ref="J8" authorId="0" shapeId="0" xr:uid="{00000000-0006-0000-0300-00002E000000}">
      <text>
        <r>
          <rPr>
            <sz val="11"/>
            <color rgb="FF000000"/>
            <rFont val="Aptos Narrow"/>
            <family val="2"/>
            <charset val="1"/>
          </rPr>
          <t>1/0: identifica este campo e serve para facilitar a leitura e conferencia dos dados desta aba.</t>
        </r>
      </text>
    </comment>
    <comment ref="K8" authorId="0" shapeId="0" xr:uid="{00000000-0006-0000-0300-00002F000000}">
      <text>
        <r>
          <rPr>
            <sz val="11"/>
            <color rgb="FF000000"/>
            <rFont val="Aptos Narrow"/>
            <family val="2"/>
            <charset val="1"/>
          </rPr>
          <t>3/0: identifica este campo e serve para facilitar a leitura e conferencia dos dados desta aba.</t>
        </r>
      </text>
    </comment>
    <comment ref="L8" authorId="0" shapeId="0" xr:uid="{00000000-0006-0000-0300-000030000000}">
      <text>
        <r>
          <rPr>
            <sz val="11"/>
            <color rgb="FF000000"/>
            <rFont val="Aptos Narrow"/>
            <family val="2"/>
            <charset val="1"/>
          </rPr>
          <t>4/0: identifica este campo e serve para facilitar a leitura e conferencia dos dados desta aba.</t>
        </r>
      </text>
    </comment>
    <comment ref="M8" authorId="0" shapeId="0" xr:uid="{00000000-0006-0000-0300-000031000000}">
      <text>
        <r>
          <rPr>
            <sz val="11"/>
            <color rgb="FF000000"/>
            <rFont val="Aptos Narrow"/>
            <family val="2"/>
            <charset val="1"/>
          </rPr>
          <t>MMX: Mostra coordenada X para localizar o ponto no eixo horizontal.</t>
        </r>
      </text>
    </comment>
    <comment ref="N8" authorId="0" shapeId="0" xr:uid="{00000000-0006-0000-0300-000032000000}">
      <text>
        <r>
          <rPr>
            <sz val="11"/>
            <color rgb="FF000000"/>
            <rFont val="Aptos Narrow"/>
            <family val="2"/>
            <charset val="1"/>
          </rPr>
          <t>MMX: Mostra coordenada X para localizar o ponto no eixo horizontal.</t>
        </r>
      </text>
    </comment>
    <comment ref="A9" authorId="0" shapeId="0" xr:uid="{00000000-0006-0000-0300-000033000000}">
      <text>
        <r>
          <rPr>
            <sz val="11"/>
            <color rgb="FF000000"/>
            <rFont val="Aptos Narrow"/>
            <family val="2"/>
            <charset val="1"/>
          </rPr>
          <t>R (Ohms): Mostra medida em metros do trecho para referencia de extensao.</t>
        </r>
      </text>
    </comment>
    <comment ref="A10" authorId="0" shapeId="0" xr:uid="{00000000-0006-0000-0300-000034000000}">
      <text>
        <r>
          <rPr>
            <sz val="11"/>
            <color rgb="FF000000"/>
            <rFont val="Aptos Narrow"/>
            <family val="2"/>
            <charset val="1"/>
          </rPr>
          <t>X (Ohms): Mostra coordenada X para localizar o ponto no eixo horizontal.</t>
        </r>
      </text>
    </comment>
    <comment ref="A11" authorId="0" shapeId="0" xr:uid="{00000000-0006-0000-0300-000035000000}">
      <text>
        <r>
          <rPr>
            <sz val="11"/>
            <color rgb="FF000000"/>
            <rFont val="Aptos Narrow"/>
            <family val="2"/>
            <charset val="1"/>
          </rPr>
          <t>Comercial: Mostra medida em metros do trecho para referencia de extensao.</t>
        </r>
      </text>
    </comment>
    <comment ref="A12" authorId="0" shapeId="0" xr:uid="{00000000-0006-0000-0300-000036000000}">
      <text>
        <r>
          <rPr>
            <sz val="11"/>
            <color rgb="FF000000"/>
            <rFont val="Aptos Narrow"/>
            <family val="2"/>
            <charset val="1"/>
          </rPr>
          <t>Residencial: identifica este campo e serve para facilitar a leitura e conferencia dos dados desta aba.</t>
        </r>
      </text>
    </comment>
    <comment ref="A13" authorId="0" shapeId="0" xr:uid="{00000000-0006-0000-0300-000037000000}">
      <text>
        <r>
          <rPr>
            <sz val="11"/>
            <color rgb="FF000000"/>
            <rFont val="Aptos Narrow"/>
            <family val="2"/>
            <charset val="1"/>
          </rPr>
          <t>Misto: Mostra medida em metros do trecho para referencia de extensao.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Copilot</author>
  </authors>
  <commentList>
    <comment ref="A2" authorId="0" shapeId="0" xr:uid="{00000000-0006-0000-0C00-000001000000}">
      <text>
        <r>
          <rPr>
            <sz val="11"/>
            <color rgb="FF000000"/>
            <rFont val="Aptos Narrow"/>
            <family val="2"/>
            <charset val="1"/>
          </rPr>
          <t>CQT FINAL: Mostra o percentual de QT do ponto para apoiar a priorizacao.</t>
        </r>
      </text>
    </comment>
  </commentList>
</comments>
</file>

<file path=xl/sharedStrings.xml><?xml version="1.0" encoding="utf-8"?>
<sst xmlns="http://schemas.openxmlformats.org/spreadsheetml/2006/main" count="764" uniqueCount="261">
  <si>
    <t>CQT FINAL</t>
  </si>
  <si>
    <t>16 Al_CONC_Tri</t>
  </si>
  <si>
    <t>CENTRO DE CARGA</t>
  </si>
  <si>
    <t>X</t>
  </si>
  <si>
    <t>PONTO</t>
  </si>
  <si>
    <t>PONTO MONTANTE</t>
  </si>
  <si>
    <t>COMPRIMENTO (m)</t>
  </si>
  <si>
    <t>COORDENADAS UTM</t>
  </si>
  <si>
    <t>CARGA PONTO (kVA)</t>
  </si>
  <si>
    <t>ACUMULADO (kVA)</t>
  </si>
  <si>
    <t>CONDUTOR</t>
  </si>
  <si>
    <t>QT NO PONTO</t>
  </si>
  <si>
    <t>QT ACUMULADA</t>
  </si>
  <si>
    <t>QT %</t>
  </si>
  <si>
    <t>TENSÃO PONTO</t>
  </si>
  <si>
    <t>I trecho x I condutor</t>
  </si>
  <si>
    <t>FASES</t>
  </si>
  <si>
    <t>SNAP</t>
  </si>
  <si>
    <t>Y</t>
  </si>
  <si>
    <t>LONG</t>
  </si>
  <si>
    <t>LAT</t>
  </si>
  <si>
    <t>TRECHO</t>
  </si>
  <si>
    <t>M</t>
  </si>
  <si>
    <t>KVA PONTO</t>
  </si>
  <si>
    <t>ACUMULADA</t>
  </si>
  <si>
    <t>(A)</t>
  </si>
  <si>
    <t>T</t>
  </si>
  <si>
    <t>R CORR</t>
  </si>
  <si>
    <t>QT-PONTO</t>
  </si>
  <si>
    <t>Coluna1</t>
  </si>
  <si>
    <t>127</t>
  </si>
  <si>
    <t>220</t>
  </si>
  <si>
    <t>TEMP2</t>
  </si>
  <si>
    <t>FASE</t>
  </si>
  <si>
    <t>ETA</t>
  </si>
  <si>
    <t>METODO_INST</t>
  </si>
  <si>
    <t>TEMP_AMB</t>
  </si>
  <si>
    <t>Ib</t>
  </si>
  <si>
    <t>In</t>
  </si>
  <si>
    <t>Iz</t>
  </si>
  <si>
    <t>PROTECAO</t>
  </si>
  <si>
    <t>Coluna2</t>
  </si>
  <si>
    <t>RAMAL</t>
  </si>
  <si>
    <t>CONDUTORES</t>
  </si>
  <si>
    <t>Resistência</t>
  </si>
  <si>
    <t>Reatância</t>
  </si>
  <si>
    <t>α</t>
  </si>
  <si>
    <t>DIVISOR_R</t>
  </si>
  <si>
    <t>TEMP_LIM</t>
  </si>
  <si>
    <t>DELTA_TEMP_30</t>
  </si>
  <si>
    <t>K_TERM_30</t>
  </si>
  <si>
    <t>I_MIN</t>
  </si>
  <si>
    <t>IN_PADRAO</t>
  </si>
  <si>
    <t>PARAMETRO</t>
  </si>
  <si>
    <t>VALOR</t>
  </si>
  <si>
    <t>UNIDADE</t>
  </si>
  <si>
    <t>MATERIAL</t>
  </si>
  <si>
    <t>COD_CONDUTOR</t>
  </si>
  <si>
    <t>25 Al - Arm</t>
  </si>
  <si>
    <t>fator</t>
  </si>
  <si>
    <t>fator_potencia</t>
  </si>
  <si>
    <t>pu</t>
  </si>
  <si>
    <t>50 Al - Arm</t>
  </si>
  <si>
    <t>TRAFO</t>
  </si>
  <si>
    <t>Z%</t>
  </si>
  <si>
    <t>QT_MT</t>
  </si>
  <si>
    <t>95 Al - Arm</t>
  </si>
  <si>
    <t>TR_ATUAL</t>
  </si>
  <si>
    <t>kVA</t>
  </si>
  <si>
    <t>150 Al - Arm</t>
  </si>
  <si>
    <t>DEM_ATUAL</t>
  </si>
  <si>
    <t>240 Al - Arm</t>
  </si>
  <si>
    <t>QT_TR</t>
  </si>
  <si>
    <t>25 Al</t>
  </si>
  <si>
    <t>QT_MTTR</t>
  </si>
  <si>
    <t>35 Cu</t>
  </si>
  <si>
    <t>70 Cu</t>
  </si>
  <si>
    <t>95 Al</t>
  </si>
  <si>
    <t>120 Cu</t>
  </si>
  <si>
    <t>240 Al</t>
  </si>
  <si>
    <t>240 Cu</t>
  </si>
  <si>
    <t>500 Cu</t>
  </si>
  <si>
    <t>10 Cu_CONC_bi</t>
  </si>
  <si>
    <t>TR_PROJ1</t>
  </si>
  <si>
    <t>10 Cu_CONC_Tri</t>
  </si>
  <si>
    <t>DEM_PROJ1</t>
  </si>
  <si>
    <t>16 Al_CONC_bi</t>
  </si>
  <si>
    <t>13 Al - DX</t>
  </si>
  <si>
    <t>QT_MTTR2</t>
  </si>
  <si>
    <t>13 Al - TX</t>
  </si>
  <si>
    <t>13 Al - QX</t>
  </si>
  <si>
    <t>21 Al - QX</t>
  </si>
  <si>
    <t>TR_PROJ2</t>
  </si>
  <si>
    <t>53 Al - QX</t>
  </si>
  <si>
    <t>DEM_PROJ2</t>
  </si>
  <si>
    <t>70 Al - MX</t>
  </si>
  <si>
    <t>185 Al - MX</t>
  </si>
  <si>
    <t>240 Al - MX</t>
  </si>
  <si>
    <t>QT_MTTR3</t>
  </si>
  <si>
    <t>km construido</t>
  </si>
  <si>
    <t>cusot final</t>
  </si>
  <si>
    <t xml:space="preserve">Rede Com Estrutura                                                                                                                                                                                            </t>
  </si>
  <si>
    <t>BT</t>
  </si>
  <si>
    <t>CUSTO</t>
  </si>
  <si>
    <t>Cabo 53 mm² CA – Nu e PVC</t>
  </si>
  <si>
    <t xml:space="preserve">Área (m²) </t>
  </si>
  <si>
    <t>QTD Clientes</t>
  </si>
  <si>
    <t xml:space="preserve">Fator por área </t>
  </si>
  <si>
    <t xml:space="preserve">Fator Diversificação </t>
  </si>
  <si>
    <t>Demanda (KVA)</t>
  </si>
  <si>
    <t>Cabo 201 mm² CA - Nu e PVC</t>
  </si>
  <si>
    <t>Cabo 70 mm² CA MMX</t>
  </si>
  <si>
    <t>Cabo 185 mm² CA MMX</t>
  </si>
  <si>
    <t>Cabo 240 mm² CA MMX</t>
  </si>
  <si>
    <t>Rede Cabo Armado</t>
  </si>
  <si>
    <t>Cabo armado 3X1X50 mm²+35 mm²</t>
  </si>
  <si>
    <t>Cabo armado 3X1X95 mm²+50 mm²</t>
  </si>
  <si>
    <t>Cabo armado 3X1X240 mm²+120 mm²</t>
  </si>
  <si>
    <t>Trafo Aéreo 45 kVA – Trifásico – 25,6 kV – Convencional ( Unidade )</t>
  </si>
  <si>
    <t>Trafo Aéreo 15 kVA – Trifásico – 13,8 kV – Convencional ( Unidade )</t>
  </si>
  <si>
    <t>Trafo Aéreo 30 kVA – Trifásico – 13,8 kV – Convencional ( Unidade )</t>
  </si>
  <si>
    <t>Trafo Aéreo 45 kVA – Trifásico – 13,8 kV – Convencional ( Unidade )</t>
  </si>
  <si>
    <t>Trafo Aéreo 75 kVA – Trifásico – 13,8 kV – Convencional ( Unidade )</t>
  </si>
  <si>
    <t>Trafo Aéreo 112,5 kVA – Trifásico – 13,8 kV – Convencional ( Unidade )</t>
  </si>
  <si>
    <t>Trafo Aéreo 150 kVA – Trifásico – 13,8 kV – Convencional ( Unidade )</t>
  </si>
  <si>
    <t>Trafo Aéreo 225 kVA – Trifásico – 13,8 kV – Convencional ( Unidade )</t>
  </si>
  <si>
    <t>Trafo Aéreo 300 kVA – Trifásico – 13,8 kV – Convencional ( Unidade )</t>
  </si>
  <si>
    <t>MT</t>
  </si>
  <si>
    <t xml:space="preserve">Rede Com Estrutura                                                                                                                                                         </t>
  </si>
  <si>
    <t>Cabo 201 mm² CA Nu</t>
  </si>
  <si>
    <t>Cabo 95 mm² - Spacer Cable (Utilização nas ligações de GD)</t>
  </si>
  <si>
    <t>Cabo 201 mm² - Spacer Cable</t>
  </si>
  <si>
    <t>Cabo 185 mm² - PR – Blindado</t>
  </si>
  <si>
    <t xml:space="preserve">Rede Sem estrutura                                                                                                                                                                       </t>
  </si>
  <si>
    <t>PAINEL DE SUGESTAO DE CORTES (HEURISTICO)</t>
  </si>
  <si>
    <t>PARAMETROS SCORE</t>
  </si>
  <si>
    <t>Peso carga acumulada</t>
  </si>
  <si>
    <t>Arquivo analisado</t>
  </si>
  <si>
    <t>Cenario 2 trafos</t>
  </si>
  <si>
    <t>Peso QT</t>
  </si>
  <si>
    <t>Gerado em</t>
  </si>
  <si>
    <t>ESQ</t>
  </si>
  <si>
    <t>Peso balanceamento</t>
  </si>
  <si>
    <t>Demanda atual (kVA)</t>
  </si>
  <si>
    <t>DIR</t>
  </si>
  <si>
    <t>Penalidade distancia</t>
  </si>
  <si>
    <t>Trafo atual (kVA)</t>
  </si>
  <si>
    <t>Status</t>
  </si>
  <si>
    <t>Penalidade saturacao</t>
  </si>
  <si>
    <t>Saturacao atual</t>
  </si>
  <si>
    <t>Limite sat pos-corte</t>
  </si>
  <si>
    <t>Soma pesos (ideal 1,00)</t>
  </si>
  <si>
    <t>LADO ESQUERDO - TOP CORTES</t>
  </si>
  <si>
    <t>TOTAL_LADO_KVA</t>
  </si>
  <si>
    <t>MAX_QT</t>
  </si>
  <si>
    <t>RANK</t>
  </si>
  <si>
    <t>SUB_KVA</t>
  </si>
  <si>
    <t>REM_KVA</t>
  </si>
  <si>
    <t>CAP_SUG</t>
  </si>
  <si>
    <t>SAT_NOVA</t>
  </si>
  <si>
    <t>QT_PONTO</t>
  </si>
  <si>
    <t>BAL</t>
  </si>
  <si>
    <t>DIST_NORM</t>
  </si>
  <si>
    <t>SCORE</t>
  </si>
  <si>
    <t>LADO DIREITO - TOP CORTES</t>
  </si>
  <si>
    <t>Ampacidade dos Condutores de Ramais de BT (A)</t>
  </si>
  <si>
    <t>Item</t>
  </si>
  <si>
    <t>Condutores Fora de Padrão</t>
  </si>
  <si>
    <t>Condutores Padrão</t>
  </si>
  <si>
    <t>Condutor</t>
  </si>
  <si>
    <t>13 DX</t>
  </si>
  <si>
    <t>13 TX</t>
  </si>
  <si>
    <t>13 QX</t>
  </si>
  <si>
    <t>21 QX</t>
  </si>
  <si>
    <t>53 QX</t>
  </si>
  <si>
    <t>85 QX</t>
  </si>
  <si>
    <t>107 QX</t>
  </si>
  <si>
    <t>CC</t>
  </si>
  <si>
    <t>6 AWG</t>
  </si>
  <si>
    <t>4 AWG</t>
  </si>
  <si>
    <t>1/0</t>
  </si>
  <si>
    <t>3/0</t>
  </si>
  <si>
    <t>4/0</t>
  </si>
  <si>
    <t>MMX</t>
  </si>
  <si>
    <t>Carregamento</t>
  </si>
  <si>
    <t>Cabo de Rede</t>
  </si>
  <si>
    <t>AA</t>
  </si>
  <si>
    <t>AC</t>
  </si>
  <si>
    <t>A</t>
  </si>
  <si>
    <t>R (Ohms)</t>
  </si>
  <si>
    <t>X (Ohms)</t>
  </si>
  <si>
    <t>Comercial</t>
  </si>
  <si>
    <t>Residencial</t>
  </si>
  <si>
    <t>Misto</t>
  </si>
  <si>
    <t>MONO</t>
  </si>
  <si>
    <t>BIF</t>
  </si>
  <si>
    <t>TRIF</t>
  </si>
  <si>
    <t>N° de ramais ATUAL</t>
  </si>
  <si>
    <t>KVA CLANDESTINO</t>
  </si>
  <si>
    <t>LEITURA DO TRAFO - ATUAL</t>
  </si>
  <si>
    <t>LEITURA DO TRAFO - PROJ</t>
  </si>
  <si>
    <t>LEITURA DO TRAFO - PROJ2</t>
  </si>
  <si>
    <t>N° do Poste</t>
  </si>
  <si>
    <t>TOTAL (A)</t>
  </si>
  <si>
    <t>TOTAL PONTO</t>
  </si>
  <si>
    <t>CLIENTES</t>
  </si>
  <si>
    <t>Corrente Máxima</t>
  </si>
  <si>
    <t>Demanda Máxima</t>
  </si>
  <si>
    <t>Fator de Temperatura</t>
  </si>
  <si>
    <t>Demanda Corrigida</t>
  </si>
  <si>
    <t>TRAFO PROJ</t>
  </si>
  <si>
    <t>CARREGAMENTO ATUAL</t>
  </si>
  <si>
    <t>DMDI (RAMAL)</t>
  </si>
  <si>
    <t>CLANDESTINOS</t>
  </si>
  <si>
    <t>DMDI</t>
  </si>
  <si>
    <t>QTD CASAS</t>
  </si>
  <si>
    <t>Dem. Prevista</t>
  </si>
  <si>
    <t>ZNA 30460 - RUA JDÉCIO MUNIZ DA SILVA FILHO (ANTIGA 16 DE ABRIL) - CHAPERÓ - ITAGUAÍ RJ</t>
  </si>
  <si>
    <t>CLANDESTINO?</t>
  </si>
  <si>
    <t>SIM</t>
  </si>
  <si>
    <t>CONSIDERA CASAS COM:</t>
  </si>
  <si>
    <t>RAMAL ESQ</t>
  </si>
  <si>
    <t>CABO BT</t>
  </si>
  <si>
    <t>RAMAL DIR</t>
  </si>
  <si>
    <t>DEMANDA</t>
  </si>
  <si>
    <t>LEV 27/03/2026</t>
  </si>
  <si>
    <t>EST 31/03/2026</t>
  </si>
  <si>
    <t>COMPRIMENTO</t>
  </si>
  <si>
    <t>CARGA PONTO</t>
  </si>
  <si>
    <t>DIST ATÉ O CENTRO DE CARGA</t>
  </si>
  <si>
    <t>MONTATE</t>
  </si>
  <si>
    <t>metros</t>
  </si>
  <si>
    <t>CLT ACUMULADO</t>
  </si>
  <si>
    <t>TOTAL DO TRECHO</t>
  </si>
  <si>
    <t>LADO</t>
  </si>
  <si>
    <t>CQT NO PONTO</t>
  </si>
  <si>
    <t>ESQUERDO</t>
  </si>
  <si>
    <t>POSTE IDEAL</t>
  </si>
  <si>
    <t>DIREITO</t>
  </si>
  <si>
    <t>SUB-CIRCUITOS SUGERIDOS</t>
  </si>
  <si>
    <t>ATENTAR-SE PARA CQT</t>
  </si>
  <si>
    <t>METROS REDE TOTAL</t>
  </si>
  <si>
    <t>RAMAL (DMDI)</t>
  </si>
  <si>
    <t>CC2</t>
  </si>
  <si>
    <t>CC3</t>
  </si>
  <si>
    <t>CC4</t>
  </si>
  <si>
    <t>CC5</t>
  </si>
  <si>
    <t>CC6</t>
  </si>
  <si>
    <t>CC7</t>
  </si>
  <si>
    <t>CC8</t>
  </si>
  <si>
    <t>CC9</t>
  </si>
  <si>
    <t>CC10</t>
  </si>
  <si>
    <t>CC11</t>
  </si>
  <si>
    <t>6 AWG12</t>
  </si>
  <si>
    <t>6 AWG13</t>
  </si>
  <si>
    <t>MMX14</t>
  </si>
  <si>
    <t>KVA</t>
  </si>
  <si>
    <t>TOTAL</t>
  </si>
  <si>
    <t>KVA2</t>
  </si>
  <si>
    <t>I / PONTO</t>
  </si>
  <si>
    <t>23K  635806 7462003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</si>
</sst>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000"/>
    <numFmt numFmtId="165" formatCode="0.000"/>
    <numFmt numFmtId="166" formatCode="0.0%"/>
    <numFmt numFmtId="167" formatCode="0.0000"/>
    <numFmt numFmtId="168" formatCode="General\ &quot;m²&quot;"/>
    <numFmt numFmtId="169" formatCode="0.00\ &quot;V&quot;"/>
    <numFmt numFmtId="170" formatCode="0.0"/>
    <numFmt numFmtId="171" formatCode="0\ &quot;m&quot;"/>
  </numFmts>
  <fonts count="31" x14ac:knownFonts="1">
    <font>
      <sz val="11"/>
      <color rgb="FF000000"/>
      <name val="Aptos Narrow"/>
      <family val="2"/>
      <charset val="1"/>
    </font>
    <font>
      <sz val="11"/>
      <color rgb="FF000000"/>
      <name val="Arial"/>
      <family val="2"/>
      <charset val="1"/>
    </font>
    <font>
      <b/>
      <sz val="11"/>
      <color rgb="FF000000"/>
      <name val="Arial"/>
      <family val="2"/>
      <charset val="1"/>
    </font>
    <font>
      <b/>
      <sz val="11"/>
      <color rgb="FFFFFFFF"/>
      <name val="Arial"/>
      <family val="2"/>
      <charset val="1"/>
    </font>
    <font>
      <sz val="11"/>
      <name val="Aptos Narrow"/>
      <family val="2"/>
      <charset val="1"/>
    </font>
    <font>
      <sz val="11"/>
      <color rgb="FF000000"/>
      <name val="Aptos Narrow"/>
      <family val="2"/>
      <charset val="1"/>
    </font>
    <font>
      <sz val="11"/>
      <name val="Arial"/>
      <family val="2"/>
    </font>
    <font>
      <b/>
      <sz val="11"/>
      <color theme="0"/>
      <name val="Arial"/>
      <family val="2"/>
      <charset val="1"/>
    </font>
    <font>
      <b/>
      <sz val="12"/>
      <color theme="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0"/>
      <color theme="0"/>
      <name val="Arial"/>
      <family val="2"/>
    </font>
    <font>
      <sz val="10"/>
      <name val="Arial"/>
      <family val="2"/>
    </font>
    <font>
      <sz val="10"/>
      <color theme="0"/>
      <name val="Arial"/>
      <family val="2"/>
    </font>
    <font>
      <b/>
      <sz val="8"/>
      <name val="Arial"/>
      <family val="2"/>
      <charset val="1"/>
    </font>
    <font>
      <b/>
      <sz val="8"/>
      <color theme="0"/>
      <name val="Arial"/>
      <family val="2"/>
      <charset val="1"/>
    </font>
    <font>
      <sz val="11"/>
      <color rgb="FF000000"/>
      <name val="Calibri"/>
      <family val="2"/>
    </font>
    <font>
      <b/>
      <sz val="8"/>
      <color rgb="FFFF0000"/>
      <name val="Arial"/>
      <family val="2"/>
      <charset val="1"/>
    </font>
    <font>
      <b/>
      <i/>
      <sz val="12"/>
      <name val="Arial"/>
      <family val="2"/>
    </font>
    <font>
      <sz val="12"/>
      <name val="Arial"/>
      <family val="2"/>
    </font>
    <font>
      <b/>
      <sz val="14"/>
      <color theme="1"/>
      <name val="Aptos Narrow"/>
      <family val="2"/>
      <scheme val="minor"/>
    </font>
    <font>
      <sz val="11"/>
      <color rgb="FFFF0000"/>
      <name val="Aptos Narrow"/>
      <family val="2"/>
      <charset val="1"/>
    </font>
    <font>
      <b/>
      <sz val="11"/>
      <color rgb="FF000000"/>
      <name val="Arial"/>
      <family val="2"/>
    </font>
    <font>
      <sz val="11"/>
      <color rgb="FFFF0000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1"/>
      <color rgb="FFFFFFFF"/>
      <name val="Aptos Narrow"/>
    </font>
    <font>
      <b/>
      <sz val="11"/>
      <name val="Aptos Narrow"/>
    </font>
    <font>
      <b/>
      <sz val="11"/>
      <color rgb="FFFFFFFF"/>
      <name val="Aptos Narrow"/>
    </font>
    <font>
      <b/>
      <sz val="11"/>
      <name val="Aptos Narrow"/>
    </font>
    <font>
      <sz val="8"/>
      <name val="Aptos Narrow"/>
      <family val="2"/>
      <charset val="1"/>
    </font>
  </fonts>
  <fills count="20">
    <fill>
      <patternFill patternType="none"/>
    </fill>
    <fill>
      <patternFill patternType="gray125"/>
    </fill>
    <fill>
      <patternFill patternType="solid">
        <fgColor rgb="FF4E95D9"/>
        <bgColor rgb="FF46B1E1"/>
      </patternFill>
    </fill>
    <fill>
      <patternFill patternType="solid">
        <fgColor rgb="FF000000"/>
        <bgColor rgb="FF003300"/>
      </patternFill>
    </fill>
    <fill>
      <patternFill patternType="solid">
        <fgColor rgb="FFFFFFFF"/>
        <bgColor rgb="FFFFFFCC"/>
      </patternFill>
    </fill>
    <fill>
      <patternFill patternType="solid">
        <fgColor rgb="FFC1E5F5"/>
        <bgColor rgb="FFCCFFFF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rgb="FFFFFF00"/>
        <bgColor indexed="26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</fills>
  <borders count="55">
    <border>
      <left/>
      <right/>
      <top/>
      <bottom/>
      <diagonal/>
    </border>
    <border>
      <left/>
      <right/>
      <top style="thin">
        <color rgb="FF46B1E1"/>
      </top>
      <bottom/>
      <diagonal/>
    </border>
    <border>
      <left/>
      <right/>
      <top style="thin">
        <color rgb="FF46B1E1"/>
      </top>
      <bottom style="thin">
        <color rgb="FF46B1E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rgb="FF46B1E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5">
    <xf numFmtId="0" fontId="0" fillId="0" borderId="0"/>
    <xf numFmtId="9" fontId="5" fillId="0" borderId="0"/>
    <xf numFmtId="0" fontId="10" fillId="0" borderId="0"/>
    <xf numFmtId="44" fontId="5" fillId="0" borderId="0"/>
    <xf numFmtId="43" fontId="5" fillId="0" borderId="0"/>
  </cellStyleXfs>
  <cellXfs count="237">
    <xf numFmtId="0" fontId="0" fillId="0" borderId="0" xfId="0"/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left" vertical="center"/>
    </xf>
    <xf numFmtId="49" fontId="2" fillId="0" borderId="0" xfId="0" applyNumberFormat="1" applyFont="1" applyAlignment="1">
      <alignment vertical="center"/>
    </xf>
    <xf numFmtId="0" fontId="4" fillId="0" borderId="0" xfId="0" applyFont="1"/>
    <xf numFmtId="0" fontId="0" fillId="4" borderId="0" xfId="0" applyFill="1"/>
    <xf numFmtId="49" fontId="1" fillId="0" borderId="0" xfId="0" applyNumberFormat="1" applyFont="1" applyAlignment="1">
      <alignment horizontal="right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right" vertical="center"/>
    </xf>
    <xf numFmtId="0" fontId="6" fillId="4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2" fontId="6" fillId="4" borderId="4" xfId="0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8" fillId="6" borderId="9" xfId="0" applyFont="1" applyFill="1" applyBorder="1" applyAlignment="1">
      <alignment horizontal="center"/>
    </xf>
    <xf numFmtId="0" fontId="9" fillId="0" borderId="12" xfId="0" applyFont="1" applyBorder="1" applyAlignment="1">
      <alignment horizontal="center"/>
    </xf>
    <xf numFmtId="0" fontId="9" fillId="0" borderId="13" xfId="0" applyFont="1" applyBorder="1" applyAlignment="1">
      <alignment horizontal="center"/>
    </xf>
    <xf numFmtId="0" fontId="9" fillId="0" borderId="14" xfId="0" applyFont="1" applyBorder="1" applyAlignment="1">
      <alignment horizont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19" xfId="0" applyFont="1" applyBorder="1" applyAlignment="1">
      <alignment horizontal="center"/>
    </xf>
    <xf numFmtId="0" fontId="9" fillId="0" borderId="20" xfId="0" applyFont="1" applyBorder="1" applyAlignment="1">
      <alignment horizontal="center"/>
    </xf>
    <xf numFmtId="0" fontId="10" fillId="0" borderId="21" xfId="0" applyFont="1" applyBorder="1" applyAlignment="1">
      <alignment horizontal="center"/>
    </xf>
    <xf numFmtId="0" fontId="10" fillId="0" borderId="22" xfId="0" applyFont="1" applyBorder="1" applyAlignment="1">
      <alignment horizontal="center"/>
    </xf>
    <xf numFmtId="0" fontId="10" fillId="0" borderId="23" xfId="0" applyFont="1" applyBorder="1" applyAlignment="1">
      <alignment horizontal="center"/>
    </xf>
    <xf numFmtId="0" fontId="10" fillId="0" borderId="24" xfId="0" applyFont="1" applyBorder="1" applyAlignment="1">
      <alignment horizontal="center"/>
    </xf>
    <xf numFmtId="0" fontId="11" fillId="6" borderId="13" xfId="0" applyFont="1" applyFill="1" applyBorder="1" applyAlignment="1">
      <alignment horizontal="center"/>
    </xf>
    <xf numFmtId="0" fontId="11" fillId="6" borderId="14" xfId="0" applyFont="1" applyFill="1" applyBorder="1" applyAlignment="1">
      <alignment horizontal="center"/>
    </xf>
    <xf numFmtId="0" fontId="11" fillId="6" borderId="26" xfId="0" applyFont="1" applyFill="1" applyBorder="1" applyAlignment="1">
      <alignment horizontal="center"/>
    </xf>
    <xf numFmtId="0" fontId="11" fillId="6" borderId="27" xfId="0" applyFont="1" applyFill="1" applyBorder="1" applyAlignment="1">
      <alignment horizontal="center"/>
    </xf>
    <xf numFmtId="164" fontId="10" fillId="0" borderId="17" xfId="0" applyNumberFormat="1" applyFont="1" applyBorder="1" applyAlignment="1">
      <alignment horizontal="center"/>
    </xf>
    <xf numFmtId="164" fontId="10" fillId="0" borderId="18" xfId="0" applyNumberFormat="1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164" fontId="10" fillId="0" borderId="3" xfId="0" applyNumberFormat="1" applyFont="1" applyBorder="1" applyAlignment="1">
      <alignment horizontal="center"/>
    </xf>
    <xf numFmtId="164" fontId="10" fillId="0" borderId="29" xfId="0" applyNumberFormat="1" applyFont="1" applyBorder="1" applyAlignment="1">
      <alignment horizontal="center"/>
    </xf>
    <xf numFmtId="0" fontId="9" fillId="0" borderId="21" xfId="0" applyFont="1" applyBorder="1" applyAlignment="1">
      <alignment horizontal="center"/>
    </xf>
    <xf numFmtId="164" fontId="10" fillId="0" borderId="22" xfId="0" applyNumberFormat="1" applyFont="1" applyBorder="1" applyAlignment="1">
      <alignment horizontal="center"/>
    </xf>
    <xf numFmtId="164" fontId="10" fillId="0" borderId="23" xfId="0" applyNumberFormat="1" applyFont="1" applyBorder="1" applyAlignment="1">
      <alignment horizontal="center"/>
    </xf>
    <xf numFmtId="0" fontId="11" fillId="6" borderId="12" xfId="0" applyFont="1" applyFill="1" applyBorder="1" applyAlignment="1">
      <alignment horizontal="center"/>
    </xf>
    <xf numFmtId="0" fontId="11" fillId="6" borderId="31" xfId="0" applyFont="1" applyFill="1" applyBorder="1" applyAlignment="1">
      <alignment horizontal="center"/>
    </xf>
    <xf numFmtId="0" fontId="12" fillId="0" borderId="3" xfId="0" applyFont="1" applyBorder="1" applyAlignment="1" applyProtection="1">
      <alignment horizontal="center"/>
      <protection locked="0"/>
    </xf>
    <xf numFmtId="0" fontId="11" fillId="6" borderId="32" xfId="0" applyFont="1" applyFill="1" applyBorder="1" applyAlignment="1">
      <alignment horizontal="center"/>
    </xf>
    <xf numFmtId="0" fontId="11" fillId="6" borderId="0" xfId="0" applyFont="1" applyFill="1" applyAlignment="1">
      <alignment horizontal="center"/>
    </xf>
    <xf numFmtId="0" fontId="11" fillId="6" borderId="36" xfId="0" applyFont="1" applyFill="1" applyBorder="1" applyAlignment="1">
      <alignment horizontal="center"/>
    </xf>
    <xf numFmtId="0" fontId="11" fillId="6" borderId="37" xfId="0" applyFont="1" applyFill="1" applyBorder="1" applyAlignment="1">
      <alignment horizontal="center"/>
    </xf>
    <xf numFmtId="0" fontId="11" fillId="6" borderId="38" xfId="0" applyFont="1" applyFill="1" applyBorder="1" applyAlignment="1">
      <alignment horizontal="center"/>
    </xf>
    <xf numFmtId="0" fontId="12" fillId="0" borderId="3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12" fillId="7" borderId="3" xfId="0" applyFont="1" applyFill="1" applyBorder="1" applyAlignment="1" applyProtection="1">
      <alignment horizontal="center"/>
      <protection locked="0"/>
    </xf>
    <xf numFmtId="0" fontId="10" fillId="0" borderId="0" xfId="2" applyAlignment="1" applyProtection="1">
      <alignment horizontal="center" vertical="center"/>
      <protection hidden="1"/>
    </xf>
    <xf numFmtId="0" fontId="14" fillId="3" borderId="0" xfId="0" applyFont="1" applyFill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2" fontId="6" fillId="0" borderId="3" xfId="0" applyNumberFormat="1" applyFont="1" applyBorder="1" applyAlignment="1">
      <alignment horizontal="center" vertical="center"/>
    </xf>
    <xf numFmtId="10" fontId="6" fillId="0" borderId="3" xfId="1" applyNumberFormat="1" applyFont="1" applyBorder="1" applyAlignment="1">
      <alignment horizontal="center" vertical="center"/>
    </xf>
    <xf numFmtId="10" fontId="6" fillId="0" borderId="3" xfId="0" applyNumberFormat="1" applyFont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 wrapText="1"/>
    </xf>
    <xf numFmtId="2" fontId="0" fillId="0" borderId="0" xfId="0" applyNumberFormat="1"/>
    <xf numFmtId="0" fontId="0" fillId="0" borderId="0" xfId="0" applyAlignment="1">
      <alignment wrapText="1"/>
    </xf>
    <xf numFmtId="2" fontId="6" fillId="8" borderId="3" xfId="0" applyNumberFormat="1" applyFont="1" applyFill="1" applyBorder="1" applyAlignment="1">
      <alignment horizontal="center" vertical="center"/>
    </xf>
    <xf numFmtId="165" fontId="6" fillId="8" borderId="3" xfId="0" applyNumberFormat="1" applyFont="1" applyFill="1" applyBorder="1" applyAlignment="1">
      <alignment horizontal="center" vertical="center"/>
    </xf>
    <xf numFmtId="165" fontId="6" fillId="8" borderId="3" xfId="1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166" fontId="0" fillId="0" borderId="0" xfId="1" applyNumberFormat="1" applyFont="1"/>
    <xf numFmtId="10" fontId="0" fillId="0" borderId="0" xfId="1" applyNumberFormat="1" applyFont="1"/>
    <xf numFmtId="0" fontId="15" fillId="3" borderId="0" xfId="0" applyFont="1" applyFill="1" applyAlignment="1">
      <alignment horizontal="center" vertical="center"/>
    </xf>
    <xf numFmtId="0" fontId="6" fillId="0" borderId="3" xfId="0" applyFont="1" applyBorder="1" applyAlignment="1">
      <alignment horizontal="left" vertical="center"/>
    </xf>
    <xf numFmtId="167" fontId="6" fillId="8" borderId="3" xfId="0" applyNumberFormat="1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6" fillId="0" borderId="40" xfId="0" applyFont="1" applyBorder="1" applyAlignment="1">
      <alignment horizontal="center" vertical="center"/>
    </xf>
    <xf numFmtId="2" fontId="6" fillId="0" borderId="40" xfId="0" applyNumberFormat="1" applyFont="1" applyBorder="1" applyAlignment="1">
      <alignment horizontal="center" vertical="center"/>
    </xf>
    <xf numFmtId="0" fontId="6" fillId="0" borderId="40" xfId="0" applyFont="1" applyBorder="1" applyAlignment="1">
      <alignment horizontal="left" vertical="center"/>
    </xf>
    <xf numFmtId="0" fontId="6" fillId="0" borderId="17" xfId="0" applyFont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10" fontId="0" fillId="0" borderId="0" xfId="0" applyNumberFormat="1"/>
    <xf numFmtId="164" fontId="0" fillId="0" borderId="0" xfId="0" applyNumberFormat="1" applyAlignment="1">
      <alignment horizontal="center"/>
    </xf>
    <xf numFmtId="49" fontId="3" fillId="2" borderId="0" xfId="0" applyNumberFormat="1" applyFont="1" applyFill="1" applyAlignment="1">
      <alignment horizontal="center" vertical="center" wrapText="1"/>
    </xf>
    <xf numFmtId="168" fontId="0" fillId="0" borderId="0" xfId="0" applyNumberFormat="1" applyAlignment="1">
      <alignment horizontal="center"/>
    </xf>
    <xf numFmtId="44" fontId="0" fillId="0" borderId="0" xfId="3" applyFont="1"/>
    <xf numFmtId="0" fontId="19" fillId="9" borderId="47" xfId="0" applyFont="1" applyFill="1" applyBorder="1" applyAlignment="1">
      <alignment horizontal="left"/>
    </xf>
    <xf numFmtId="0" fontId="18" fillId="9" borderId="46" xfId="0" applyFont="1" applyFill="1" applyBorder="1" applyAlignment="1">
      <alignment horizontal="left"/>
    </xf>
    <xf numFmtId="0" fontId="19" fillId="9" borderId="49" xfId="0" applyFont="1" applyFill="1" applyBorder="1" applyAlignment="1">
      <alignment horizontal="left"/>
    </xf>
    <xf numFmtId="0" fontId="18" fillId="8" borderId="46" xfId="0" applyFont="1" applyFill="1" applyBorder="1" applyAlignment="1">
      <alignment horizontal="left"/>
    </xf>
    <xf numFmtId="44" fontId="0" fillId="8" borderId="0" xfId="3" applyFont="1" applyFill="1"/>
    <xf numFmtId="0" fontId="0" fillId="8" borderId="0" xfId="0" applyFill="1"/>
    <xf numFmtId="0" fontId="19" fillId="10" borderId="48" xfId="0" applyFont="1" applyFill="1" applyBorder="1" applyAlignment="1">
      <alignment horizontal="left"/>
    </xf>
    <xf numFmtId="44" fontId="0" fillId="0" borderId="0" xfId="0" applyNumberFormat="1"/>
    <xf numFmtId="0" fontId="20" fillId="11" borderId="3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12" borderId="3" xfId="0" applyFill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6" fillId="13" borderId="40" xfId="0" applyFont="1" applyFill="1" applyBorder="1" applyAlignment="1">
      <alignment horizontal="center" vertical="center"/>
    </xf>
    <xf numFmtId="0" fontId="6" fillId="14" borderId="40" xfId="0" applyFont="1" applyFill="1" applyBorder="1" applyAlignment="1">
      <alignment horizontal="center" vertical="center"/>
    </xf>
    <xf numFmtId="49" fontId="15" fillId="3" borderId="0" xfId="0" applyNumberFormat="1" applyFont="1" applyFill="1" applyAlignment="1">
      <alignment horizontal="center" vertical="center" wrapText="1"/>
    </xf>
    <xf numFmtId="49" fontId="2" fillId="3" borderId="0" xfId="0" applyNumberFormat="1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169" fontId="21" fillId="0" borderId="0" xfId="0" applyNumberFormat="1" applyFont="1"/>
    <xf numFmtId="0" fontId="22" fillId="0" borderId="0" xfId="0" applyFont="1" applyAlignment="1">
      <alignment horizontal="left" vertical="center"/>
    </xf>
    <xf numFmtId="0" fontId="25" fillId="0" borderId="3" xfId="0" applyFont="1" applyBorder="1" applyAlignment="1" applyProtection="1">
      <alignment horizontal="center"/>
      <protection locked="0"/>
    </xf>
    <xf numFmtId="0" fontId="25" fillId="7" borderId="3" xfId="0" applyFont="1" applyFill="1" applyBorder="1" applyAlignment="1" applyProtection="1">
      <alignment horizontal="center"/>
      <protection locked="0"/>
    </xf>
    <xf numFmtId="0" fontId="25" fillId="0" borderId="3" xfId="0" applyFont="1" applyBorder="1" applyAlignment="1">
      <alignment horizontal="center" vertical="center"/>
    </xf>
    <xf numFmtId="0" fontId="21" fillId="0" borderId="0" xfId="0" applyFont="1"/>
    <xf numFmtId="2" fontId="6" fillId="13" borderId="3" xfId="0" applyNumberFormat="1" applyFont="1" applyFill="1" applyBorder="1" applyAlignment="1">
      <alignment horizontal="center" vertical="center"/>
    </xf>
    <xf numFmtId="2" fontId="6" fillId="13" borderId="40" xfId="0" applyNumberFormat="1" applyFont="1" applyFill="1" applyBorder="1" applyAlignment="1">
      <alignment horizontal="center" vertical="center"/>
    </xf>
    <xf numFmtId="0" fontId="6" fillId="14" borderId="37" xfId="0" applyFont="1" applyFill="1" applyBorder="1" applyAlignment="1">
      <alignment horizontal="center" vertical="center"/>
    </xf>
    <xf numFmtId="2" fontId="6" fillId="13" borderId="17" xfId="0" applyNumberFormat="1" applyFont="1" applyFill="1" applyBorder="1" applyAlignment="1">
      <alignment horizontal="center" vertical="center"/>
    </xf>
    <xf numFmtId="2" fontId="6" fillId="14" borderId="17" xfId="0" applyNumberFormat="1" applyFont="1" applyFill="1" applyBorder="1" applyAlignment="1">
      <alignment horizontal="center" vertical="center"/>
    </xf>
    <xf numFmtId="2" fontId="6" fillId="14" borderId="3" xfId="0" applyNumberFormat="1" applyFont="1" applyFill="1" applyBorder="1" applyAlignment="1">
      <alignment horizontal="center" vertical="center"/>
    </xf>
    <xf numFmtId="0" fontId="26" fillId="15" borderId="0" xfId="0" applyFont="1" applyFill="1"/>
    <xf numFmtId="0" fontId="27" fillId="0" borderId="0" xfId="0" applyFont="1"/>
    <xf numFmtId="0" fontId="27" fillId="16" borderId="0" xfId="0" applyFont="1" applyFill="1" applyAlignment="1">
      <alignment horizontal="center"/>
    </xf>
    <xf numFmtId="43" fontId="0" fillId="0" borderId="0" xfId="4" applyFont="1"/>
    <xf numFmtId="10" fontId="5" fillId="0" borderId="0" xfId="1" applyNumberFormat="1"/>
    <xf numFmtId="165" fontId="0" fillId="0" borderId="0" xfId="4" applyNumberFormat="1" applyFont="1" applyAlignment="1">
      <alignment horizontal="center"/>
    </xf>
    <xf numFmtId="10" fontId="5" fillId="0" borderId="0" xfId="1" applyNumberFormat="1" applyAlignment="1">
      <alignment horizontal="center"/>
    </xf>
    <xf numFmtId="0" fontId="28" fillId="17" borderId="0" xfId="0" applyFont="1" applyFill="1"/>
    <xf numFmtId="0" fontId="29" fillId="0" borderId="0" xfId="0" applyFont="1" applyAlignment="1">
      <alignment horizontal="left"/>
    </xf>
    <xf numFmtId="170" fontId="0" fillId="0" borderId="0" xfId="0" applyNumberFormat="1" applyAlignment="1">
      <alignment horizontal="center"/>
    </xf>
    <xf numFmtId="0" fontId="6" fillId="13" borderId="37" xfId="0" applyFont="1" applyFill="1" applyBorder="1" applyAlignment="1">
      <alignment horizontal="center" vertical="center"/>
    </xf>
    <xf numFmtId="0" fontId="6" fillId="0" borderId="37" xfId="0" applyFont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23" fillId="0" borderId="3" xfId="0" applyFont="1" applyBorder="1" applyAlignment="1">
      <alignment horizontal="center" vertical="center"/>
    </xf>
    <xf numFmtId="2" fontId="23" fillId="0" borderId="3" xfId="0" applyNumberFormat="1" applyFont="1" applyBorder="1" applyAlignment="1">
      <alignment horizontal="center"/>
    </xf>
    <xf numFmtId="1" fontId="23" fillId="0" borderId="3" xfId="0" applyNumberFormat="1" applyFont="1" applyBorder="1" applyAlignment="1">
      <alignment horizontal="center"/>
    </xf>
    <xf numFmtId="2" fontId="23" fillId="0" borderId="3" xfId="0" applyNumberFormat="1" applyFont="1" applyBorder="1" applyAlignment="1">
      <alignment horizontal="center" vertical="center"/>
    </xf>
    <xf numFmtId="2" fontId="6" fillId="0" borderId="3" xfId="0" applyNumberFormat="1" applyFont="1" applyBorder="1" applyAlignment="1">
      <alignment horizontal="center"/>
    </xf>
    <xf numFmtId="1" fontId="6" fillId="0" borderId="3" xfId="0" applyNumberFormat="1" applyFont="1" applyBorder="1" applyAlignment="1">
      <alignment horizontal="center"/>
    </xf>
    <xf numFmtId="170" fontId="6" fillId="0" borderId="3" xfId="0" applyNumberFormat="1" applyFont="1" applyBorder="1" applyAlignment="1">
      <alignment horizontal="center" vertical="center"/>
    </xf>
    <xf numFmtId="167" fontId="6" fillId="0" borderId="3" xfId="0" applyNumberFormat="1" applyFont="1" applyBorder="1" applyAlignment="1">
      <alignment horizontal="center" vertical="center"/>
    </xf>
    <xf numFmtId="2" fontId="6" fillId="0" borderId="3" xfId="1" applyNumberFormat="1" applyFont="1" applyBorder="1" applyAlignment="1">
      <alignment horizontal="center" vertical="center"/>
    </xf>
    <xf numFmtId="170" fontId="6" fillId="0" borderId="40" xfId="0" applyNumberFormat="1" applyFont="1" applyBorder="1" applyAlignment="1">
      <alignment horizontal="center" vertical="center"/>
    </xf>
    <xf numFmtId="167" fontId="6" fillId="0" borderId="40" xfId="0" applyNumberFormat="1" applyFont="1" applyBorder="1" applyAlignment="1">
      <alignment horizontal="center" vertical="center"/>
    </xf>
    <xf numFmtId="2" fontId="6" fillId="0" borderId="40" xfId="1" applyNumberFormat="1" applyFont="1" applyBorder="1" applyAlignment="1">
      <alignment horizontal="center" vertical="center"/>
    </xf>
    <xf numFmtId="10" fontId="6" fillId="0" borderId="40" xfId="0" applyNumberFormat="1" applyFont="1" applyBorder="1" applyAlignment="1">
      <alignment horizontal="center" vertical="center"/>
    </xf>
    <xf numFmtId="9" fontId="5" fillId="0" borderId="0" xfId="1"/>
    <xf numFmtId="2" fontId="6" fillId="0" borderId="40" xfId="0" applyNumberFormat="1" applyFont="1" applyBorder="1" applyAlignment="1">
      <alignment horizontal="center"/>
    </xf>
    <xf numFmtId="1" fontId="6" fillId="0" borderId="40" xfId="0" applyNumberFormat="1" applyFont="1" applyBorder="1" applyAlignment="1">
      <alignment horizontal="center"/>
    </xf>
    <xf numFmtId="2" fontId="6" fillId="0" borderId="40" xfId="1" applyNumberFormat="1" applyFont="1" applyBorder="1" applyAlignment="1">
      <alignment horizontal="center"/>
    </xf>
    <xf numFmtId="2" fontId="0" fillId="0" borderId="0" xfId="0" applyNumberFormat="1" applyAlignment="1">
      <alignment horizontal="center" vertical="center"/>
    </xf>
    <xf numFmtId="2" fontId="6" fillId="0" borderId="17" xfId="0" applyNumberFormat="1" applyFont="1" applyBorder="1" applyAlignment="1">
      <alignment horizontal="center" vertical="center"/>
    </xf>
    <xf numFmtId="2" fontId="6" fillId="8" borderId="3" xfId="1" applyNumberFormat="1" applyFont="1" applyFill="1" applyBorder="1" applyAlignment="1">
      <alignment horizontal="center" vertical="center"/>
    </xf>
    <xf numFmtId="170" fontId="6" fillId="8" borderId="3" xfId="0" applyNumberFormat="1" applyFont="1" applyFill="1" applyBorder="1" applyAlignment="1">
      <alignment horizontal="center" vertical="center"/>
    </xf>
    <xf numFmtId="2" fontId="6" fillId="18" borderId="51" xfId="0" applyNumberFormat="1" applyFont="1" applyFill="1" applyBorder="1" applyAlignment="1">
      <alignment horizontal="center" vertical="center"/>
    </xf>
    <xf numFmtId="2" fontId="6" fillId="0" borderId="51" xfId="0" applyNumberFormat="1" applyFont="1" applyBorder="1" applyAlignment="1">
      <alignment horizontal="center" vertical="center"/>
    </xf>
    <xf numFmtId="2" fontId="6" fillId="19" borderId="52" xfId="0" applyNumberFormat="1" applyFont="1" applyFill="1" applyBorder="1" applyAlignment="1">
      <alignment horizontal="center" vertical="center"/>
    </xf>
    <xf numFmtId="165" fontId="6" fillId="0" borderId="3" xfId="0" applyNumberFormat="1" applyFont="1" applyBorder="1" applyAlignment="1">
      <alignment horizontal="center" vertical="center"/>
    </xf>
    <xf numFmtId="165" fontId="6" fillId="0" borderId="3" xfId="1" applyNumberFormat="1" applyFont="1" applyBorder="1" applyAlignment="1">
      <alignment horizontal="center" vertical="center"/>
    </xf>
    <xf numFmtId="165" fontId="6" fillId="0" borderId="40" xfId="0" applyNumberFormat="1" applyFont="1" applyBorder="1" applyAlignment="1">
      <alignment horizontal="center" vertical="center"/>
    </xf>
    <xf numFmtId="165" fontId="6" fillId="0" borderId="40" xfId="1" applyNumberFormat="1" applyFont="1" applyBorder="1" applyAlignment="1">
      <alignment horizontal="center" vertical="center"/>
    </xf>
    <xf numFmtId="10" fontId="6" fillId="0" borderId="40" xfId="1" applyNumberFormat="1" applyFont="1" applyBorder="1" applyAlignment="1">
      <alignment horizontal="center" vertical="center"/>
    </xf>
    <xf numFmtId="2" fontId="6" fillId="18" borderId="3" xfId="0" applyNumberFormat="1" applyFont="1" applyFill="1" applyBorder="1" applyAlignment="1">
      <alignment horizontal="center" vertical="center"/>
    </xf>
    <xf numFmtId="0" fontId="20" fillId="11" borderId="0" xfId="0" applyFont="1" applyFill="1" applyAlignment="1">
      <alignment horizontal="center"/>
    </xf>
    <xf numFmtId="0" fontId="11" fillId="6" borderId="30" xfId="0" applyFont="1" applyFill="1" applyBorder="1" applyAlignment="1">
      <alignment vertical="center" wrapText="1"/>
    </xf>
    <xf numFmtId="0" fontId="11" fillId="6" borderId="0" xfId="0" applyFont="1" applyFill="1" applyAlignment="1">
      <alignment vertical="center" wrapText="1"/>
    </xf>
    <xf numFmtId="0" fontId="9" fillId="0" borderId="3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2" fontId="21" fillId="0" borderId="3" xfId="0" applyNumberFormat="1" applyFont="1" applyBorder="1" applyAlignment="1">
      <alignment horizontal="center"/>
    </xf>
    <xf numFmtId="0" fontId="21" fillId="0" borderId="3" xfId="0" applyFont="1" applyBorder="1" applyAlignment="1">
      <alignment horizontal="center"/>
    </xf>
    <xf numFmtId="0" fontId="11" fillId="6" borderId="54" xfId="0" applyFont="1" applyFill="1" applyBorder="1" applyAlignment="1">
      <alignment horizontal="center"/>
    </xf>
    <xf numFmtId="0" fontId="12" fillId="7" borderId="3" xfId="0" applyFont="1" applyFill="1" applyBorder="1" applyAlignment="1" applyProtection="1">
      <alignment horizontal="center" vertical="center"/>
      <protection locked="0"/>
    </xf>
    <xf numFmtId="0" fontId="12" fillId="7" borderId="3" xfId="0" applyFont="1" applyFill="1" applyBorder="1" applyProtection="1">
      <protection locked="0"/>
    </xf>
    <xf numFmtId="0" fontId="25" fillId="7" borderId="3" xfId="0" applyFont="1" applyFill="1" applyBorder="1" applyAlignment="1" applyProtection="1">
      <alignment horizontal="center" vertical="center"/>
      <protection locked="0"/>
    </xf>
    <xf numFmtId="0" fontId="25" fillId="7" borderId="3" xfId="0" applyFont="1" applyFill="1" applyBorder="1" applyProtection="1">
      <protection locked="0"/>
    </xf>
    <xf numFmtId="0" fontId="0" fillId="7" borderId="3" xfId="0" applyFill="1" applyBorder="1" applyAlignment="1">
      <alignment horizontal="center"/>
    </xf>
    <xf numFmtId="0" fontId="0" fillId="7" borderId="3" xfId="0" applyFill="1" applyBorder="1"/>
    <xf numFmtId="0" fontId="23" fillId="7" borderId="3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2" fontId="23" fillId="7" borderId="3" xfId="0" applyNumberFormat="1" applyFont="1" applyFill="1" applyBorder="1" applyAlignment="1">
      <alignment horizontal="center"/>
    </xf>
    <xf numFmtId="2" fontId="6" fillId="7" borderId="3" xfId="0" applyNumberFormat="1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6" fillId="7" borderId="40" xfId="0" applyFont="1" applyFill="1" applyBorder="1" applyAlignment="1">
      <alignment horizontal="center" vertical="center"/>
    </xf>
    <xf numFmtId="2" fontId="6" fillId="7" borderId="40" xfId="0" applyNumberFormat="1" applyFont="1" applyFill="1" applyBorder="1" applyAlignment="1">
      <alignment horizontal="center" vertical="center"/>
    </xf>
    <xf numFmtId="2" fontId="6" fillId="7" borderId="3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 wrapText="1"/>
    </xf>
    <xf numFmtId="0" fontId="0" fillId="0" borderId="0" xfId="0"/>
    <xf numFmtId="49" fontId="3" fillId="2" borderId="1" xfId="0" applyNumberFormat="1" applyFont="1" applyFill="1" applyBorder="1" applyAlignment="1">
      <alignment horizontal="center" vertical="center" wrapText="1"/>
    </xf>
    <xf numFmtId="49" fontId="3" fillId="2" borderId="2" xfId="0" applyNumberFormat="1" applyFont="1" applyFill="1" applyBorder="1" applyAlignment="1">
      <alignment horizontal="center" vertical="center" wrapText="1"/>
    </xf>
    <xf numFmtId="0" fontId="0" fillId="0" borderId="2" xfId="0" applyBorder="1"/>
    <xf numFmtId="0" fontId="22" fillId="0" borderId="0" xfId="0" applyFont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2" fontId="6" fillId="4" borderId="4" xfId="0" applyNumberFormat="1" applyFont="1" applyFill="1" applyBorder="1" applyAlignment="1">
      <alignment horizontal="center" vertical="center"/>
    </xf>
    <xf numFmtId="0" fontId="0" fillId="0" borderId="4" xfId="0" applyBorder="1"/>
    <xf numFmtId="0" fontId="3" fillId="2" borderId="43" xfId="0" applyFont="1" applyFill="1" applyBorder="1" applyAlignment="1">
      <alignment horizontal="center" vertical="center"/>
    </xf>
    <xf numFmtId="0" fontId="0" fillId="0" borderId="1" xfId="0" applyBorder="1"/>
    <xf numFmtId="0" fontId="0" fillId="0" borderId="6" xfId="0" applyBorder="1"/>
    <xf numFmtId="1" fontId="6" fillId="4" borderId="4" xfId="0" applyNumberFormat="1" applyFont="1" applyFill="1" applyBorder="1" applyAlignment="1">
      <alignment horizontal="center" vertical="center"/>
    </xf>
    <xf numFmtId="168" fontId="0" fillId="7" borderId="0" xfId="0" applyNumberFormat="1" applyFill="1" applyAlignment="1">
      <alignment horizontal="center" vertical="center"/>
    </xf>
    <xf numFmtId="0" fontId="0" fillId="7" borderId="0" xfId="0" applyFill="1"/>
    <xf numFmtId="0" fontId="6" fillId="4" borderId="4" xfId="0" applyFont="1" applyFill="1" applyBorder="1" applyAlignment="1">
      <alignment horizontal="center" vertical="center"/>
    </xf>
    <xf numFmtId="171" fontId="6" fillId="4" borderId="4" xfId="0" applyNumberFormat="1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/>
    <xf numFmtId="0" fontId="3" fillId="2" borderId="43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2" fontId="0" fillId="0" borderId="21" xfId="0" applyNumberFormat="1" applyBorder="1" applyAlignment="1" applyProtection="1">
      <alignment horizontal="center"/>
      <protection locked="0"/>
    </xf>
    <xf numFmtId="0" fontId="0" fillId="0" borderId="24" xfId="0" applyBorder="1" applyProtection="1">
      <protection locked="0"/>
    </xf>
    <xf numFmtId="2" fontId="0" fillId="0" borderId="21" xfId="0" applyNumberFormat="1" applyBorder="1" applyAlignment="1" applyProtection="1">
      <alignment horizontal="center"/>
      <protection hidden="1"/>
    </xf>
    <xf numFmtId="0" fontId="0" fillId="0" borderId="24" xfId="0" applyBorder="1" applyProtection="1">
      <protection hidden="1"/>
    </xf>
    <xf numFmtId="0" fontId="13" fillId="6" borderId="45" xfId="0" applyFont="1" applyFill="1" applyBorder="1" applyAlignment="1">
      <alignment horizontal="center"/>
    </xf>
    <xf numFmtId="0" fontId="0" fillId="0" borderId="34" xfId="0" applyBorder="1"/>
    <xf numFmtId="0" fontId="11" fillId="6" borderId="14" xfId="0" applyFont="1" applyFill="1" applyBorder="1" applyAlignment="1">
      <alignment horizontal="center" wrapText="1"/>
    </xf>
    <xf numFmtId="0" fontId="11" fillId="6" borderId="38" xfId="0" applyFont="1" applyFill="1" applyBorder="1" applyAlignment="1">
      <alignment horizontal="center" wrapText="1"/>
    </xf>
    <xf numFmtId="0" fontId="13" fillId="6" borderId="41" xfId="0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35" xfId="0" applyBorder="1"/>
    <xf numFmtId="2" fontId="0" fillId="0" borderId="21" xfId="1" applyNumberFormat="1" applyFont="1" applyBorder="1" applyAlignment="1" applyProtection="1">
      <alignment horizontal="center"/>
      <protection hidden="1"/>
    </xf>
    <xf numFmtId="10" fontId="0" fillId="0" borderId="21" xfId="1" applyNumberFormat="1" applyFont="1" applyBorder="1" applyAlignment="1" applyProtection="1">
      <alignment horizontal="center"/>
      <protection hidden="1"/>
    </xf>
    <xf numFmtId="0" fontId="13" fillId="6" borderId="53" xfId="0" applyFont="1" applyFill="1" applyBorder="1" applyAlignment="1">
      <alignment horizontal="center"/>
    </xf>
    <xf numFmtId="0" fontId="0" fillId="0" borderId="50" xfId="0" applyBorder="1"/>
    <xf numFmtId="2" fontId="0" fillId="7" borderId="21" xfId="0" applyNumberFormat="1" applyFill="1" applyBorder="1" applyAlignment="1" applyProtection="1">
      <alignment horizontal="center"/>
      <protection locked="0"/>
    </xf>
    <xf numFmtId="0" fontId="0" fillId="7" borderId="24" xfId="0" applyFill="1" applyBorder="1" applyProtection="1">
      <protection locked="0"/>
    </xf>
    <xf numFmtId="0" fontId="8" fillId="6" borderId="41" xfId="0" applyFont="1" applyFill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9" fillId="0" borderId="11" xfId="0" applyFont="1" applyBorder="1" applyAlignment="1">
      <alignment horizontal="center" vertical="center" wrapText="1"/>
    </xf>
    <xf numFmtId="0" fontId="0" fillId="0" borderId="30" xfId="0" applyBorder="1"/>
    <xf numFmtId="0" fontId="8" fillId="6" borderId="10" xfId="0" applyFont="1" applyFill="1" applyBorder="1" applyAlignment="1">
      <alignment horizontal="center"/>
    </xf>
    <xf numFmtId="0" fontId="0" fillId="0" borderId="42" xfId="0" applyBorder="1"/>
    <xf numFmtId="0" fontId="11" fillId="6" borderId="25" xfId="0" applyFont="1" applyFill="1" applyBorder="1" applyAlignment="1">
      <alignment horizontal="center" vertical="center" wrapText="1"/>
    </xf>
    <xf numFmtId="0" fontId="0" fillId="0" borderId="16" xfId="0" applyBorder="1"/>
    <xf numFmtId="0" fontId="8" fillId="6" borderId="8" xfId="0" applyFont="1" applyFill="1" applyBorder="1" applyAlignment="1">
      <alignment horizontal="center"/>
    </xf>
    <xf numFmtId="0" fontId="8" fillId="6" borderId="33" xfId="0" applyFont="1" applyFill="1" applyBorder="1" applyAlignment="1">
      <alignment horizontal="center"/>
    </xf>
    <xf numFmtId="0" fontId="8" fillId="6" borderId="0" xfId="0" applyFont="1" applyFill="1" applyAlignment="1">
      <alignment horizontal="center"/>
    </xf>
    <xf numFmtId="169" fontId="7" fillId="3" borderId="44" xfId="0" applyNumberFormat="1" applyFont="1" applyFill="1" applyBorder="1" applyAlignment="1">
      <alignment horizontal="center" vertical="center"/>
    </xf>
    <xf numFmtId="0" fontId="0" fillId="0" borderId="39" xfId="0" applyBorder="1"/>
    <xf numFmtId="49" fontId="3" fillId="2" borderId="1" xfId="0" applyNumberFormat="1" applyFont="1" applyFill="1" applyBorder="1" applyAlignment="1">
      <alignment horizontal="center" vertical="center"/>
    </xf>
    <xf numFmtId="10" fontId="7" fillId="3" borderId="44" xfId="1" applyNumberFormat="1" applyFont="1" applyFill="1" applyBorder="1" applyAlignment="1">
      <alignment horizontal="center" vertical="center"/>
    </xf>
    <xf numFmtId="49" fontId="3" fillId="2" borderId="2" xfId="0" applyNumberFormat="1" applyFont="1" applyFill="1" applyBorder="1" applyAlignment="1">
      <alignment horizontal="center" vertical="center"/>
    </xf>
    <xf numFmtId="168" fontId="0" fillId="0" borderId="0" xfId="0" applyNumberFormat="1" applyAlignment="1">
      <alignment horizontal="center" vertical="center"/>
    </xf>
  </cellXfs>
  <cellStyles count="5">
    <cellStyle name="Moeda" xfId="3" builtinId="4"/>
    <cellStyle name="Normal" xfId="0" builtinId="0"/>
    <cellStyle name="Normal 5" xfId="2" xr:uid="{00000000-0005-0000-0000-000002000000}"/>
    <cellStyle name="Porcentagem" xfId="1" builtinId="5"/>
    <cellStyle name="Vírgula" xfId="4" builtinId="3"/>
  </cellStyles>
  <dxfs count="27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  <name val="Arial"/>
        <family val="2"/>
      </font>
      <numFmt numFmtId="0" formatCode="General"/>
      <fill>
        <patternFill>
          <fgColor rgb="FF000000"/>
          <bgColor rgb="FFFFFFFF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rgb="FF000000"/>
          <bgColor rgb="FFFFFFFF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rgb="FF000000"/>
          <bgColor rgb="FFFFFFFF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rgb="FF000000"/>
          <bgColor rgb="FFFFFFFF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rgb="FF000000"/>
          <bgColor rgb="FFFFFFFF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rgb="FF000000"/>
          <bgColor rgb="FFFFFFFF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rgb="FF000000"/>
          <bgColor rgb="FFFFFFFF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 patternType="none"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 patternType="none"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 patternType="none">
          <fgColor indexed="64"/>
          <bgColor auto="1"/>
        </patternFill>
      </fill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 patternType="none"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 patternType="none"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14" formatCode="0.00%"/>
      <fill>
        <patternFill patternType="none"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 patternType="none"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165" formatCode="0.000"/>
      <fill>
        <patternFill patternType="none"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67" formatCode="0.0000"/>
      <fill>
        <patternFill patternType="none"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 patternType="none"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 patternType="none"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 patternType="none"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 patternType="none"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 patternType="none"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 patternType="none"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 patternType="none"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 patternType="none"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 patternType="none"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 patternType="none"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fill>
        <patternFill>
          <fgColor rgb="FF000000"/>
          <bgColor rgb="FFFFFFFF"/>
        </patternFill>
      </fill>
      <alignment horizontal="center" vertical="center"/>
    </dxf>
    <dxf>
      <font>
        <b/>
        <strike val="0"/>
        <condense val="0"/>
        <extend val="0"/>
        <outline val="0"/>
        <shadow val="0"/>
        <vertAlign val="baseline"/>
        <sz val="8"/>
        <color auto="1"/>
        <name val="Arial"/>
        <family val="2"/>
        <charset val="1"/>
      </font>
      <fill>
        <patternFill patternType="solid">
          <fgColor rgb="FF003300"/>
          <bgColor rgb="FF000000"/>
        </patternFill>
      </fill>
      <alignment horizontal="center" vertical="center"/>
    </dxf>
    <dxf>
      <font>
        <color auto="1"/>
        <name val="Arial"/>
        <family val="2"/>
      </font>
      <numFmt numFmtId="2" formatCode="0.00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indexed="65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 patternType="solid">
          <fgColor indexed="64"/>
          <bgColor rgb="FFFFFF0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14" formatCode="0.00%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 patternType="solid">
          <fgColor indexed="64"/>
          <bgColor rgb="FFFFFF0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165" formatCode="0.000"/>
      <fill>
        <patternFill patternType="solid">
          <fgColor indexed="64"/>
          <bgColor rgb="FFFFFF0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67" formatCode="0.0000"/>
      <fill>
        <patternFill patternType="solid">
          <fgColor indexed="64"/>
          <bgColor rgb="FFFFFF0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 patternType="solid">
          <fgColor indexed="64"/>
          <bgColor rgb="FFFFFF0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 patternType="solid">
          <fgColor indexed="64"/>
          <bgColor rgb="FFFFFF0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fill>
        <patternFill>
          <fgColor rgb="FF000000"/>
          <bgColor rgb="FFFFFFFF"/>
        </patternFill>
      </fill>
      <alignment horizontal="center" vertical="center"/>
    </dxf>
    <dxf>
      <font>
        <b/>
        <strike val="0"/>
        <condense val="0"/>
        <extend val="0"/>
        <outline val="0"/>
        <shadow val="0"/>
        <vertAlign val="baseline"/>
        <sz val="8"/>
        <color auto="1"/>
        <name val="Arial"/>
        <family val="2"/>
        <charset val="1"/>
      </font>
      <fill>
        <patternFill patternType="solid">
          <fgColor rgb="FF003300"/>
          <bgColor rgb="FF000000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" formatCode="0"/>
      <fill>
        <patternFill>
          <fgColor indexed="64"/>
          <bgColor auto="1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" formatCode="0"/>
      <fill>
        <patternFill>
          <fgColor indexed="64"/>
          <bgColor auto="1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0" formatCode="General"/>
      <fill>
        <patternFill patternType="solid">
          <fgColor indexed="64"/>
          <bgColor theme="9" tint="0.59999389629810485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0" formatCode="General"/>
      <fill>
        <patternFill patternType="solid">
          <fgColor indexed="64"/>
          <bgColor theme="9" tint="0.59999389629810485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9" tint="0.59999389629810485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auto="1"/>
        </patternFill>
      </fill>
    </dxf>
    <dxf>
      <alignment horizontal="center" vertical="center" wrapText="1"/>
    </dxf>
    <dxf>
      <font>
        <color auto="1"/>
        <name val="Arial"/>
        <family val="2"/>
      </font>
      <numFmt numFmtId="0" formatCode="General"/>
      <fill>
        <patternFill>
          <fgColor rgb="FF000000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rgb="FF000000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rgb="FF000000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rgb="FF000000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rgb="FF000000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rgb="FF000000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rgb="FF000000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14" formatCode="0.00%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165" formatCode="0.0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165" formatCode="0.0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67" formatCode="0.00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fill>
        <patternFill>
          <fgColor rgb="FF000000"/>
          <bgColor auto="1"/>
        </patternFill>
      </fill>
      <alignment horizontal="center" vertical="center"/>
    </dxf>
    <dxf>
      <font>
        <b/>
        <strike val="0"/>
        <condense val="0"/>
        <extend val="0"/>
        <outline val="0"/>
        <shadow val="0"/>
        <vertAlign val="baseline"/>
        <sz val="8"/>
        <color auto="1"/>
        <name val="Arial"/>
        <family val="2"/>
        <charset val="1"/>
      </font>
      <fill>
        <patternFill patternType="solid">
          <fgColor rgb="FF003300"/>
          <bgColor rgb="FF000000"/>
        </patternFill>
      </fill>
      <alignment horizontal="center" vertical="center"/>
    </dxf>
    <dxf>
      <font>
        <color auto="1"/>
        <name val="Arial"/>
        <family val="2"/>
      </font>
      <numFmt numFmtId="2" formatCode="0.00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indexed="65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14" formatCode="0.00%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67" formatCode="0.00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70" formatCode="0.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fill>
        <patternFill>
          <fgColor rgb="FF000000"/>
          <bgColor rgb="FFFFFFFF"/>
        </patternFill>
      </fill>
      <alignment horizontal="center" vertical="center"/>
    </dxf>
    <dxf>
      <font>
        <b/>
        <strike val="0"/>
        <condense val="0"/>
        <extend val="0"/>
        <outline val="0"/>
        <shadow val="0"/>
        <vertAlign val="baseline"/>
        <sz val="8"/>
        <color auto="1"/>
        <name val="Arial"/>
        <family val="2"/>
        <charset val="1"/>
      </font>
      <fill>
        <patternFill patternType="solid">
          <fgColor rgb="FF003300"/>
          <bgColor rgb="FF000000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 patternType="solid">
          <fgColor indexed="64"/>
          <bgColor theme="9" tint="0.59999389629810485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9" tint="0.59999389629810485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" formatCode="0"/>
      <fill>
        <patternFill>
          <fgColor indexed="64"/>
          <bgColor auto="1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" formatCode="0"/>
      <fill>
        <patternFill>
          <fgColor indexed="64"/>
          <bgColor auto="1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0" formatCode="General"/>
      <fill>
        <patternFill patternType="solid">
          <fgColor indexed="64"/>
          <bgColor theme="9" tint="0.59999389629810485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0" formatCode="General"/>
      <fill>
        <patternFill patternType="solid">
          <fgColor indexed="64"/>
          <bgColor theme="9" tint="0.59999389629810485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9" tint="0.59999389629810485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auto="1"/>
        </patternFill>
      </fill>
    </dxf>
    <dxf>
      <alignment horizontal="center" vertical="center" wrapText="1"/>
    </dxf>
    <dxf>
      <font>
        <color auto="1"/>
        <name val="Arial"/>
        <family val="2"/>
      </font>
      <numFmt numFmtId="0" formatCode="General"/>
      <fill>
        <patternFill>
          <fgColor rgb="FF000000"/>
          <bgColor rgb="FFFFFFFF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rgb="FF000000"/>
          <bgColor rgb="FFFFFFFF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rgb="FF000000"/>
          <bgColor rgb="FFFFFFFF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rgb="FF000000"/>
          <bgColor rgb="FFFFFFFF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rgb="FF000000"/>
          <bgColor rgb="FFFFFFFF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rgb="FF000000"/>
          <bgColor rgb="FFFFFFFF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rgb="FF000000"/>
          <bgColor rgb="FFFFFFFF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rgb="FF000000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name val="Arial"/>
        <family val="2"/>
      </font>
      <numFmt numFmtId="0" formatCode="General"/>
      <fill>
        <patternFill>
          <fgColor rgb="FF000000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name val="Arial"/>
        <family val="2"/>
      </font>
      <numFmt numFmtId="14" formatCode="0.00%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165" formatCode="0.000"/>
      <fill>
        <patternFill patternType="solid">
          <fgColor indexed="64"/>
          <bgColor rgb="FFFFFF0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165" formatCode="0.000"/>
      <fill>
        <patternFill patternType="solid">
          <fgColor indexed="64"/>
          <bgColor rgb="FFFFFF0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67" formatCode="0.0000"/>
      <fill>
        <patternFill patternType="solid">
          <fgColor indexed="64"/>
          <bgColor rgb="FFFFFF0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 patternType="solid">
          <fgColor indexed="64"/>
          <bgColor rgb="FFFFFF0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 patternType="solid">
          <fgColor indexed="64"/>
          <bgColor rgb="FFFFFF0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name val="Arial"/>
        <family val="2"/>
      </font>
      <fill>
        <patternFill>
          <fgColor rgb="FF000000"/>
          <bgColor rgb="FFFFFFFF"/>
        </patternFill>
      </fill>
      <alignment horizontal="center" vertical="center"/>
    </dxf>
    <dxf>
      <font>
        <b/>
        <strike val="0"/>
        <condense val="0"/>
        <extend val="0"/>
        <outline val="0"/>
        <shadow val="0"/>
        <vertAlign val="baseline"/>
        <sz val="8"/>
        <color auto="1"/>
        <name val="Arial"/>
        <family val="2"/>
        <charset val="1"/>
      </font>
      <fill>
        <patternFill patternType="solid">
          <fgColor rgb="FF003300"/>
          <bgColor rgb="FF000000"/>
        </patternFill>
      </fill>
      <alignment horizontal="center" vertical="center"/>
    </dxf>
    <dxf>
      <numFmt numFmtId="0" formatCode="General"/>
    </dxf>
    <dxf>
      <numFmt numFmtId="0" formatCode="General"/>
    </dxf>
    <dxf>
      <numFmt numFmtId="0" formatCode="General"/>
    </dxf>
    <dxf>
      <border outline="0">
        <left style="thin">
          <color indexed="64"/>
        </left>
      </border>
    </dxf>
    <dxf>
      <fill>
        <patternFill patternType="none">
          <bgColor auto="1"/>
        </patternFill>
      </fill>
      <border outline="0">
        <left style="thin">
          <color indexed="64"/>
        </left>
      </border>
    </dxf>
    <dxf>
      <fill>
        <patternFill patternType="none"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numFmt numFmtId="0" formatCode="General"/>
      <fill>
        <patternFill patternType="none">
          <bgColor auto="1"/>
        </patternFill>
      </fill>
      <border>
        <left style="thin">
          <color indexed="64"/>
        </left>
        <right style="thin">
          <color indexed="64"/>
        </right>
      </border>
    </dxf>
    <dxf>
      <numFmt numFmtId="2" formatCode="0.00"/>
      <fill>
        <patternFill patternType="none">
          <bgColor auto="1"/>
        </patternFill>
      </fill>
      <border>
        <left style="thin">
          <color indexed="64"/>
        </left>
        <right style="thin">
          <color indexed="64"/>
        </right>
      </border>
    </dxf>
    <dxf>
      <numFmt numFmtId="2" formatCode="0.00"/>
      <fill>
        <patternFill patternType="none">
          <bgColor auto="1"/>
        </patternFill>
      </fill>
      <border>
        <left style="thin">
          <color indexed="64"/>
        </left>
        <right style="thin">
          <color indexed="64"/>
        </right>
      </border>
    </dxf>
    <dxf>
      <numFmt numFmtId="14" formatCode="0.00%"/>
      <fill>
        <patternFill patternType="none"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numFmt numFmtId="2" formatCode="0.00"/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</border>
    </dxf>
    <dxf>
      <numFmt numFmtId="165" formatCode="0.000"/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</border>
    </dxf>
    <dxf>
      <numFmt numFmtId="167" formatCode="0.0000"/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</border>
    </dxf>
    <dxf>
      <numFmt numFmtId="170" formatCode="0.0"/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</border>
    </dxf>
    <dxf>
      <numFmt numFmtId="2" formatCode="0.00"/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</border>
    </dxf>
    <dxf>
      <fill>
        <patternFill patternType="none"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numFmt numFmtId="2" formatCode="0.00"/>
      <fill>
        <patternFill patternType="none">
          <bgColor auto="1"/>
        </patternFill>
      </fill>
      <border>
        <left style="thin">
          <color indexed="64"/>
        </left>
        <right style="thin">
          <color indexed="64"/>
        </right>
      </border>
    </dxf>
    <dxf>
      <numFmt numFmtId="2" formatCode="0.00"/>
      <fill>
        <patternFill patternType="none">
          <bgColor auto="1"/>
        </patternFill>
      </fill>
      <border>
        <left style="thin">
          <color indexed="64"/>
        </left>
        <right style="thin">
          <color indexed="64"/>
        </right>
      </border>
    </dxf>
    <dxf>
      <numFmt numFmtId="2" formatCode="0.00"/>
      <fill>
        <patternFill patternType="none">
          <bgColor auto="1"/>
        </patternFill>
      </fill>
      <border>
        <left style="thin">
          <color indexed="64"/>
        </left>
        <right style="thin">
          <color indexed="64"/>
        </right>
      </border>
    </dxf>
    <dxf>
      <fill>
        <patternFill patternType="none"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numFmt numFmtId="0" formatCode="General"/>
      <fill>
        <patternFill patternType="none">
          <bgColor auto="1"/>
        </patternFill>
      </fill>
      <border>
        <left style="thin">
          <color indexed="64"/>
        </left>
        <right style="thin">
          <color indexed="64"/>
        </right>
      </border>
    </dxf>
    <dxf>
      <fill>
        <patternFill patternType="none">
          <bgColor auto="1"/>
        </patternFill>
      </fill>
      <border outline="0">
        <right style="thin">
          <color indexed="64"/>
        </right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>
          <fgColor indexed="64"/>
          <bgColor theme="9" tint="0.5999938962981048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>
          <fgColor indexed="64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>
          <fgColor indexed="64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>
          <fgColor indexed="64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>
          <fgColor indexed="64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medium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9" tint="0.59999389629810485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59999389629810485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auto="1"/>
        </patternFill>
      </fill>
    </dxf>
    <dxf>
      <alignment horizontal="center" vertical="bottom"/>
    </dxf>
    <dxf>
      <numFmt numFmtId="14" formatCode="0.00%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Aptos Narrow"/>
        <family val="2"/>
        <charset val="1"/>
      </font>
      <numFmt numFmtId="166" formatCode="0.0%"/>
    </dxf>
    <dxf>
      <alignment horizontal="center" vertical="bottom"/>
    </dxf>
    <dxf>
      <fill>
        <patternFill>
          <fgColor indexed="64"/>
          <bgColor auto="1"/>
        </patternFill>
      </fill>
      <alignment horizontal="center" vertical="bottom"/>
    </dxf>
    <dxf>
      <fill>
        <patternFill>
          <fgColor indexed="64"/>
          <bgColor auto="1"/>
        </patternFill>
      </fill>
      <alignment horizontal="center" vertical="bottom"/>
    </dxf>
    <dxf>
      <fill>
        <patternFill>
          <fgColor indexed="64"/>
          <bgColor auto="1"/>
        </patternFill>
      </fill>
      <alignment horizontal="center" vertical="center"/>
      <protection locked="1" hidden="1"/>
    </dxf>
    <dxf>
      <numFmt numFmtId="164" formatCode="#,##0.0000"/>
      <fill>
        <patternFill>
          <fgColor indexed="64"/>
          <bgColor auto="1"/>
        </patternFill>
      </fill>
      <alignment horizontal="center" vertical="bottom"/>
    </dxf>
    <dxf>
      <fill>
        <patternFill>
          <fgColor indexed="64"/>
          <bgColor auto="1"/>
        </patternFill>
      </fill>
      <alignment horizontal="center"/>
    </dxf>
    <dxf>
      <fill>
        <patternFill>
          <fgColor indexed="64"/>
          <bgColor auto="1"/>
        </patternFill>
      </fill>
      <alignment horizontal="center" vertical="bottom"/>
    </dxf>
    <dxf>
      <fill>
        <patternFill>
          <fgColor indexed="64"/>
          <bgColor auto="1"/>
        </patternFill>
      </fill>
      <alignment horizontal="center" vertical="bottom"/>
    </dxf>
    <dxf>
      <fill>
        <patternFill>
          <fgColor indexed="64"/>
          <bgColor auto="1"/>
        </patternFill>
      </fill>
      <alignment horizontal="center" vertical="bottom"/>
    </dxf>
    <dxf>
      <fill>
        <patternFill>
          <fgColor indexed="64"/>
          <bgColor auto="1"/>
        </patternFill>
      </fill>
      <alignment horizontal="center" vertical="center"/>
      <protection locked="1" hidden="1"/>
    </dxf>
    <dxf>
      <fill>
        <patternFill>
          <fgColor indexed="64"/>
          <bgColor auto="1"/>
        </patternFill>
      </fill>
      <alignment horizont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 patternType="solid">
          <fgColor indexed="64"/>
          <bgColor theme="9" tint="0.59999389629810485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9" tint="0.59999389629810485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" formatCode="0"/>
      <fill>
        <patternFill>
          <fgColor indexed="64"/>
          <bgColor auto="1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" formatCode="0"/>
      <fill>
        <patternFill>
          <fgColor indexed="64"/>
          <bgColor auto="1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0" formatCode="General"/>
      <fill>
        <patternFill patternType="solid">
          <fgColor indexed="64"/>
          <bgColor theme="9" tint="0.59999389629810485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0" formatCode="General"/>
      <fill>
        <patternFill patternType="solid">
          <fgColor indexed="64"/>
          <bgColor theme="9" tint="0.59999389629810485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9" tint="0.59999389629810485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auto="1"/>
        </patternFill>
      </fill>
    </dxf>
    <dxf>
      <alignment horizontal="center" vertical="center" wrapText="1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6B1E1"/>
      <rgbColor rgb="FF99CC00"/>
      <rgbColor rgb="FFFFCC00"/>
      <rgbColor rgb="FFFF9900"/>
      <rgbColor rgb="FFFF6600"/>
      <rgbColor rgb="FF467886"/>
      <rgbColor rgb="FF969696"/>
      <rgbColor rgb="FF003366"/>
      <rgbColor rgb="FF4E95D9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ABOS" displayName="CABOS" ref="A1:I26" totalsRowShown="0" headerRowDxfId="256">
  <autoFilter ref="A1:I26" xr:uid="{00000000-0009-0000-0100-000001000000}"/>
  <tableColumns count="9">
    <tableColumn id="1" xr3:uid="{00000000-0010-0000-0000-000001000000}" name="CONDUTORES" dataDxfId="255" dataCellStyle="Normal 5"/>
    <tableColumn id="2" xr3:uid="{00000000-0010-0000-0000-000002000000}" name="(A)" dataDxfId="254"/>
    <tableColumn id="3" xr3:uid="{00000000-0010-0000-0000-000003000000}" name="Resistência" dataDxfId="253"/>
    <tableColumn id="4" xr3:uid="{00000000-0010-0000-0000-000004000000}" name="Reatância" dataDxfId="252"/>
    <tableColumn id="5" xr3:uid="{00000000-0010-0000-0000-000005000000}" name="α" dataDxfId="251"/>
    <tableColumn id="6" xr3:uid="{00000000-0010-0000-0000-000006000000}" name="DIVISOR_R" dataDxfId="250"/>
    <tableColumn id="7" xr3:uid="{00000000-0010-0000-0000-000007000000}" name="TEMP_LIM" dataDxfId="249" dataCellStyle="Normal 5"/>
    <tableColumn id="8" xr3:uid="{00000000-0010-0000-0000-000008000000}" name="DELTA_TEMP_30" dataDxfId="248"/>
    <tableColumn id="9" xr3:uid="{00000000-0010-0000-0000-000009000000}" name="K_TERM_30" dataDxfId="24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RAFOS_Z" displayName="TRAFOS_Z" ref="M3:N10" totalsRowShown="0">
  <autoFilter ref="M3:N10" xr:uid="{00000000-0009-0000-0100-000002000000}"/>
  <tableColumns count="2">
    <tableColumn id="1" xr3:uid="{00000000-0010-0000-0100-000001000000}" name="TRAFO" dataDxfId="246"/>
    <tableColumn id="2" xr3:uid="{00000000-0010-0000-0100-000002000000}" name="Z%" dataDxfId="245" dataCellStyle="Porcentage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aDisjuntores" displayName="TabelaDisjuntores" ref="P1:Q21" totalsRowShown="0">
  <autoFilter ref="P1:Q21" xr:uid="{00000000-0009-0000-0100-000003000000}"/>
  <tableColumns count="2">
    <tableColumn id="1" xr3:uid="{00000000-0010-0000-0200-000001000000}" name="I_MIN"/>
    <tableColumn id="2" xr3:uid="{00000000-0010-0000-0200-000002000000}" name="IN_PADRA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elaParametros" displayName="TabelaParametros" ref="S1:U7" totalsRowShown="0">
  <autoFilter ref="S1:U7" xr:uid="{00000000-0009-0000-0100-000004000000}"/>
  <tableColumns count="3">
    <tableColumn id="1" xr3:uid="{00000000-0010-0000-0300-000001000000}" name="PARAMETRO"/>
    <tableColumn id="2" xr3:uid="{00000000-0010-0000-0300-000002000000}" name="VALOR" dataDxfId="244"/>
    <tableColumn id="3" xr3:uid="{00000000-0010-0000-0300-000003000000}" name="UNIDAD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elaCondutoresMeta" displayName="TabelaCondutoresMeta" ref="W1:Y26" totalsRowShown="0">
  <autoFilter ref="W1:Y26" xr:uid="{00000000-0009-0000-0100-000005000000}"/>
  <tableColumns count="3">
    <tableColumn id="1" xr3:uid="{00000000-0010-0000-0400-000001000000}" name="CONDUTOR"/>
    <tableColumn id="2" xr3:uid="{00000000-0010-0000-0400-000002000000}" name="MATERIAL">
      <calculatedColumnFormula>IF(ISNUMBER(FIND(" Cu",W2)),"CU",IF(ISNUMBER(FIND(" Al",W2)),"AL",IF(ISNUMBER(FIND(" AA",W2)),"AA","OUTRO")))</calculatedColumnFormula>
    </tableColumn>
    <tableColumn id="3" xr3:uid="{00000000-0010-0000-0400-000003000000}" name="COD_CONDUTOR">
      <calculatedColumnFormula>UPPER(SUBSTITUTE(SUBSTITUTE(SUBSTITUTE(SUBSTITUTE(W2," - ","_")," ","_"),"-","_"),".",""))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ela13" displayName="Tabela13" ref="C2:E63" totalsRowShown="0" headerRowDxfId="243" dataDxfId="242">
  <autoFilter ref="C2:E63" xr:uid="{00000000-0009-0000-0100-000006000000}"/>
  <sortState xmlns:xlrd2="http://schemas.microsoft.com/office/spreadsheetml/2017/richdata2" ref="C3:E56">
    <sortCondition ref="C2:C56"/>
  </sortState>
  <tableColumns count="3">
    <tableColumn id="1" xr3:uid="{00000000-0010-0000-0500-000001000000}" name="PONTO" dataDxfId="241"/>
    <tableColumn id="2" xr3:uid="{00000000-0010-0000-0500-000002000000}" name="X" dataDxfId="240"/>
    <tableColumn id="3" xr3:uid="{00000000-0010-0000-0500-000003000000}" name="Y" dataDxfId="239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B576CFCD-F0F0-4431-ABA0-1B26D9887504}" name="Tabela17" displayName="Tabela17" ref="A17:Y77" totalsRowShown="0" headerRowDxfId="238" tableBorderDxfId="237">
  <autoFilter ref="A17:Y77" xr:uid="{B576CFCD-F0F0-4431-ABA0-1B26D9887504}"/>
  <tableColumns count="25">
    <tableColumn id="1" xr3:uid="{37FE32E9-BCE8-4A12-88F3-DF0A4C5521E4}" name="N° do Poste" dataDxfId="236"/>
    <tableColumn id="2" xr3:uid="{4D9BBEE5-DFA2-4865-B7CF-893F5C5BB52D}" name="CC" dataDxfId="235"/>
    <tableColumn id="3" xr3:uid="{3C9523AE-37F1-4BAB-A9D4-9B222688A5F8}" name="CC2" dataDxfId="234"/>
    <tableColumn id="4" xr3:uid="{CCE7E2A6-A628-4A0A-ADDA-FA921E3F946F}" name="CC3" dataDxfId="233"/>
    <tableColumn id="5" xr3:uid="{0F1B6102-DEE9-42AE-8B5E-C85590D64CA2}" name="CC4" dataDxfId="232"/>
    <tableColumn id="6" xr3:uid="{6DA0E383-5C60-4722-864B-028F9A63BBDB}" name="CC5" dataDxfId="231"/>
    <tableColumn id="7" xr3:uid="{469A8EA6-ECE4-46E5-907E-27909171005F}" name="CC6" dataDxfId="230"/>
    <tableColumn id="8" xr3:uid="{D26A79AE-B64A-49F0-966B-9B512E8FF87E}" name="CC7" dataDxfId="229"/>
    <tableColumn id="9" xr3:uid="{7F7BF329-8C61-491A-83C2-9B0CDFF54D0B}" name="CC8" dataDxfId="228"/>
    <tableColumn id="10" xr3:uid="{DDDB0F9B-6E0A-4F8B-944E-F52D9F09CFA4}" name="CC9" dataDxfId="227"/>
    <tableColumn id="11" xr3:uid="{1BE97C8A-684A-44C0-A258-8D1D00342E44}" name="CC10" dataDxfId="226"/>
    <tableColumn id="12" xr3:uid="{27FB3D64-4707-48C5-B134-D583D15FA44D}" name="CC11" dataDxfId="225"/>
    <tableColumn id="13" xr3:uid="{C67CDDEC-DABF-4957-9207-CC3DE260C99E}" name="6 AWG" dataDxfId="224"/>
    <tableColumn id="14" xr3:uid="{5BD7B56E-6C43-4D35-A42F-9158CC8160DE}" name="6 AWG12" dataDxfId="223"/>
    <tableColumn id="15" xr3:uid="{40C52E1C-F857-47F0-AB5A-41CEF93E65A3}" name="6 AWG13" dataDxfId="222"/>
    <tableColumn id="16" xr3:uid="{6610005D-92C2-4D83-BF8E-AC46D713CB04}" name="4 AWG" dataDxfId="221"/>
    <tableColumn id="17" xr3:uid="{F5DEB775-22B2-4F9D-9742-5F05526268A2}" name="1/0" dataDxfId="220"/>
    <tableColumn id="18" xr3:uid="{9FBFC295-A106-4CF7-926D-033B895445DE}" name="3/0" dataDxfId="219"/>
    <tableColumn id="19" xr3:uid="{4AA443E8-3358-429F-8081-4CEF070DE98C}" name="4/0" dataDxfId="218"/>
    <tableColumn id="20" xr3:uid="{350A4AC7-08A7-4478-B404-DC731F40B896}" name="MMX" dataDxfId="217"/>
    <tableColumn id="21" xr3:uid="{0DFDF5ED-8E8A-4CCF-A4D9-78775F651B5C}" name="MMX14" dataDxfId="216"/>
    <tableColumn id="22" xr3:uid="{B721D75C-829A-48E3-A251-1C581EF5B426}" name="TOTAL PONTO" dataDxfId="215">
      <calculatedColumnFormula>B18*$B$5+C18*$C$5+D18*$D$5+E18*$E$5+F18*$F$5+G18*$G$5+H18*$H$5+I18*$I$5+J18*$J$5+K18*$K$5+L18*$L$5+M18*$M$5+N18*$N$5+O18*$O$5+P18*$P$5+Q18*$Q$5+R18*$R$5+S18*$S$5+T18*$T$5+U18*$U$5</calculatedColumnFormula>
    </tableColumn>
    <tableColumn id="23" xr3:uid="{8E88CB36-2FBA-4DBA-B53E-32F643AA4878}" name="KVA" dataDxfId="214">
      <calculatedColumnFormula>IFERROR($AA$24*(V18/($W$16)),0)</calculatedColumnFormula>
    </tableColumn>
    <tableColumn id="24" xr3:uid="{8E9E54C5-6835-486B-AF1E-54A9210B4C5B}" name="CLIENTES" dataDxfId="213">
      <calculatedColumnFormula>SUM(B18:U18)</calculatedColumnFormula>
    </tableColumn>
    <tableColumn id="25" xr3:uid="{53D7B388-A608-4564-A2DF-0AFE72DF6169}" name="KVA2" dataDxfId="212">
      <calculatedColumnFormula>IFERROR(VLOOKUP(X18,AUX_CLAN,4,),0)</calculatedColumnFormula>
    </tableColumn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GERAL" displayName="GERAL" ref="A8:M51" totalsRowShown="0" headerRowDxfId="271" dataDxfId="270">
  <autoFilter ref="A8:M51" xr:uid="{00000000-0009-0000-0100-000007000000}"/>
  <tableColumns count="13">
    <tableColumn id="1" xr3:uid="{00000000-0010-0000-0600-000001000000}" name="PONTO" dataDxfId="269"/>
    <tableColumn id="11" xr3:uid="{00000000-0010-0000-0600-00000B000000}" name="TRECHO" dataDxfId="268"/>
    <tableColumn id="12" xr3:uid="{00000000-0010-0000-0600-00000C000000}" name="M" dataDxfId="267"/>
    <tableColumn id="2" xr3:uid="{00000000-0010-0000-0600-000002000000}" name="X" dataDxfId="266">
      <calculatedColumnFormula>IFERROR(VLOOKUP(GERAL[[#This Row],[PONTO]],COORD,2,0),"")</calculatedColumnFormula>
    </tableColumn>
    <tableColumn id="3" xr3:uid="{00000000-0010-0000-0600-000003000000}" name="Y" dataDxfId="265">
      <calculatedColumnFormula>IFERROR(VLOOKUP(GERAL[[#This Row],[PONTO]],COORD,3,0),"")</calculatedColumnFormula>
    </tableColumn>
    <tableColumn id="4" xr3:uid="{00000000-0010-0000-0600-000004000000}" name="CLIENTES" dataDxfId="264">
      <calculatedColumnFormula>IFERROR(VLOOKUP(GERAL[[#This Row],[PONTO]],RAMAIS_ATUAL,24,0),"")</calculatedColumnFormula>
    </tableColumn>
    <tableColumn id="10" xr3:uid="{00000000-0010-0000-0600-00000A000000}" name="CLT ACUMULADO" dataDxfId="263">
      <calculatedColumnFormula>IFERROR(SUMIF(GERAL[TRECHO],GERAL[[#This Row],[PONTO]],GERAL[CLT ACUMULADO])+GERAL[[#This Row],[CLIENTES]],"")</calculatedColumnFormula>
    </tableColumn>
    <tableColumn id="5" xr3:uid="{00000000-0010-0000-0600-000005000000}" name="TOTAL DO TRECHO" dataDxfId="262">
      <calculatedColumnFormula>IFERROR(VLOOKUP(GERAL[[#This Row],[PONTO]],RAMAIS_ATUAL,IF($I$2="SIM",25,23),0),"")</calculatedColumnFormula>
    </tableColumn>
    <tableColumn id="9" xr3:uid="{00000000-0010-0000-0600-000009000000}" name="ACUMULADA" dataDxfId="261">
      <calculatedColumnFormula>IFERROR(IF($I$2="SIM",VLOOKUP(GERAL[[#This Row],[CLT ACUMULADO]],AUX_CLAN,4,0),SUMIF(GERAL[TRECHO],GERAL[[#This Row],[PONTO]],GERAL[ACUMULADA])+GERAL[[#This Row],[TOTAL DO TRECHO]]),"")</calculatedColumnFormula>
    </tableColumn>
    <tableColumn id="6" xr3:uid="{00000000-0010-0000-0600-000006000000}" name="SNAP" dataDxfId="260">
      <calculatedColumnFormula>IFERROR(SQRT((GERAL[[#This Row],[X]]-$P$11)^2+(GERAL[[#This Row],[Y]]-$P$12)^2),"")</calculatedColumnFormula>
    </tableColumn>
    <tableColumn id="13" xr3:uid="{00000000-0010-0000-0600-00000D000000}" name="LADO" dataDxfId="259"/>
    <tableColumn id="8" xr3:uid="{00000000-0010-0000-0600-000008000000}" name="CONDUTOR" dataDxfId="258"/>
    <tableColumn id="7" xr3:uid="{00000000-0010-0000-0600-000007000000}" name="CQT NO PONTO" dataDxfId="257" dataCellStyle="Porcentagem">
      <calculatedColumnFormula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calculatedColumnFormula>
    </tableColumn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ela7" displayName="Tabela7" ref="A7:Z14">
  <autoFilter ref="A7:Z14" xr:uid="{00000000-0009-0000-0100-000008000000}"/>
  <tableColumns count="26">
    <tableColumn id="1" xr3:uid="{00000000-0010-0000-0700-000001000000}" name="PONTO" dataDxfId="211"/>
    <tableColumn id="2" xr3:uid="{00000000-0010-0000-0700-000002000000}" name="TRECHO" dataDxfId="210">
      <calculatedColumnFormula>IFERROR(IF(Tabela7[[#This Row],[PONTO]]="RAMAL",A7,VLOOKUP(Tabela7[[#This Row],[PONTO]],GERAL[],2,0)),"")</calculatedColumnFormula>
    </tableColumn>
    <tableColumn id="3" xr3:uid="{00000000-0010-0000-0700-000003000000}" name="M" dataDxfId="209"/>
    <tableColumn id="4" xr3:uid="{00000000-0010-0000-0700-000004000000}" name="X" dataDxfId="208">
      <calculatedColumnFormula>IFERROR(IF(Tabela7[[#This Row],[PONTO]]="RAMAL","",VLOOKUP(Tabela7[[#This Row],[PONTO]],GERAL[],4,0)),"")</calculatedColumnFormula>
    </tableColumn>
    <tableColumn id="5" xr3:uid="{00000000-0010-0000-0700-000005000000}" name="Y" dataDxfId="207">
      <calculatedColumnFormula>IFERROR(IF(Tabela7[[#This Row],[PONTO]]="RAMAL","",VLOOKUP(Tabela7[[#This Row],[PONTO]],GERAL[],5,0)),"")</calculatedColumnFormula>
    </tableColumn>
    <tableColumn id="6" xr3:uid="{00000000-0010-0000-0700-000006000000}" name="KVA PONTO" dataDxfId="206">
      <calculatedColumnFormula>IFERROR(IF(Tabela7[[#This Row],[PONTO]]="RAMAL",DMDI,VLOOKUP(Tabela7[[#This Row],[PONTO]],GERAL[],8,0)),"")</calculatedColumnFormula>
    </tableColumn>
    <tableColumn id="7" xr3:uid="{00000000-0010-0000-0700-000007000000}" name="ACUMULADA" dataDxfId="205"/>
    <tableColumn id="8" xr3:uid="{00000000-0010-0000-0700-000008000000}" name="CONDUTOR" dataDxfId="204"/>
    <tableColumn id="9" xr3:uid="{00000000-0010-0000-0700-000009000000}" name="(A)" dataDxfId="203">
      <calculatedColumnFormula>IFERROR(Tabela7[[#This Row],[Ib]],"")</calculatedColumnFormula>
    </tableColumn>
    <tableColumn id="10" xr3:uid="{00000000-0010-0000-0700-00000A000000}" name="T" dataDxfId="202">
      <calculatedColumnFormula>IFERROR(IFERROR(Tabela7[[#This Row],[ACUMULADA]]/((IF(Tabela7[[#This Row],[FASE]]="MONO",T_LINHA_MONO,IF(Tabela7[[#This Row],[FASE]]="BIF",T_LINHA_TRF,T_LINHA_TRF*SQRT(3)))/1000)*VLOOKUP(Tabela7[[#This Row],[CONDUTOR]],CABOS[],9,0))+30,U8+60*(V8/X8)),"")</calculatedColumnFormula>
    </tableColumn>
    <tableColumn id="11" xr3:uid="{00000000-0010-0000-0700-00000B000000}" name="R CORR" dataDxfId="201">
      <calculatedColumnFormula>IFERROR((VLOOKUP(Tabela7[[#This Row],[CONDUTOR]],CABOS[],3,0)/VLOOKUP(Tabela7[[#This Row],[CONDUTOR]],CABOS[],6,0))*(1+VLOOKUP(Tabela7[[#This Row],[CONDUTOR]],CABOS[],5,0)*(Tabela7[[#This Row],[T]]-20)),"")</calculatedColumnFormula>
    </tableColumn>
    <tableColumn id="12" xr3:uid="{00000000-0010-0000-0700-00000C000000}" name="QT-PONTO" dataDxfId="200">
      <calculatedColumnFormula>IFERROR(IF(Tabela7[[#This Row],[FASE]]="MONO",6,IF(Tabela7[[#This Row],[FASE]]="BIF",2,1))*Tabela7[[#This Row],[ACUMULADA]]*(SQRT(Tabela7[[#This Row],[R CORR]]^2+VLOOKUP(Tabela7[[#This Row],[CONDUTOR]],CABOS[],4,0)^2)/(($P$7^2)/100))*Tabela7[[#This Row],[M]]*T_LINHA_MONO/100+IF(Tabela7[[#This Row],[TRECHO]]=0,T_LINHA_MONO*QT_MTTR,0),"")</calculatedColumnFormula>
    </tableColumn>
    <tableColumn id="13" xr3:uid="{00000000-0010-0000-0700-00000D000000}" name="Coluna1" dataDxfId="199">
      <calculatedColumnFormula>IFERROR(SUMIF(Tabela7[PONTO],Tabela7[[#This Row],[TRECHO]],Tabela7[Coluna1])+Tabela7[[#This Row],[QT-PONTO]],"")</calculatedColumnFormula>
    </tableColumn>
    <tableColumn id="14" xr3:uid="{00000000-0010-0000-0700-00000E000000}" name="QT %" dataDxfId="198">
      <calculatedColumnFormula>IFERROR(Tabela7[[#This Row],[Coluna1]]/T_LINHA_MONO,"")</calculatedColumnFormula>
    </tableColumn>
    <tableColumn id="15" xr3:uid="{00000000-0010-0000-0700-00000F000000}" name="127" dataDxfId="197">
      <calculatedColumnFormula>IFERROR(T_LINHA_MONO*(1-Tabela7[[#This Row],[QT %]]),"")</calculatedColumnFormula>
    </tableColumn>
    <tableColumn id="16" xr3:uid="{00000000-0010-0000-0700-000010000000}" name="220" dataDxfId="196">
      <calculatedColumnFormula>IFERROR(T_LINHA_TRF*(1-Tabela7[[#This Row],[QT %]]),"")</calculatedColumnFormula>
    </tableColumn>
    <tableColumn id="17" xr3:uid="{00000000-0010-0000-0700-000011000000}" name="TEMP2" dataDxfId="195">
      <calculatedColumnFormula>IFERROR(IF(Tabela7[[#This Row],[PROTECAO]]="OK","Protecao OK","Ajustar Disj/Condutor"),"")</calculatedColumnFormula>
    </tableColumn>
    <tableColumn id="18" xr3:uid="{00000000-0010-0000-0700-000012000000}" name="FASE" dataDxfId="194"/>
    <tableColumn id="19" xr3:uid="{00000000-0010-0000-0700-000013000000}" name="ETA" dataDxfId="193"/>
    <tableColumn id="20" xr3:uid="{00000000-0010-0000-0700-000014000000}" name="METODO_INST" dataDxfId="192"/>
    <tableColumn id="21" xr3:uid="{00000000-0010-0000-0700-000015000000}" name="TEMP_AMB"/>
    <tableColumn id="22" xr3:uid="{00000000-0010-0000-0700-000016000000}" name="Ib" dataDxfId="191">
      <calculatedColumnFormula>IFERROR(IF(Tabela7[[#This Row],[FASE]]="MONO",Tabela7[[#This Row],[ACUMULADA]]*1000/(T_LINHA_TRF*Tabela7[[#This Row],[ETA]]),Tabela7[[#This Row],[ACUMULADA]]*1000/(SQRT(3)*$P$7*Tabela7[[#This Row],[ETA]])),"")</calculatedColumnFormula>
    </tableColumn>
    <tableColumn id="23" xr3:uid="{00000000-0010-0000-0700-000017000000}" name="In" dataDxfId="190">
      <calculatedColumnFormula>IFERROR(VLOOKUP(Tabela7[[#This Row],[Ib]],TabelaDisjuntores[],2,TRUE),"")</calculatedColumnFormula>
    </tableColumn>
    <tableColumn id="24" xr3:uid="{00000000-0010-0000-0700-000018000000}" name="Iz" dataDxfId="189">
      <calculatedColumnFormula>IFERROR(VLOOKUP(Tabela7[[#This Row],[CONDUTOR]],CABOS[],2,0),"")</calculatedColumnFormula>
    </tableColumn>
    <tableColumn id="25" xr3:uid="{00000000-0010-0000-0700-000019000000}" name="PROTECAO"/>
    <tableColumn id="26" xr3:uid="{00000000-0010-0000-0700-00001A000000}" name="Coluna2">
      <calculatedColumnFormula>IFERROR(SQRT((Tabela7[[#This Row],[X]]-$AC$4)^2+(Tabela7[[#This Row],[Y]]-$AC$5)^2),0)</calculatedColumnFormula>
    </tableColumn>
  </tableColumns>
  <tableStyleInfo name="TableStyleLight16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DIR_ATUAL" displayName="DIR_ATUAL" ref="A7:Z18" totalsRowShown="0" headerRowDxfId="188" dataDxfId="187">
  <autoFilter ref="A7:Z18" xr:uid="{00000000-0009-0000-0100-000009000000}"/>
  <tableColumns count="26">
    <tableColumn id="1" xr3:uid="{00000000-0010-0000-0800-000001000000}" name="PONTO" dataDxfId="186"/>
    <tableColumn id="2" xr3:uid="{00000000-0010-0000-0800-000002000000}" name="TRECHO" dataDxfId="185">
      <calculatedColumnFormula>IFERROR(IF(DIR_ATUAL[[#This Row],[PONTO]]="RAMAL",A7,VLOOKUP(DIR_ATUAL[[#This Row],[PONTO]],GERAL[],2,0)),"")</calculatedColumnFormula>
    </tableColumn>
    <tableColumn id="3" xr3:uid="{00000000-0010-0000-0800-000003000000}" name="M" dataDxfId="184">
      <calculatedColumnFormula>IFERROR(IF(DIR_ATUAL[[#This Row],[PONTO]]="RAMAL",15,VLOOKUP(DIR_ATUAL[[#This Row],[PONTO]],GERAL[],3,0)),"")</calculatedColumnFormula>
    </tableColumn>
    <tableColumn id="4" xr3:uid="{00000000-0010-0000-0800-000004000000}" name="X" dataDxfId="183">
      <calculatedColumnFormula>IFERROR(IF(DIR_ATUAL[[#This Row],[PONTO]]="RAMAL","",VLOOKUP(DIR_ATUAL[[#This Row],[PONTO]],GERAL[],4,0)),"")</calculatedColumnFormula>
    </tableColumn>
    <tableColumn id="5" xr3:uid="{00000000-0010-0000-0800-000005000000}" name="Y" dataDxfId="182">
      <calculatedColumnFormula>IFERROR(IF(DIR_ATUAL[[#This Row],[PONTO]]="RAMAL","",VLOOKUP(DIR_ATUAL[[#This Row],[PONTO]],GERAL[],5,0)),"")</calculatedColumnFormula>
    </tableColumn>
    <tableColumn id="6" xr3:uid="{00000000-0010-0000-0800-000006000000}" name="KVA PONTO" dataDxfId="181">
      <calculatedColumnFormula>IFERROR(IF(DIR_ATUAL[[#This Row],[PONTO]]="RAMAL",DMDI,VLOOKUP(DIR_ATUAL[[#This Row],[PONTO]],GERAL[],8,0)),"")</calculatedColumnFormula>
    </tableColumn>
    <tableColumn id="7" xr3:uid="{00000000-0010-0000-0800-000007000000}" name="ACUMULADA" dataDxfId="180">
      <calculatedColumnFormula>IFERROR(IF(DIR_ATUAL[[#This Row],[PONTO]]="RAMAL",DIR_ATUAL[[#This Row],[KVA PONTO]],VLOOKUP(DIR_ATUAL[[#This Row],[PONTO]],GERAL[],9,0)),"")</calculatedColumnFormula>
    </tableColumn>
    <tableColumn id="9" xr3:uid="{00000000-0010-0000-0800-000009000000}" name="CONDUTOR" dataDxfId="179">
      <calculatedColumnFormula>IFERROR(VLOOKUP(DIR_ATUAL[[#This Row],[PONTO]],GERAL[],12,0),"")</calculatedColumnFormula>
    </tableColumn>
    <tableColumn id="11" xr3:uid="{00000000-0010-0000-0800-00000B000000}" name="(A)" dataDxfId="178">
      <calculatedColumnFormula>IFERROR(DIR_ATUAL[[#This Row],[Ib]],"")</calculatedColumnFormula>
    </tableColumn>
    <tableColumn id="13" xr3:uid="{00000000-0010-0000-0800-00000D000000}" name="T" dataDxfId="177">
      <calculatedColumnFormula>IFERROR(IFERROR(DIR_ATUAL[[#This Row],[ACUMULADA]]/((IF(DIR_ATUAL[[#This Row],[FASE]]="MONO",T_LINHA_MONO,IF(DIR_ATUAL[[#This Row],[FASE]]="BIF",T_LINHA_TRF,T_LINHA_TRF*SQRT(3)))/1000)*VLOOKUP(H8,CABOS[],9,0))+30,U8+60*(V8/X8)),"")</calculatedColumnFormula>
    </tableColumn>
    <tableColumn id="14" xr3:uid="{00000000-0010-0000-0800-00000E000000}" name="R CORR" dataDxfId="176">
      <calculatedColumnFormula>IFERROR((VLOOKUP(DIR_ATUAL[[#This Row],[CONDUTOR]],CABOS[],3,0)/VLOOKUP(DIR_ATUAL[[#This Row],[CONDUTOR]],CABOS[],6,0))*(1+VLOOKUP(DIR_ATUAL[[#This Row],[CONDUTOR]],CABOS[],5,0)*(DIR_ATUAL[[#This Row],[T]]-20)),"")</calculatedColumnFormula>
    </tableColumn>
    <tableColumn id="12" xr3:uid="{00000000-0010-0000-0800-00000C000000}" name="QT-PONTO" dataDxfId="175">
      <calculatedColumnFormula>IFERROR(IF(DIR_ATUAL[[#This Row],[FASE]]="MONO",6,IF(DIR_ATUAL[[#This Row],[FASE]]="BIF",2,1))*DIR_ATUAL[[#This Row],[ACUMULADA]]*(SQRT(DIR_ATUAL[[#This Row],[R CORR]]^2+VLOOKUP(DIR_ATUAL[[#This Row],[CONDUTOR]],CABOS[],4,0)^2)/(($P$7^2)/100))*DIR_ATUAL[[#This Row],[M]]*T_LINHA_MONO/100+IF(DIR_ATUAL[[#This Row],[TRECHO]]=0,T_LINHA_MONO*QT_MTTR,0),"")</calculatedColumnFormula>
    </tableColumn>
    <tableColumn id="15" xr3:uid="{00000000-0010-0000-0800-00000F000000}" name="Coluna1" dataDxfId="174" dataCellStyle="Porcentagem">
      <calculatedColumnFormula>IFERROR(SUMIF(DIR_ATUAL[PONTO],DIR_ATUAL[[#This Row],[TRECHO]],DIR_ATUAL[Coluna1])+DIR_ATUAL[[#This Row],[QT-PONTO]],"")</calculatedColumnFormula>
    </tableColumn>
    <tableColumn id="16" xr3:uid="{00000000-0010-0000-0800-000010000000}" name="QT %" dataDxfId="173" dataCellStyle="Porcentagem">
      <calculatedColumnFormula>IFERROR(DIR_ATUAL[[#This Row],[Coluna1]]/T_LINHA_MONO,"")</calculatedColumnFormula>
    </tableColumn>
    <tableColumn id="17" xr3:uid="{00000000-0010-0000-0800-000011000000}" name="127" dataDxfId="172">
      <calculatedColumnFormula>IFERROR(T_LINHA_MONO*(1-DIR_ATUAL[[#This Row],[QT %]]),"")</calculatedColumnFormula>
    </tableColumn>
    <tableColumn id="8" xr3:uid="{00000000-0010-0000-0800-000008000000}" name="220" dataDxfId="171">
      <calculatedColumnFormula>IFERROR(T_LINHA_TRF*(1-DIR_ATUAL[[#This Row],[QT %]]),"")</calculatedColumnFormula>
    </tableColumn>
    <tableColumn id="18" xr3:uid="{00000000-0010-0000-0800-000012000000}" name="TEMP2" dataDxfId="170">
      <calculatedColumnFormula>IFERROR(IF(DIR_ATUAL[[#This Row],[PROTECAO]]="OK","Protecao OK","Ajustar Disj/Condutor"),"")</calculatedColumnFormula>
    </tableColumn>
    <tableColumn id="10" xr3:uid="{00000000-0010-0000-0800-00000A000000}" name="FASE" dataDxfId="169">
      <calculatedColumnFormula>IF(DIR_ATUAL[[#This Row],[ETA]]=1,"MONO",IF(DIR_ATUAL[[#This Row],[ETA]]=2,"BIF","TRI"))</calculatedColumnFormula>
    </tableColumn>
    <tableColumn id="19" xr3:uid="{00000000-0010-0000-0800-000013000000}" name="ETA" dataDxfId="168">
      <calculatedColumnFormula>1</calculatedColumnFormula>
    </tableColumn>
    <tableColumn id="20" xr3:uid="{00000000-0010-0000-0800-000014000000}" name="METODO_INST" dataDxfId="167">
      <calculatedColumnFormula>"AEREO"</calculatedColumnFormula>
    </tableColumn>
    <tableColumn id="21" xr3:uid="{00000000-0010-0000-0800-000015000000}" name="TEMP_AMB" dataDxfId="166">
      <calculatedColumnFormula>30</calculatedColumnFormula>
    </tableColumn>
    <tableColumn id="22" xr3:uid="{00000000-0010-0000-0800-000016000000}" name="Ib" dataDxfId="165">
      <calculatedColumnFormula>IFERROR(IF(DIR_ATUAL[[#This Row],[FASE]]="MONO",DIR_ATUAL[[#This Row],[ACUMULADA]]*1000/(T_LINHA_TRF*DIR_ATUAL[[#This Row],[ETA]]),DIR_ATUAL[[#This Row],[ACUMULADA]]*1000/(SQRT(3)*$P$7*DIR_ATUAL[[#This Row],[ETA]])),"")</calculatedColumnFormula>
    </tableColumn>
    <tableColumn id="23" xr3:uid="{00000000-0010-0000-0800-000017000000}" name="In" dataDxfId="164">
      <calculatedColumnFormula>IFERROR(VLOOKUP(DIR_ATUAL[[#This Row],[Ib]],TabelaDisjuntores[],2,TRUE),"")</calculatedColumnFormula>
    </tableColumn>
    <tableColumn id="24" xr3:uid="{00000000-0010-0000-0800-000018000000}" name="Iz" dataDxfId="163">
      <calculatedColumnFormula>IFERROR(VLOOKUP(DIR_ATUAL[[#This Row],[CONDUTOR]],CABOS[],2,0),0)</calculatedColumnFormula>
    </tableColumn>
    <tableColumn id="25" xr3:uid="{00000000-0010-0000-0800-000019000000}" name="PROTECAO" dataDxfId="162">
      <calculatedColumnFormula>IF(AND(DIR_ATUAL[[#This Row],[Ib]]&lt;=DIR_ATUAL[[#This Row],[In]],DIR_ATUAL[[#This Row],[In]]&lt;=DIR_ATUAL[[#This Row],[Iz]]),"OK","VERIFICAR")</calculatedColumnFormula>
    </tableColumn>
    <tableColumn id="26" xr3:uid="{00000000-0010-0000-0800-00001A000000}" name="Coluna2" dataDxfId="161">
      <calculatedColumnFormula>IFERROR(SQRT((DIR_ATUAL[[#This Row],[X]]-$AC$4)^2+(DIR_ATUAL[[#This Row],[Y]]-$AC$5)^2),0)</calculatedColumnFormula>
    </tableColumn>
  </tableColumns>
  <tableStyleInfo name="TableStyleLight16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GERAL_PROJ" displayName="GERAL_PROJ" ref="A8:M23" totalsRowShown="0" headerRowDxfId="160" dataDxfId="159">
  <autoFilter ref="A8:M23" xr:uid="{00000000-0009-0000-0100-00000A000000}"/>
  <tableColumns count="13">
    <tableColumn id="1" xr3:uid="{00000000-0010-0000-0900-000001000000}" name="PONTO" dataDxfId="158"/>
    <tableColumn id="11" xr3:uid="{00000000-0010-0000-0900-00000B000000}" name="TRECHO" dataDxfId="157"/>
    <tableColumn id="12" xr3:uid="{00000000-0010-0000-0900-00000C000000}" name="M" dataDxfId="156"/>
    <tableColumn id="2" xr3:uid="{00000000-0010-0000-0900-000002000000}" name="X" dataDxfId="155">
      <calculatedColumnFormula>IFERROR(VLOOKUP(GERAL_PROJ[[#This Row],[PONTO]],Tabela13[],2,0),"")</calculatedColumnFormula>
    </tableColumn>
    <tableColumn id="3" xr3:uid="{00000000-0010-0000-0900-000003000000}" name="Y" dataDxfId="154">
      <calculatedColumnFormula>IFERROR(VLOOKUP(GERAL_PROJ[[#This Row],[PONTO]],Tabela13[],3,0),"")</calculatedColumnFormula>
    </tableColumn>
    <tableColumn id="4" xr3:uid="{00000000-0010-0000-0900-000004000000}" name="CLIENTES" dataDxfId="153">
      <calculatedColumnFormula>IFERROR(VLOOKUP(GERAL_PROJ[[#This Row],[PONTO]],RAMAIS_ATUAL,24,0),"")</calculatedColumnFormula>
    </tableColumn>
    <tableColumn id="10" xr3:uid="{00000000-0010-0000-0900-00000A000000}" name="CLT ACUMULADO" dataDxfId="152">
      <calculatedColumnFormula>IFERROR(SUMIF(GERAL_PROJ[TRECHO],GERAL_PROJ[[#This Row],[PONTO]],GERAL_PROJ[CLT ACUMULADO])+GERAL_PROJ[[#This Row],[CLIENTES]],"")</calculatedColumnFormula>
    </tableColumn>
    <tableColumn id="5" xr3:uid="{00000000-0010-0000-0900-000005000000}" name="TOTAL DO TRECHO" dataDxfId="151">
      <calculatedColumnFormula>IFERROR(VLOOKUP(GERAL_PROJ[[#This Row],[PONTO]],RAMAIS_ATUAL,IF($I$2="SIM",25,23),0),"")</calculatedColumnFormula>
    </tableColumn>
    <tableColumn id="9" xr3:uid="{00000000-0010-0000-0900-000009000000}" name="ACUMULADA" dataDxfId="150">
      <calculatedColumnFormula>IFERROR(IF($I$2="SIM",VLOOKUP(GERAL_PROJ[[#This Row],[CLT ACUMULADO]],AUX_CLAN,4,0),SUMIF(GERAL_PROJ[TRECHO],GERAL_PROJ[[#This Row],[PONTO]],GERAL_PROJ[ACUMULADA])+GERAL_PROJ[[#This Row],[TOTAL DO TRECHO]]),"")</calculatedColumnFormula>
    </tableColumn>
    <tableColumn id="6" xr3:uid="{00000000-0010-0000-0900-000006000000}" name="SNAP" dataDxfId="149">
      <calculatedColumnFormula>IFERROR(SQRT((GERAL_PROJ[[#This Row],[X]]-$P$11)^2+(GERAL_PROJ[[#This Row],[Y]]-$P$12)^2),"")</calculatedColumnFormula>
    </tableColumn>
    <tableColumn id="13" xr3:uid="{00000000-0010-0000-0900-00000D000000}" name="LADO" dataDxfId="148"/>
    <tableColumn id="8" xr3:uid="{00000000-0010-0000-0900-000008000000}" name="CONDUTOR" dataDxfId="147"/>
    <tableColumn id="7" xr3:uid="{00000000-0010-0000-0900-000007000000}" name="CQT NO PONTO" dataDxfId="146" dataCellStyle="Porcentagem">
      <calculatedColumnFormula>IFERROR(IF(GERAL_PROJ[[#This Row],[LADO]]="ESQUERDO",VLOOKUP(GERAL_PROJ[[#This Row],[PONTO]],ESQ_PROJ1[[PONTO]:[ETA]],15,0),IF(GERAL_PROJ[[#This Row],[LADO]]="DIREITO",VLOOKUP(GERAL_PROJ[[#This Row],[PONTO]],Tabela71020[],15,0),IF(GERAL_PROJ[[#This Row],[LADO]]="TRAFO",127-(127*(QT_MTTR2)),""))),"IGNORADO")</calculatedColumnFormula>
    </tableColumn>
  </tableColumns>
  <tableStyleInfo name="TableStyleLight16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ESQ_PROJ1" displayName="ESQ_PROJ1" ref="A7:Z12" totalsRowShown="0" headerRowDxfId="145" dataDxfId="144">
  <autoFilter ref="A7:Z12" xr:uid="{00000000-0009-0000-0100-00000B000000}"/>
  <tableColumns count="26">
    <tableColumn id="1" xr3:uid="{00000000-0010-0000-0A00-000001000000}" name="PONTO" dataDxfId="143"/>
    <tableColumn id="2" xr3:uid="{00000000-0010-0000-0A00-000002000000}" name="TRECHO" dataDxfId="142">
      <calculatedColumnFormula>IF(ESQ_PROJ1[[#This Row],[PONTO]]="RAMAL",A7,VLOOKUP(ESQ_PROJ1[[#This Row],[PONTO]],pontos,2,0))</calculatedColumnFormula>
    </tableColumn>
    <tableColumn id="3" xr3:uid="{00000000-0010-0000-0A00-000003000000}" name="M" dataDxfId="141">
      <calculatedColumnFormula>IF(ESQ_PROJ1[[#This Row],[PONTO]]="RAMAL",15,VLOOKUP(ESQ_PROJ1[[#This Row],[PONTO]],pontos,3,0))</calculatedColumnFormula>
    </tableColumn>
    <tableColumn id="4" xr3:uid="{00000000-0010-0000-0A00-000004000000}" name="X" dataDxfId="140">
      <calculatedColumnFormula>IFERROR(IF(ESQ_PROJ1[[#This Row],[PONTO]]="RAMAL","",VLOOKUP(ESQ_PROJ1[[#This Row],[PONTO]],GERAL_PROJ[],4,0)),0)</calculatedColumnFormula>
    </tableColumn>
    <tableColumn id="5" xr3:uid="{00000000-0010-0000-0A00-000005000000}" name="Y" dataDxfId="139">
      <calculatedColumnFormula>IFERROR(IF(ESQ_PROJ1[[#This Row],[PONTO]]="RAMAL","",VLOOKUP(ESQ_PROJ1[[#This Row],[PONTO]],GERAL_PROJ[],5,0)),0)</calculatedColumnFormula>
    </tableColumn>
    <tableColumn id="6" xr3:uid="{00000000-0010-0000-0A00-000006000000}" name="KVA PONTO" dataDxfId="138">
      <calculatedColumnFormula>IFERROR(IF(ESQ_PROJ1[[#This Row],[PONTO]]="RAMAL",DMDI,VLOOKUP(ESQ_PROJ1[[#This Row],[PONTO]],GERAL_PROJ[],8,0)),0)</calculatedColumnFormula>
    </tableColumn>
    <tableColumn id="7" xr3:uid="{00000000-0010-0000-0A00-000007000000}" name="ACUMULADA" dataDxfId="137">
      <calculatedColumnFormula>IFERROR(IF(ESQ_PROJ1[[#This Row],[PONTO]]="RAMAL",ESQ_PROJ1[[#This Row],[KVA PONTO]],VLOOKUP(ESQ_PROJ1[[#This Row],[PONTO]],GERAL_PROJ[],9,0)),0)</calculatedColumnFormula>
    </tableColumn>
    <tableColumn id="9" xr3:uid="{00000000-0010-0000-0A00-000009000000}" name="CONDUTOR" dataDxfId="136"/>
    <tableColumn id="11" xr3:uid="{00000000-0010-0000-0A00-00000B000000}" name="(A)" dataDxfId="135">
      <calculatedColumnFormula>ESQ_PROJ1[[#This Row],[Ib]]</calculatedColumnFormula>
    </tableColumn>
    <tableColumn id="13" xr3:uid="{00000000-0010-0000-0A00-00000D000000}" name="T" dataDxfId="134">
      <calculatedColumnFormula>ESQ_PROJ1[[#This Row],[TEMP_AMB]]+60*(ESQ_PROJ1[[#This Row],[Ib]]/ESQ_PROJ1[[#This Row],[Iz]])</calculatedColumnFormula>
    </tableColumn>
    <tableColumn id="14" xr3:uid="{00000000-0010-0000-0A00-00000E000000}" name="R CORR" dataDxfId="133">
      <calculatedColumnFormula>IFERROR((VLOOKUP(ESQ_PROJ1[[#This Row],[CONDUTOR]],CABOS[],3,0)/VLOOKUP(ESQ_PROJ1[[#This Row],[CONDUTOR]],CABOS[],6,0))*(1+VLOOKUP(ESQ_PROJ1[[#This Row],[CONDUTOR]],CABOS[],5,0)*(ESQ_PROJ1[[#This Row],[T]]-20)),0)</calculatedColumnFormula>
    </tableColumn>
    <tableColumn id="12" xr3:uid="{00000000-0010-0000-0A00-00000C000000}" name="QT-PONTO" dataDxfId="132">
      <calculatedColumnFormula>IFERROR(IF(ESQ_PROJ1[[#This Row],[FASE]]="MONO",6,IF(ESQ_PROJ1[[#This Row],[FASE]]="BIF",2,1))*ESQ_PROJ1[[#This Row],[ACUMULADA]]*(SQRT(ESQ_PROJ1[[#This Row],[R CORR]]^2+VLOOKUP(ESQ_PROJ1[[#This Row],[CONDUTOR]],CABOS[],4,0)^2)/(($P$7^2)/100))*ESQ_PROJ1[[#This Row],[M]]*127/100+IF(ESQ_PROJ1[[#This Row],[TRECHO]]=0,127*QT_MTTR2,0),0)</calculatedColumnFormula>
    </tableColumn>
    <tableColumn id="15" xr3:uid="{00000000-0010-0000-0A00-00000F000000}" name="Coluna1" dataDxfId="131" dataCellStyle="Porcentagem">
      <calculatedColumnFormula>IFERROR(SUMIF(ESQ_PROJ1[PONTO],ESQ_PROJ1[[#This Row],[TRECHO]],ESQ_PROJ1[Coluna1])+ESQ_PROJ1[[#This Row],[QT-PONTO]],0)</calculatedColumnFormula>
    </tableColumn>
    <tableColumn id="16" xr3:uid="{00000000-0010-0000-0A00-000010000000}" name="QT %" dataDxfId="130">
      <calculatedColumnFormula>ESQ_PROJ1[[#This Row],[Coluna1]]/127</calculatedColumnFormula>
    </tableColumn>
    <tableColumn id="17" xr3:uid="{00000000-0010-0000-0A00-000011000000}" name="127" dataDxfId="129">
      <calculatedColumnFormula>127-(127*ESQ_PROJ1[[#This Row],[QT %]])</calculatedColumnFormula>
    </tableColumn>
    <tableColumn id="8" xr3:uid="{00000000-0010-0000-0A00-000008000000}" name="220" dataDxfId="128">
      <calculatedColumnFormula>220-(220*ESQ_PROJ1[[#This Row],[QT %]])</calculatedColumnFormula>
    </tableColumn>
    <tableColumn id="18" xr3:uid="{00000000-0010-0000-0A00-000012000000}" name="TEMP2" dataDxfId="127">
      <calculatedColumnFormula>IF(ESQ_PROJ1[[#This Row],[PROTECAO]]="OK","Protecao OK","Ajustar Disj/Condutor")</calculatedColumnFormula>
    </tableColumn>
    <tableColumn id="10" xr3:uid="{00000000-0010-0000-0A00-00000A000000}" name="FASE" dataDxfId="126">
      <calculatedColumnFormula>"TRI"</calculatedColumnFormula>
    </tableColumn>
    <tableColumn id="19" xr3:uid="{00000000-0010-0000-0A00-000013000000}" name="ETA" dataDxfId="125">
      <calculatedColumnFormula>1</calculatedColumnFormula>
    </tableColumn>
    <tableColumn id="20" xr3:uid="{00000000-0010-0000-0A00-000014000000}" name="METODO_INST" dataDxfId="124">
      <calculatedColumnFormula>"AEREO"</calculatedColumnFormula>
    </tableColumn>
    <tableColumn id="21" xr3:uid="{00000000-0010-0000-0A00-000015000000}" name="TEMP_AMB" dataDxfId="123">
      <calculatedColumnFormula>30</calculatedColumnFormula>
    </tableColumn>
    <tableColumn id="22" xr3:uid="{00000000-0010-0000-0A00-000016000000}" name="Ib" dataDxfId="122">
      <calculatedColumnFormula>IF(ESQ_PROJ1[[#This Row],[FASE]]="MONO",ESQ_PROJ1[[#This Row],[ACUMULADA]]*1000/(220*ESQ_PROJ1[[#This Row],[ETA]]),ESQ_PROJ1[[#This Row],[ACUMULADA]]*1000/(SQRT(3)*$P$7*ESQ_PROJ1[[#This Row],[ETA]]))</calculatedColumnFormula>
    </tableColumn>
    <tableColumn id="23" xr3:uid="{00000000-0010-0000-0A00-000017000000}" name="In" dataDxfId="121">
      <calculatedColumnFormula>VLOOKUP(ESQ_PROJ1[[#This Row],[Ib]],TabelaDisjuntores[],2,TRUE)</calculatedColumnFormula>
    </tableColumn>
    <tableColumn id="24" xr3:uid="{00000000-0010-0000-0A00-000018000000}" name="Iz" dataDxfId="120">
      <calculatedColumnFormula>VLOOKUP(ESQ_PROJ1[[#This Row],[CONDUTOR]],CABOS[],2,0)</calculatedColumnFormula>
    </tableColumn>
    <tableColumn id="25" xr3:uid="{00000000-0010-0000-0A00-000019000000}" name="PROTECAO" dataDxfId="119">
      <calculatedColumnFormula>IF(AND(ESQ_PROJ1[[#This Row],[Ib]]&lt;=ESQ_PROJ1[[#This Row],[In]],ESQ_PROJ1[[#This Row],[In]]&lt;=ESQ_PROJ1[[#This Row],[Iz]]),"OK","VERIFICAR")</calculatedColumnFormula>
    </tableColumn>
    <tableColumn id="26" xr3:uid="{00000000-0010-0000-0A00-00001A000000}" name="Coluna2" dataDxfId="118">
      <calculatedColumnFormula>IFERROR(SQRT((ESQ_PROJ1[[#This Row],[X]]-$AC$4)^2+(ESQ_PROJ1[[#This Row],[Y]]-$AC$5)^2),0)</calculatedColumnFormula>
    </tableColumn>
  </tableColumns>
  <tableStyleInfo name="TableStyleLight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ela71020" displayName="Tabela71020" ref="A7:Z13" totalsRowShown="0" headerRowDxfId="117" dataDxfId="116">
  <autoFilter ref="A7:Z13" xr:uid="{00000000-0009-0000-0100-00000C000000}"/>
  <tableColumns count="26">
    <tableColumn id="1" xr3:uid="{00000000-0010-0000-0B00-000001000000}" name="PONTO" dataDxfId="115"/>
    <tableColumn id="2" xr3:uid="{00000000-0010-0000-0B00-000002000000}" name="TRECHO" dataDxfId="114">
      <calculatedColumnFormula>IF(Tabela71020[[#This Row],[PONTO]]="RAMAL",A7,VLOOKUP(Tabela71020[[#This Row],[PONTO]],pontos,2,0))</calculatedColumnFormula>
    </tableColumn>
    <tableColumn id="3" xr3:uid="{00000000-0010-0000-0B00-000003000000}" name="M" dataDxfId="113">
      <calculatedColumnFormula>IF(Tabela71020[[#This Row],[PONTO]]="RAMAL",15,VLOOKUP(Tabela71020[[#This Row],[PONTO]],pontos,3,0))</calculatedColumnFormula>
    </tableColumn>
    <tableColumn id="4" xr3:uid="{00000000-0010-0000-0B00-000004000000}" name="X" dataDxfId="112">
      <calculatedColumnFormula>IF(Tabela71020[[#This Row],[PONTO]]="RAMAL","",VLOOKUP(Tabela71020[[#This Row],[PONTO]],pontos,4,0))</calculatedColumnFormula>
    </tableColumn>
    <tableColumn id="5" xr3:uid="{00000000-0010-0000-0B00-000005000000}" name="Y" dataDxfId="111">
      <calculatedColumnFormula>IF(Tabela71020[[#This Row],[PONTO]]="RAMAL","",VLOOKUP(Tabela71020[[#This Row],[PONTO]],pontos,5,0))</calculatedColumnFormula>
    </tableColumn>
    <tableColumn id="6" xr3:uid="{00000000-0010-0000-0B00-000006000000}" name="KVA PONTO" dataDxfId="110">
      <calculatedColumnFormula>IF(Tabela71020[[#This Row],[PONTO]]="RAMAL",DMDI,VLOOKUP(Tabela71020[[#This Row],[PONTO]],pontos,8,0))</calculatedColumnFormula>
    </tableColumn>
    <tableColumn id="7" xr3:uid="{00000000-0010-0000-0B00-000007000000}" name="ACUMULADA" dataDxfId="109">
      <calculatedColumnFormula>IF(Tabela71020[[#This Row],[PONTO]]="RAMAL",Tabela71020[[#This Row],[KVA PONTO]],VLOOKUP(Tabela71020[[#This Row],[PONTO]],pontos,9,0))</calculatedColumnFormula>
    </tableColumn>
    <tableColumn id="9" xr3:uid="{00000000-0010-0000-0B00-000009000000}" name="CONDUTOR" dataDxfId="108"/>
    <tableColumn id="11" xr3:uid="{00000000-0010-0000-0B00-00000B000000}" name="(A)" dataDxfId="107">
      <calculatedColumnFormula>Tabela71020[[#This Row],[Ib]]</calculatedColumnFormula>
    </tableColumn>
    <tableColumn id="13" xr3:uid="{00000000-0010-0000-0B00-00000D000000}" name="T" dataDxfId="106">
      <calculatedColumnFormula>Tabela71020[[#This Row],[TEMP_AMB]]+60*(Tabela71020[[#This Row],[Ib]]/Tabela71020[[#This Row],[Iz]])</calculatedColumnFormula>
    </tableColumn>
    <tableColumn id="14" xr3:uid="{00000000-0010-0000-0B00-00000E000000}" name="R CORR" dataDxfId="105">
      <calculatedColumnFormula>(VLOOKUP(Tabela71020[[#This Row],[CONDUTOR]],CABOS[],3,0)/VLOOKUP(Tabela71020[[#This Row],[CONDUTOR]],CABOS[],6,0))*(1+VLOOKUP(Tabela71020[[#This Row],[CONDUTOR]],CABOS[],5,0)*(Tabela71020[[#This Row],[T]]-20))</calculatedColumnFormula>
    </tableColumn>
    <tableColumn id="12" xr3:uid="{00000000-0010-0000-0B00-00000C000000}" name="QT-PONTO" dataDxfId="104">
      <calculatedColumnFormula>IFERROR(IF(Tabela71020[[#This Row],[FASE]]="MONO",6,IF(Tabela71020[[#This Row],[FASE]]="BIF",2,1))*Tabela71020[[#This Row],[ACUMULADA]]*(SQRT(Tabela71020[[#This Row],[R CORR]]^2+VLOOKUP(Tabela71020[[#This Row],[CONDUTOR]],CABOS[],4,0)^2)/(($P$7^2)/100))*Tabela71020[[#This Row],[M]]*127/100+IF(Tabela71020[[#This Row],[TRECHO]]=0,127*QT_MTTR2,0),0)</calculatedColumnFormula>
    </tableColumn>
    <tableColumn id="15" xr3:uid="{00000000-0010-0000-0B00-00000F000000}" name="Coluna1" dataDxfId="103" dataCellStyle="Porcentagem">
      <calculatedColumnFormula>SUMIF(Tabela71020[PONTO],Tabela71020[[#This Row],[TRECHO]],Tabela71020[Coluna1])+Tabela71020[[#This Row],[QT-PONTO]]</calculatedColumnFormula>
    </tableColumn>
    <tableColumn id="16" xr3:uid="{00000000-0010-0000-0B00-000010000000}" name="QT %" dataDxfId="102" dataCellStyle="Porcentagem">
      <calculatedColumnFormula>Tabela71020[[#This Row],[Coluna1]]/127</calculatedColumnFormula>
    </tableColumn>
    <tableColumn id="17" xr3:uid="{00000000-0010-0000-0B00-000011000000}" name="127" dataDxfId="101">
      <calculatedColumnFormula>127-(127*Tabela71020[[#This Row],[QT %]])</calculatedColumnFormula>
    </tableColumn>
    <tableColumn id="8" xr3:uid="{00000000-0010-0000-0B00-000008000000}" name="220" dataDxfId="100">
      <calculatedColumnFormula>220-(220*Tabela71020[[#This Row],[QT %]])</calculatedColumnFormula>
    </tableColumn>
    <tableColumn id="18" xr3:uid="{00000000-0010-0000-0B00-000012000000}" name="TEMP2" dataDxfId="99">
      <calculatedColumnFormula>IF(Tabela71020[[#This Row],[PROTECAO]]="OK","Protecao OK","Ajustar Disj/Condutor")</calculatedColumnFormula>
    </tableColumn>
    <tableColumn id="10" xr3:uid="{00000000-0010-0000-0B00-00000A000000}" name="FASE" dataDxfId="98">
      <calculatedColumnFormula>"TRI"</calculatedColumnFormula>
    </tableColumn>
    <tableColumn id="19" xr3:uid="{00000000-0010-0000-0B00-000013000000}" name="ETA" dataDxfId="97">
      <calculatedColumnFormula>1</calculatedColumnFormula>
    </tableColumn>
    <tableColumn id="20" xr3:uid="{00000000-0010-0000-0B00-000014000000}" name="METODO_INST" dataDxfId="96">
      <calculatedColumnFormula>"AEREO"</calculatedColumnFormula>
    </tableColumn>
    <tableColumn id="21" xr3:uid="{00000000-0010-0000-0B00-000015000000}" name="TEMP_AMB" dataDxfId="95">
      <calculatedColumnFormula>30</calculatedColumnFormula>
    </tableColumn>
    <tableColumn id="22" xr3:uid="{00000000-0010-0000-0B00-000016000000}" name="Ib" dataDxfId="94">
      <calculatedColumnFormula>IF(Tabela71020[[#This Row],[FASE]]="MONO",Tabela71020[[#This Row],[ACUMULADA]]*1000/(220*Tabela71020[[#This Row],[ETA]]),Tabela71020[[#This Row],[ACUMULADA]]*1000/(SQRT(3)*$P$7*Tabela71020[[#This Row],[ETA]]))</calculatedColumnFormula>
    </tableColumn>
    <tableColumn id="23" xr3:uid="{00000000-0010-0000-0B00-000017000000}" name="In" dataDxfId="93">
      <calculatedColumnFormula>VLOOKUP(Tabela71020[[#This Row],[Ib]],TabelaDisjuntores[],2,TRUE)</calculatedColumnFormula>
    </tableColumn>
    <tableColumn id="24" xr3:uid="{00000000-0010-0000-0B00-000018000000}" name="Iz" dataDxfId="92">
      <calculatedColumnFormula>VLOOKUP(Tabela71020[[#This Row],[CONDUTOR]],CABOS[],2,0)</calculatedColumnFormula>
    </tableColumn>
    <tableColumn id="25" xr3:uid="{00000000-0010-0000-0B00-000019000000}" name="PROTECAO" dataDxfId="91">
      <calculatedColumnFormula>IF(AND(Tabela71020[[#This Row],[Ib]]&lt;=Tabela71020[[#This Row],[In]],Tabela71020[[#This Row],[In]]&lt;=Tabela71020[[#This Row],[Iz]]),"OK","VERIFICAR")</calculatedColumnFormula>
    </tableColumn>
    <tableColumn id="26" xr3:uid="{00000000-0010-0000-0B00-00001A000000}" name="Coluna2" dataDxfId="90">
      <calculatedColumnFormula>IFERROR(SQRT((Tabela71020[[#This Row],[X]]-$AC$4)^2+(Tabela71020[[#This Row],[Y]]-$AC$5)^2),0)</calculatedColumnFormula>
    </tableColumn>
  </tableColumns>
  <tableStyleInfo name="TableStyleLight16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GERAL_PROJ2" displayName="GERAL_PROJ2" ref="A8:M36" totalsRowShown="0" headerRowDxfId="89" dataDxfId="88">
  <autoFilter ref="A8:M36" xr:uid="{00000000-0009-0000-0100-00000D000000}"/>
  <tableColumns count="13">
    <tableColumn id="1" xr3:uid="{00000000-0010-0000-0C00-000001000000}" name="PONTO" dataDxfId="87"/>
    <tableColumn id="11" xr3:uid="{00000000-0010-0000-0C00-00000B000000}" name="TRECHO" dataDxfId="86"/>
    <tableColumn id="12" xr3:uid="{00000000-0010-0000-0C00-00000C000000}" name="M" dataDxfId="85"/>
    <tableColumn id="2" xr3:uid="{00000000-0010-0000-0C00-000002000000}" name="X" dataDxfId="84">
      <calculatedColumnFormula>IFERROR(VLOOKUP(GERAL_PROJ2[[#This Row],[PONTO]],Tabela13[],2,0),"")</calculatedColumnFormula>
    </tableColumn>
    <tableColumn id="3" xr3:uid="{00000000-0010-0000-0C00-000003000000}" name="Y" dataDxfId="83">
      <calculatedColumnFormula>IFERROR(VLOOKUP(GERAL_PROJ2[[#This Row],[PONTO]],Tabela13[],3,0),"")</calculatedColumnFormula>
    </tableColumn>
    <tableColumn id="4" xr3:uid="{00000000-0010-0000-0C00-000004000000}" name="CLIENTES" dataDxfId="82">
      <calculatedColumnFormula>IFERROR(VLOOKUP(GERAL_PROJ2[[#This Row],[PONTO]],RAMAIS_ATUAL,24,0),"")</calculatedColumnFormula>
    </tableColumn>
    <tableColumn id="10" xr3:uid="{00000000-0010-0000-0C00-00000A000000}" name="CLT ACUMULADO" dataDxfId="81">
      <calculatedColumnFormula>IFERROR(SUMIF(GERAL_PROJ2[TRECHO],GERAL_PROJ2[[#This Row],[PONTO]],GERAL_PROJ2[CLT ACUMULADO])+GERAL_PROJ2[[#This Row],[CLIENTES]],"")</calculatedColumnFormula>
    </tableColumn>
    <tableColumn id="5" xr3:uid="{00000000-0010-0000-0C00-000005000000}" name="TOTAL DO TRECHO" dataDxfId="80">
      <calculatedColumnFormula>IFERROR(VLOOKUP(GERAL_PROJ2[[#This Row],[PONTO]],RAMAIS_ATUAL,IF($I$2="SIM",25,23),0),"")</calculatedColumnFormula>
    </tableColumn>
    <tableColumn id="9" xr3:uid="{00000000-0010-0000-0C00-000009000000}" name="ACUMULADA" dataDxfId="79">
      <calculatedColumnFormula>IFERROR(IF($I$2="SIM",VLOOKUP(GERAL_PROJ2[[#This Row],[CLT ACUMULADO]],AUX_CLAN,4,0),SUMIF(GERAL_PROJ2[TRECHO],GERAL_PROJ2[[#This Row],[PONTO]],GERAL_PROJ2[ACUMULADA])+GERAL_PROJ2[[#This Row],[TOTAL DO TRECHO]]),"")</calculatedColumnFormula>
    </tableColumn>
    <tableColumn id="6" xr3:uid="{00000000-0010-0000-0C00-000006000000}" name="SNAP" dataDxfId="78">
      <calculatedColumnFormula>IFERROR(SQRT((GERAL_PROJ2[[#This Row],[X]]-$P$11)^2+(GERAL_PROJ2[[#This Row],[Y]]-$P$12)^2),"")</calculatedColumnFormula>
    </tableColumn>
    <tableColumn id="13" xr3:uid="{00000000-0010-0000-0C00-00000D000000}" name="LADO" dataDxfId="77"/>
    <tableColumn id="8" xr3:uid="{00000000-0010-0000-0C00-000008000000}" name="CONDUTOR" dataDxfId="76"/>
    <tableColumn id="7" xr3:uid="{00000000-0010-0000-0C00-000007000000}" name="CQT NO PONTO" dataDxfId="75" dataCellStyle="Porcentagem">
      <calculatedColumnFormula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calculatedColumnFormula>
    </tableColumn>
  </tableColumns>
  <tableStyleInfo name="TableStyleLight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ESQ_PROJ2" displayName="ESQ_PROJ2" ref="A7:Z17" totalsRowShown="0" headerRowDxfId="74" dataDxfId="73">
  <autoFilter ref="A7:Z17" xr:uid="{00000000-0009-0000-0100-00000E000000}"/>
  <tableColumns count="26">
    <tableColumn id="1" xr3:uid="{00000000-0010-0000-0D00-000001000000}" name="PONTO" dataDxfId="72"/>
    <tableColumn id="2" xr3:uid="{00000000-0010-0000-0D00-000002000000}" name="TRECHO" dataDxfId="71">
      <calculatedColumnFormula>IFERROR(IF(ESQ_PROJ2[[#This Row],[PONTO]]="RAMAL",A7,VLOOKUP(ESQ_PROJ2[[#This Row],[PONTO]],GERAL_PROJ2[],2,0)),0)</calculatedColumnFormula>
    </tableColumn>
    <tableColumn id="3" xr3:uid="{00000000-0010-0000-0D00-000003000000}" name="M" dataDxfId="70">
      <calculatedColumnFormula>IFERROR(IF(ESQ_PROJ2[[#This Row],[PONTO]]="RAMAL",15,VLOOKUP(ESQ_PROJ2[[#This Row],[PONTO]],GERAL_PROJ2[],3,0)),0)</calculatedColumnFormula>
    </tableColumn>
    <tableColumn id="4" xr3:uid="{00000000-0010-0000-0D00-000004000000}" name="X" dataDxfId="69">
      <calculatedColumnFormula>IF(ESQ_PROJ2[[#This Row],[PONTO]]="RAMAL","",VLOOKUP(ESQ_PROJ2[[#This Row],[PONTO]],pontos,4,0))</calculatedColumnFormula>
    </tableColumn>
    <tableColumn id="5" xr3:uid="{00000000-0010-0000-0D00-000005000000}" name="Y" dataDxfId="68">
      <calculatedColumnFormula>IFERROR(IF(ESQ_PROJ2[[#This Row],[PONTO]]="RAMAL","",VLOOKUP(ESQ_PROJ2[[#This Row],[PONTO]],GERAL_PROJ2[],5,0)),0)</calculatedColumnFormula>
    </tableColumn>
    <tableColumn id="6" xr3:uid="{00000000-0010-0000-0D00-000006000000}" name="KVA PONTO" dataDxfId="67">
      <calculatedColumnFormula>IFERROR(IF(ESQ_PROJ2[[#This Row],[PONTO]]="RAMAL",DMDI,VLOOKUP(ESQ_PROJ2[[#This Row],[PONTO]],GERAL_PROJ2[],8,0)),0)</calculatedColumnFormula>
    </tableColumn>
    <tableColumn id="7" xr3:uid="{00000000-0010-0000-0D00-000007000000}" name="ACUMULADA" dataDxfId="66">
      <calculatedColumnFormula>IFERROR(IF(ESQ_PROJ2[[#This Row],[PONTO]]="RAMAL",ESQ_PROJ2[[#This Row],[KVA PONTO]],VLOOKUP(ESQ_PROJ2[[#This Row],[PONTO]],GERAL_PROJ2[],9,0)),0)</calculatedColumnFormula>
    </tableColumn>
    <tableColumn id="9" xr3:uid="{00000000-0010-0000-0D00-000009000000}" name="CONDUTOR" dataDxfId="65">
      <calculatedColumnFormula>IFERROR(VLOOKUP(ESQ_PROJ2[[#This Row],[PONTO]],GERAL_PROJ2[],12,0),0)</calculatedColumnFormula>
    </tableColumn>
    <tableColumn id="11" xr3:uid="{00000000-0010-0000-0D00-00000B000000}" name="(A)" dataDxfId="64">
      <calculatedColumnFormula>ESQ_PROJ2[[#This Row],[Ib]]</calculatedColumnFormula>
    </tableColumn>
    <tableColumn id="13" xr3:uid="{00000000-0010-0000-0D00-00000D000000}" name="T" dataDxfId="63">
      <calculatedColumnFormula>ESQ_PROJ2[[#This Row],[TEMP_AMB]]+60*(ESQ_PROJ2[[#This Row],[Ib]]/ESQ_PROJ2[[#This Row],[Iz]])</calculatedColumnFormula>
    </tableColumn>
    <tableColumn id="14" xr3:uid="{00000000-0010-0000-0D00-00000E000000}" name="R CORR" dataDxfId="62">
      <calculatedColumnFormula>IFERROR((VLOOKUP(ESQ_PROJ2[[#This Row],[CONDUTOR]],CABOS[],3,0)/VLOOKUP(ESQ_PROJ2[[#This Row],[CONDUTOR]],CABOS[],6,0))*(1+VLOOKUP(ESQ_PROJ2[[#This Row],[CONDUTOR]],CABOS[],5,0)*(ESQ_PROJ2[[#This Row],[T]]-20)),0)</calculatedColumnFormula>
    </tableColumn>
    <tableColumn id="12" xr3:uid="{00000000-0010-0000-0D00-00000C000000}" name="QT-PONTO" dataDxfId="61">
      <calculatedColumnFormula>IFERROR(IF(ESQ_PROJ2[[#This Row],[FASE]]="MONO",6,IF(ESQ_PROJ2[[#This Row],[FASE]]="BIF",2,1))*ESQ_PROJ2[[#This Row],[ACUMULADA]]*(SQRT(ESQ_PROJ2[[#This Row],[R CORR]]^2+VLOOKUP(ESQ_PROJ2[[#This Row],[CONDUTOR]],CABOS[],4,0)^2)/(($P$7^2)/100))*ESQ_PROJ2[[#This Row],[M]]*127/100+IF(ESQ_PROJ2[[#This Row],[TRECHO]]=0,127*QT_MTTR3,0),0)</calculatedColumnFormula>
    </tableColumn>
    <tableColumn id="15" xr3:uid="{00000000-0010-0000-0D00-00000F000000}" name="Coluna1" dataDxfId="60" dataCellStyle="Porcentagem">
      <calculatedColumnFormula>IFERROR(SUMIF(ESQ_PROJ2[PONTO],ESQ_PROJ2[[#This Row],[TRECHO]],ESQ_PROJ2[Coluna1])+ESQ_PROJ2[[#This Row],[QT-PONTO]],0)</calculatedColumnFormula>
    </tableColumn>
    <tableColumn id="16" xr3:uid="{00000000-0010-0000-0D00-000010000000}" name="QT %" dataDxfId="59">
      <calculatedColumnFormula>ESQ_PROJ2[[#This Row],[Coluna1]]/127</calculatedColumnFormula>
    </tableColumn>
    <tableColumn id="17" xr3:uid="{00000000-0010-0000-0D00-000011000000}" name="127" dataDxfId="58">
      <calculatedColumnFormula>127-(127*ESQ_PROJ2[[#This Row],[QT %]])</calculatedColumnFormula>
    </tableColumn>
    <tableColumn id="8" xr3:uid="{00000000-0010-0000-0D00-000008000000}" name="220" dataDxfId="57">
      <calculatedColumnFormula>220-(220*ESQ_PROJ2[[#This Row],[QT %]])</calculatedColumnFormula>
    </tableColumn>
    <tableColumn id="18" xr3:uid="{00000000-0010-0000-0D00-000012000000}" name="TEMP2" dataDxfId="56">
      <calculatedColumnFormula>IF(ESQ_PROJ2[[#This Row],[PROTECAO]]="OK","Protecao OK","Ajustar Disj/Condutor")</calculatedColumnFormula>
    </tableColumn>
    <tableColumn id="10" xr3:uid="{00000000-0010-0000-0D00-00000A000000}" name="FASE" dataDxfId="55">
      <calculatedColumnFormula>"TRI"</calculatedColumnFormula>
    </tableColumn>
    <tableColumn id="19" xr3:uid="{00000000-0010-0000-0D00-000013000000}" name="ETA" dataDxfId="54">
      <calculatedColumnFormula>1</calculatedColumnFormula>
    </tableColumn>
    <tableColumn id="20" xr3:uid="{00000000-0010-0000-0D00-000014000000}" name="METODO_INST" dataDxfId="53">
      <calculatedColumnFormula>"AEREO"</calculatedColumnFormula>
    </tableColumn>
    <tableColumn id="21" xr3:uid="{00000000-0010-0000-0D00-000015000000}" name="TEMP_AMB" dataDxfId="52">
      <calculatedColumnFormula>30</calculatedColumnFormula>
    </tableColumn>
    <tableColumn id="22" xr3:uid="{00000000-0010-0000-0D00-000016000000}" name="Ib" dataDxfId="51">
      <calculatedColumnFormula>IF(ESQ_PROJ2[[#This Row],[FASE]]="MONO",ESQ_PROJ2[[#This Row],[ACUMULADA]]*1000/(220*ESQ_PROJ2[[#This Row],[ETA]]),ESQ_PROJ2[[#This Row],[ACUMULADA]]*1000/(SQRT(3)*$P$7*ESQ_PROJ2[[#This Row],[ETA]]))</calculatedColumnFormula>
    </tableColumn>
    <tableColumn id="23" xr3:uid="{00000000-0010-0000-0D00-000017000000}" name="In" dataDxfId="50">
      <calculatedColumnFormula>VLOOKUP(ESQ_PROJ2[[#This Row],[Ib]],TabelaDisjuntores[],2,TRUE)</calculatedColumnFormula>
    </tableColumn>
    <tableColumn id="24" xr3:uid="{00000000-0010-0000-0D00-000018000000}" name="Iz" dataDxfId="49">
      <calculatedColumnFormula>VLOOKUP(ESQ_PROJ2[[#This Row],[CONDUTOR]],CABOS[],2,0)</calculatedColumnFormula>
    </tableColumn>
    <tableColumn id="25" xr3:uid="{00000000-0010-0000-0D00-000019000000}" name="PROTECAO" dataDxfId="48">
      <calculatedColumnFormula>IF(AND(ESQ_PROJ2[[#This Row],[Ib]]&lt;=ESQ_PROJ2[[#This Row],[In]],ESQ_PROJ2[[#This Row],[In]]&lt;=ESQ_PROJ2[[#This Row],[Iz]]),"OK","VERIFICAR")</calculatedColumnFormula>
    </tableColumn>
    <tableColumn id="26" xr3:uid="{00000000-0010-0000-0D00-00001A000000}" name="Coluna2" dataDxfId="47">
      <calculatedColumnFormula>IFERROR(SQRT((ESQ_PROJ2[[#This Row],[X]]-$AC$4)^2+(ESQ_PROJ2[[#This Row],[Y]]-$AC$5)^2),0)</calculatedColumnFormula>
    </tableColumn>
  </tableColumns>
  <tableStyleInfo name="TableStyleLight16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abela71023" displayName="Tabela71023" ref="A7:Z13" totalsRowShown="0" headerRowDxfId="46" dataDxfId="45">
  <autoFilter ref="A7:Z13" xr:uid="{00000000-0009-0000-0100-00000F000000}"/>
  <tableColumns count="26">
    <tableColumn id="1" xr3:uid="{00000000-0010-0000-0E00-000001000000}" name="PONTO" dataDxfId="44"/>
    <tableColumn id="2" xr3:uid="{00000000-0010-0000-0E00-000002000000}" name="TRECHO" dataDxfId="43">
      <calculatedColumnFormula>IFERROR(IF(Tabela71023[[#This Row],[PONTO]]="RAMAL",A7,VLOOKUP(Tabela71023[[#This Row],[PONTO]],GERAL_PROJ2[],2,0)),0)</calculatedColumnFormula>
    </tableColumn>
    <tableColumn id="3" xr3:uid="{00000000-0010-0000-0E00-000003000000}" name="M" dataDxfId="42">
      <calculatedColumnFormula>IFERROR(IF(Tabela71023[[#This Row],[PONTO]]="RAMAL",15,VLOOKUP(Tabela71023[[#This Row],[PONTO]],GERAL_PROJ2[],3,0)),0)</calculatedColumnFormula>
    </tableColumn>
    <tableColumn id="4" xr3:uid="{00000000-0010-0000-0E00-000004000000}" name="X" dataDxfId="41">
      <calculatedColumnFormula>IFERROR(IF(Tabela71023[[#This Row],[PONTO]]="RAMAL","",VLOOKUP(Tabela71023[[#This Row],[PONTO]],GERAL_PROJ2[],4,0)),0)</calculatedColumnFormula>
    </tableColumn>
    <tableColumn id="5" xr3:uid="{00000000-0010-0000-0E00-000005000000}" name="Y" dataDxfId="40">
      <calculatedColumnFormula>IFERROR(IF(Tabela71023[[#This Row],[PONTO]]="RAMAL","",VLOOKUP(Tabela71023[[#This Row],[PONTO]],GERAL_PROJ2[],5,0)),0)</calculatedColumnFormula>
    </tableColumn>
    <tableColumn id="6" xr3:uid="{00000000-0010-0000-0E00-000006000000}" name="KVA PONTO" dataDxfId="39">
      <calculatedColumnFormula>IFERROR(IF(Tabela71023[[#This Row],[PONTO]]="RAMAL",DMDI,VLOOKUP(Tabela71023[[#This Row],[PONTO]],GERAL_PROJ2[],8,0)),0)</calculatedColumnFormula>
    </tableColumn>
    <tableColumn id="7" xr3:uid="{00000000-0010-0000-0E00-000007000000}" name="ACUMULADA" dataDxfId="38">
      <calculatedColumnFormula>IFERROR(IF(Tabela71023[[#This Row],[PONTO]]="RAMAL",Tabela71023[[#This Row],[KVA PONTO]],VLOOKUP(Tabela71023[[#This Row],[PONTO]],GERAL_PROJ2[],9,0)),0)</calculatedColumnFormula>
    </tableColumn>
    <tableColumn id="9" xr3:uid="{00000000-0010-0000-0E00-000009000000}" name="CONDUTOR" dataDxfId="37">
      <calculatedColumnFormula>IFERROR(VLOOKUP(Tabela71023[[#This Row],[PONTO]],GERAL_PROJ2[],12,0),0)</calculatedColumnFormula>
    </tableColumn>
    <tableColumn id="11" xr3:uid="{00000000-0010-0000-0E00-00000B000000}" name="(A)" dataDxfId="36">
      <calculatedColumnFormula>Tabela71023[[#This Row],[Ib]]</calculatedColumnFormula>
    </tableColumn>
    <tableColumn id="13" xr3:uid="{00000000-0010-0000-0E00-00000D000000}" name="T" dataDxfId="35">
      <calculatedColumnFormula>Tabela71023[[#This Row],[TEMP_AMB]]+60*(Tabela71023[[#This Row],[Ib]]/Tabela71023[[#This Row],[Iz]])</calculatedColumnFormula>
    </tableColumn>
    <tableColumn id="14" xr3:uid="{00000000-0010-0000-0E00-00000E000000}" name="R CORR" dataDxfId="34">
      <calculatedColumnFormula>(VLOOKUP(Tabela71023[[#This Row],[CONDUTOR]],CABOS[],3,0)/VLOOKUP(Tabela71023[[#This Row],[CONDUTOR]],CABOS[],6,0))*(1+VLOOKUP(Tabela71023[[#This Row],[CONDUTOR]],CABOS[],5,0)*(Tabela71023[[#This Row],[T]]-20))</calculatedColumnFormula>
    </tableColumn>
    <tableColumn id="12" xr3:uid="{00000000-0010-0000-0E00-00000C000000}" name="QT-PONTO" dataDxfId="33">
      <calculatedColumnFormula>IFERROR(IF(Tabela71023[[#This Row],[FASE]]="MONO",6,IF(Tabela71023[[#This Row],[FASE]]="BIF",2,1))*Tabela71023[[#This Row],[ACUMULADA]]*(SQRT(Tabela71023[[#This Row],[R CORR]]^2+VLOOKUP(Tabela71023[[#This Row],[CONDUTOR]],CABOS[],4,0)^2)/(($P$7^2)/100))*Tabela71023[[#This Row],[M]]*127/100+IF(Tabela71023[[#This Row],[TRECHO]]=0,127*QT_MTTR3,0),0)</calculatedColumnFormula>
    </tableColumn>
    <tableColumn id="15" xr3:uid="{00000000-0010-0000-0E00-00000F000000}" name="Coluna1" dataDxfId="32" dataCellStyle="Porcentagem">
      <calculatedColumnFormula>SUMIF(Tabela71023[PONTO],Tabela71023[[#This Row],[TRECHO]],Tabela71023[Coluna1])+Tabela71023[[#This Row],[QT-PONTO]]</calculatedColumnFormula>
    </tableColumn>
    <tableColumn id="16" xr3:uid="{00000000-0010-0000-0E00-000010000000}" name="QT %" dataDxfId="31" dataCellStyle="Porcentagem">
      <calculatedColumnFormula>Tabela71023[[#This Row],[Coluna1]]/127</calculatedColumnFormula>
    </tableColumn>
    <tableColumn id="17" xr3:uid="{00000000-0010-0000-0E00-000011000000}" name="127" dataDxfId="30">
      <calculatedColumnFormula>127-(127*Tabela71023[[#This Row],[QT %]])</calculatedColumnFormula>
    </tableColumn>
    <tableColumn id="8" xr3:uid="{00000000-0010-0000-0E00-000008000000}" name="220" dataDxfId="29">
      <calculatedColumnFormula>220-(220*Tabela71023[[#This Row],[QT %]])</calculatedColumnFormula>
    </tableColumn>
    <tableColumn id="18" xr3:uid="{00000000-0010-0000-0E00-000012000000}" name="TEMP2" dataDxfId="28">
      <calculatedColumnFormula>IF(Tabela71023[[#This Row],[PROTECAO]]="OK","Protecao OK","Ajustar Disj/Condutor")</calculatedColumnFormula>
    </tableColumn>
    <tableColumn id="10" xr3:uid="{00000000-0010-0000-0E00-00000A000000}" name="FASE" dataDxfId="27">
      <calculatedColumnFormula>"TRI"</calculatedColumnFormula>
    </tableColumn>
    <tableColumn id="19" xr3:uid="{00000000-0010-0000-0E00-000013000000}" name="ETA" dataDxfId="26">
      <calculatedColumnFormula>1</calculatedColumnFormula>
    </tableColumn>
    <tableColumn id="20" xr3:uid="{00000000-0010-0000-0E00-000014000000}" name="METODO_INST" dataDxfId="25">
      <calculatedColumnFormula>"AEREO"</calculatedColumnFormula>
    </tableColumn>
    <tableColumn id="21" xr3:uid="{00000000-0010-0000-0E00-000015000000}" name="TEMP_AMB" dataDxfId="24">
      <calculatedColumnFormula>30</calculatedColumnFormula>
    </tableColumn>
    <tableColumn id="22" xr3:uid="{00000000-0010-0000-0E00-000016000000}" name="Ib" dataDxfId="23">
      <calculatedColumnFormula>IF(Tabela71023[[#This Row],[FASE]]="MONO",Tabela71023[[#This Row],[ACUMULADA]]*1000/(220*Tabela71023[[#This Row],[ETA]]),Tabela71023[[#This Row],[ACUMULADA]]*1000/(SQRT(3)*$P$7*Tabela71023[[#This Row],[ETA]]))</calculatedColumnFormula>
    </tableColumn>
    <tableColumn id="23" xr3:uid="{00000000-0010-0000-0E00-000017000000}" name="In" dataDxfId="22">
      <calculatedColumnFormula>VLOOKUP(Tabela71023[[#This Row],[Ib]],TabelaDisjuntores[],2,TRUE)</calculatedColumnFormula>
    </tableColumn>
    <tableColumn id="24" xr3:uid="{00000000-0010-0000-0E00-000018000000}" name="Iz" dataDxfId="21">
      <calculatedColumnFormula>VLOOKUP(Tabela71023[[#This Row],[CONDUTOR]],CABOS[],2,0)</calculatedColumnFormula>
    </tableColumn>
    <tableColumn id="25" xr3:uid="{00000000-0010-0000-0E00-000019000000}" name="PROTECAO" dataDxfId="20">
      <calculatedColumnFormula>IF(AND(Tabela71023[[#This Row],[Ib]]&lt;=Tabela71023[[#This Row],[In]],Tabela71023[[#This Row],[In]]&lt;=Tabela71023[[#This Row],[Iz]]),"OK","VERIFICAR")</calculatedColumnFormula>
    </tableColumn>
    <tableColumn id="26" xr3:uid="{00000000-0010-0000-0E00-00001A000000}" name="Coluna2" dataDxfId="19">
      <calculatedColumnFormula>IFERROR(SQRT((Tabela71023[[#This Row],[X]]-$AC$4)^2+(Tabela71023[[#This Row],[Y]]-$AC$5)^2),0)</calculatedColumnFormula>
    </tableColumn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7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16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Y411"/>
  <sheetViews>
    <sheetView workbookViewId="0">
      <selection activeCell="E14" sqref="E14"/>
    </sheetView>
  </sheetViews>
  <sheetFormatPr defaultRowHeight="14.4" x14ac:dyDescent="0.3"/>
  <cols>
    <col min="1" max="1" width="17.77734375" bestFit="1" customWidth="1"/>
    <col min="3" max="3" width="26.5546875" style="9" bestFit="1" customWidth="1"/>
    <col min="4" max="4" width="17.44140625" style="9" bestFit="1" customWidth="1"/>
    <col min="5" max="5" width="24.44140625" bestFit="1" customWidth="1"/>
    <col min="6" max="6" width="18.77734375" bestFit="1" customWidth="1"/>
    <col min="7" max="9" width="18.77734375" customWidth="1"/>
    <col min="10" max="10" width="11.5546875" bestFit="1" customWidth="1"/>
    <col min="14" max="14" width="13.44140625" customWidth="1"/>
    <col min="15" max="15" width="14" bestFit="1" customWidth="1"/>
    <col min="16" max="16" width="12" bestFit="1" customWidth="1"/>
    <col min="17" max="17" width="13.21875" customWidth="1"/>
    <col min="19" max="19" width="14.21875" customWidth="1"/>
    <col min="20" max="20" width="9" customWidth="1"/>
    <col min="21" max="21" width="10.77734375" customWidth="1"/>
    <col min="23" max="23" width="13" customWidth="1"/>
    <col min="24" max="24" width="11.88671875" customWidth="1"/>
    <col min="25" max="25" width="18" customWidth="1"/>
  </cols>
  <sheetData>
    <row r="1" spans="1:25" ht="14.4" customHeight="1" x14ac:dyDescent="0.3">
      <c r="A1" s="9" t="s">
        <v>43</v>
      </c>
      <c r="B1" s="9" t="s">
        <v>25</v>
      </c>
      <c r="C1" s="9" t="s">
        <v>44</v>
      </c>
      <c r="D1" s="9" t="s">
        <v>45</v>
      </c>
      <c r="E1" s="70" t="s">
        <v>46</v>
      </c>
      <c r="F1" s="70" t="s">
        <v>47</v>
      </c>
      <c r="G1" s="70" t="s">
        <v>48</v>
      </c>
      <c r="H1" s="70" t="s">
        <v>49</v>
      </c>
      <c r="I1" s="70" t="s">
        <v>50</v>
      </c>
      <c r="P1" t="s">
        <v>51</v>
      </c>
      <c r="Q1" t="s">
        <v>52</v>
      </c>
      <c r="S1" t="s">
        <v>53</v>
      </c>
      <c r="T1" t="s">
        <v>54</v>
      </c>
      <c r="U1" t="s">
        <v>55</v>
      </c>
      <c r="W1" t="s">
        <v>10</v>
      </c>
      <c r="X1" t="s">
        <v>56</v>
      </c>
      <c r="Y1" t="s">
        <v>57</v>
      </c>
    </row>
    <row r="2" spans="1:25" x14ac:dyDescent="0.3">
      <c r="A2" s="52" t="s">
        <v>58</v>
      </c>
      <c r="B2" s="9"/>
      <c r="C2" s="9">
        <v>1.5692999999999999</v>
      </c>
      <c r="D2" s="9">
        <v>0.10390000000000001</v>
      </c>
      <c r="E2">
        <v>4.0299999999999997E-3</v>
      </c>
      <c r="F2" s="77">
        <v>1.2821</v>
      </c>
      <c r="G2" s="52">
        <f t="shared" ref="G2:G26" si="0">IF(OR(A2="13 Al - DX",A2="13 Al - TX",A2="13 Al - QX",A2="21 Al - QX",A2="53 Al - QX"),70,90)</f>
        <v>90</v>
      </c>
      <c r="H2" s="9">
        <f t="shared" ref="H2:H26" si="1">G2-30</f>
        <v>60</v>
      </c>
      <c r="I2" s="9">
        <f t="shared" ref="I2:I26" si="2">IFERROR(B2/H2,0)</f>
        <v>0</v>
      </c>
      <c r="J2" t="s">
        <v>59</v>
      </c>
      <c r="K2">
        <v>0.92</v>
      </c>
      <c r="P2">
        <f>0</f>
        <v>0</v>
      </c>
      <c r="Q2">
        <f>0</f>
        <v>0</v>
      </c>
      <c r="S2" t="s">
        <v>60</v>
      </c>
      <c r="T2">
        <f>K2</f>
        <v>0.92</v>
      </c>
      <c r="U2" t="s">
        <v>61</v>
      </c>
      <c r="W2" t="str">
        <f>INDEX(CABOS[CONDUTORES],1)</f>
        <v>25 Al - Arm</v>
      </c>
      <c r="X2" t="str">
        <f t="shared" ref="X2:X26" si="3">IF(ISNUMBER(FIND(" Cu",W2)),"CU",IF(ISNUMBER(FIND(" Al",W2)),"AL",IF(ISNUMBER(FIND(" AA",W2)),"AA","OUTRO")))</f>
        <v>AL</v>
      </c>
      <c r="Y2" t="str">
        <f t="shared" ref="Y2:Y26" si="4">UPPER(SUBSTITUTE(SUBSTITUTE(SUBSTITUTE(SUBSTITUTE(W2," - ","_")," ","_"),"-","_"),".",""))</f>
        <v>25_AL_ARM</v>
      </c>
    </row>
    <row r="3" spans="1:25" x14ac:dyDescent="0.3">
      <c r="A3" s="52" t="s">
        <v>62</v>
      </c>
      <c r="B3" s="9"/>
      <c r="C3" s="9">
        <v>0.83879999999999999</v>
      </c>
      <c r="D3" s="9">
        <v>0.10390000000000001</v>
      </c>
      <c r="E3">
        <v>4.0299999999999997E-3</v>
      </c>
      <c r="F3" s="77">
        <v>1.2821</v>
      </c>
      <c r="G3" s="52">
        <f t="shared" si="0"/>
        <v>90</v>
      </c>
      <c r="H3" s="9">
        <f t="shared" si="1"/>
        <v>60</v>
      </c>
      <c r="I3" s="9">
        <f t="shared" si="2"/>
        <v>0</v>
      </c>
      <c r="M3" t="s">
        <v>63</v>
      </c>
      <c r="N3" t="s">
        <v>64</v>
      </c>
      <c r="P3">
        <f>6</f>
        <v>6</v>
      </c>
      <c r="Q3">
        <f>6</f>
        <v>6</v>
      </c>
      <c r="S3" t="s">
        <v>65</v>
      </c>
      <c r="T3" s="76">
        <f>K4</f>
        <v>1.83E-2</v>
      </c>
      <c r="U3" t="s">
        <v>61</v>
      </c>
      <c r="W3" t="str">
        <f>INDEX(CABOS[CONDUTORES],2)</f>
        <v>50 Al - Arm</v>
      </c>
      <c r="X3" t="str">
        <f t="shared" si="3"/>
        <v>AL</v>
      </c>
      <c r="Y3" t="str">
        <f t="shared" si="4"/>
        <v>50_AL_ARM</v>
      </c>
    </row>
    <row r="4" spans="1:25" x14ac:dyDescent="0.3">
      <c r="A4" s="52" t="s">
        <v>66</v>
      </c>
      <c r="B4" s="9">
        <v>237</v>
      </c>
      <c r="C4" s="9">
        <v>0.41970000000000002</v>
      </c>
      <c r="D4" s="9">
        <v>9.8000000000000004E-2</v>
      </c>
      <c r="E4">
        <v>4.0299999999999997E-3</v>
      </c>
      <c r="F4" s="77">
        <v>1.2821</v>
      </c>
      <c r="G4" s="52">
        <f t="shared" si="0"/>
        <v>90</v>
      </c>
      <c r="H4" s="9">
        <f t="shared" si="1"/>
        <v>60</v>
      </c>
      <c r="I4" s="9">
        <f t="shared" si="2"/>
        <v>3.95</v>
      </c>
      <c r="J4" t="s">
        <v>65</v>
      </c>
      <c r="K4" s="66">
        <v>1.83E-2</v>
      </c>
      <c r="M4" s="9">
        <v>30</v>
      </c>
      <c r="N4" s="65">
        <v>3.5000000000000003E-2</v>
      </c>
      <c r="P4">
        <f>10</f>
        <v>10</v>
      </c>
      <c r="Q4">
        <f>10</f>
        <v>10</v>
      </c>
      <c r="S4" t="s">
        <v>67</v>
      </c>
      <c r="T4" s="59">
        <f>K6</f>
        <v>225</v>
      </c>
      <c r="U4" t="s">
        <v>68</v>
      </c>
      <c r="W4" t="str">
        <f>INDEX(CABOS[CONDUTORES],3)</f>
        <v>95 Al - Arm</v>
      </c>
      <c r="X4" t="str">
        <f t="shared" si="3"/>
        <v>AL</v>
      </c>
      <c r="Y4" t="str">
        <f t="shared" si="4"/>
        <v>95_AL_ARM</v>
      </c>
    </row>
    <row r="5" spans="1:25" x14ac:dyDescent="0.3">
      <c r="A5" s="52" t="s">
        <v>69</v>
      </c>
      <c r="B5" s="9"/>
      <c r="C5" s="9">
        <v>0.26600000000000001</v>
      </c>
      <c r="D5" s="9">
        <v>9.6000000000000002E-2</v>
      </c>
      <c r="E5">
        <v>4.0299999999999997E-3</v>
      </c>
      <c r="F5" s="77">
        <v>1.2821</v>
      </c>
      <c r="G5" s="52">
        <f t="shared" si="0"/>
        <v>90</v>
      </c>
      <c r="H5" s="9">
        <f t="shared" si="1"/>
        <v>60</v>
      </c>
      <c r="I5" s="9">
        <f t="shared" si="2"/>
        <v>0</v>
      </c>
      <c r="M5" s="9">
        <v>45</v>
      </c>
      <c r="N5" s="65">
        <v>3.5000000000000003E-2</v>
      </c>
      <c r="P5">
        <f>16</f>
        <v>16</v>
      </c>
      <c r="Q5">
        <f>16</f>
        <v>16</v>
      </c>
      <c r="S5" t="s">
        <v>70</v>
      </c>
      <c r="T5" s="59">
        <f>K7</f>
        <v>101.95599999999999</v>
      </c>
      <c r="U5" t="s">
        <v>68</v>
      </c>
      <c r="W5" t="str">
        <f>INDEX(CABOS[CONDUTORES],4)</f>
        <v>150 Al - Arm</v>
      </c>
      <c r="X5" t="str">
        <f t="shared" si="3"/>
        <v>AL</v>
      </c>
      <c r="Y5" t="str">
        <f t="shared" si="4"/>
        <v>150_AL_ARM</v>
      </c>
    </row>
    <row r="6" spans="1:25" x14ac:dyDescent="0.3">
      <c r="A6" s="52" t="s">
        <v>71</v>
      </c>
      <c r="B6" s="9">
        <v>395</v>
      </c>
      <c r="C6" s="9">
        <v>0.16650000000000001</v>
      </c>
      <c r="D6" s="9">
        <v>8.5800000000000001E-2</v>
      </c>
      <c r="E6">
        <v>4.0299999999999997E-3</v>
      </c>
      <c r="F6" s="77">
        <v>1.2821</v>
      </c>
      <c r="G6" s="52">
        <f t="shared" si="0"/>
        <v>90</v>
      </c>
      <c r="H6" s="9">
        <f t="shared" si="1"/>
        <v>60</v>
      </c>
      <c r="I6" s="9">
        <f t="shared" si="2"/>
        <v>6.583333333333333</v>
      </c>
      <c r="J6" t="s">
        <v>67</v>
      </c>
      <c r="K6" s="59">
        <f>GERAL!O3</f>
        <v>225</v>
      </c>
      <c r="M6" s="9">
        <v>75</v>
      </c>
      <c r="N6" s="65">
        <v>3.5000000000000003E-2</v>
      </c>
      <c r="P6">
        <f>20</f>
        <v>20</v>
      </c>
      <c r="Q6">
        <f>20</f>
        <v>20</v>
      </c>
      <c r="S6" t="s">
        <v>72</v>
      </c>
      <c r="T6" s="76">
        <f>K8</f>
        <v>1.5859822222222222E-2</v>
      </c>
      <c r="U6" t="s">
        <v>61</v>
      </c>
      <c r="W6" t="str">
        <f>INDEX(CABOS[CONDUTORES],5)</f>
        <v>240 Al - Arm</v>
      </c>
      <c r="X6" t="str">
        <f t="shared" si="3"/>
        <v>AL</v>
      </c>
      <c r="Y6" t="str">
        <f t="shared" si="4"/>
        <v>240_AL_ARM</v>
      </c>
    </row>
    <row r="7" spans="1:25" x14ac:dyDescent="0.3">
      <c r="A7" s="52" t="s">
        <v>73</v>
      </c>
      <c r="B7" s="9"/>
      <c r="C7" s="9">
        <v>1.5692999999999999</v>
      </c>
      <c r="D7" s="9">
        <v>0.109</v>
      </c>
      <c r="E7">
        <v>4.0299999999999997E-3</v>
      </c>
      <c r="F7" s="77">
        <v>1.2821</v>
      </c>
      <c r="G7" s="52">
        <f t="shared" si="0"/>
        <v>90</v>
      </c>
      <c r="H7" s="9">
        <f t="shared" si="1"/>
        <v>60</v>
      </c>
      <c r="I7" s="9">
        <f t="shared" si="2"/>
        <v>0</v>
      </c>
      <c r="J7" t="s">
        <v>70</v>
      </c>
      <c r="K7" s="59">
        <f>GERAL!I9</f>
        <v>101.95599999999999</v>
      </c>
      <c r="M7" s="9">
        <v>112.5</v>
      </c>
      <c r="N7" s="65">
        <v>3.5000000000000003E-2</v>
      </c>
      <c r="P7">
        <f>25</f>
        <v>25</v>
      </c>
      <c r="Q7">
        <f>25</f>
        <v>25</v>
      </c>
      <c r="S7" t="s">
        <v>74</v>
      </c>
      <c r="T7" s="76">
        <f>K10</f>
        <v>3.4159822222222219E-2</v>
      </c>
      <c r="U7" t="s">
        <v>61</v>
      </c>
      <c r="W7" t="str">
        <f>INDEX(CABOS[CONDUTORES],6)</f>
        <v>25 Al</v>
      </c>
      <c r="X7" t="str">
        <f t="shared" si="3"/>
        <v>AL</v>
      </c>
      <c r="Y7" t="str">
        <f t="shared" si="4"/>
        <v>25_AL</v>
      </c>
    </row>
    <row r="8" spans="1:25" x14ac:dyDescent="0.3">
      <c r="A8" s="52" t="s">
        <v>75</v>
      </c>
      <c r="B8" s="9"/>
      <c r="C8" s="9">
        <v>0.68869999999999998</v>
      </c>
      <c r="D8" s="9">
        <v>0.1048</v>
      </c>
      <c r="E8">
        <v>3.9300000000000003E-3</v>
      </c>
      <c r="F8" s="77">
        <v>1.2821</v>
      </c>
      <c r="G8" s="52">
        <f t="shared" si="0"/>
        <v>90</v>
      </c>
      <c r="H8" s="9">
        <f t="shared" si="1"/>
        <v>60</v>
      </c>
      <c r="I8" s="9">
        <f t="shared" si="2"/>
        <v>0</v>
      </c>
      <c r="J8" t="s">
        <v>72</v>
      </c>
      <c r="K8" s="66">
        <f>(DEM_ATUAL/TR_ATUAL)*VLOOKUP(TR_ATUAL,TRAFOS_Z[],2,0)</f>
        <v>1.5859822222222222E-2</v>
      </c>
      <c r="M8" s="9">
        <v>150</v>
      </c>
      <c r="N8" s="65">
        <v>3.5000000000000003E-2</v>
      </c>
      <c r="P8">
        <f>32</f>
        <v>32</v>
      </c>
      <c r="Q8">
        <f>32</f>
        <v>32</v>
      </c>
      <c r="W8" t="str">
        <f>INDEX(CABOS[CONDUTORES],7)</f>
        <v>35 Cu</v>
      </c>
      <c r="X8" t="str">
        <f t="shared" si="3"/>
        <v>CU</v>
      </c>
      <c r="Y8" t="str">
        <f t="shared" si="4"/>
        <v>35_CU</v>
      </c>
    </row>
    <row r="9" spans="1:25" x14ac:dyDescent="0.3">
      <c r="A9" s="52" t="s">
        <v>76</v>
      </c>
      <c r="B9" s="9"/>
      <c r="C9" s="9">
        <v>0.3523</v>
      </c>
      <c r="D9" s="9">
        <v>0.1024</v>
      </c>
      <c r="E9">
        <v>3.9300000000000003E-3</v>
      </c>
      <c r="F9" s="77">
        <v>1.2821</v>
      </c>
      <c r="G9" s="52">
        <f t="shared" si="0"/>
        <v>90</v>
      </c>
      <c r="H9" s="9">
        <f t="shared" si="1"/>
        <v>60</v>
      </c>
      <c r="I9" s="9">
        <f t="shared" si="2"/>
        <v>0</v>
      </c>
      <c r="M9" s="9">
        <v>225</v>
      </c>
      <c r="N9" s="65">
        <v>3.5000000000000003E-2</v>
      </c>
      <c r="P9">
        <f>40</f>
        <v>40</v>
      </c>
      <c r="Q9">
        <f>40</f>
        <v>40</v>
      </c>
      <c r="W9" t="str">
        <f>INDEX(CABOS[CONDUTORES],8)</f>
        <v>70 Cu</v>
      </c>
      <c r="X9" t="str">
        <f t="shared" si="3"/>
        <v>CU</v>
      </c>
      <c r="Y9" t="str">
        <f t="shared" si="4"/>
        <v>70_CU</v>
      </c>
    </row>
    <row r="10" spans="1:25" x14ac:dyDescent="0.3">
      <c r="A10" s="52" t="s">
        <v>77</v>
      </c>
      <c r="B10" s="9"/>
      <c r="C10" s="9">
        <v>0.41949999999999998</v>
      </c>
      <c r="D10" s="9">
        <v>9.5799999999999996E-2</v>
      </c>
      <c r="E10">
        <v>4.0299999999999997E-3</v>
      </c>
      <c r="F10" s="77">
        <v>1.2821</v>
      </c>
      <c r="G10" s="52">
        <f t="shared" si="0"/>
        <v>90</v>
      </c>
      <c r="H10" s="9">
        <f t="shared" si="1"/>
        <v>60</v>
      </c>
      <c r="I10" s="9">
        <f t="shared" si="2"/>
        <v>0</v>
      </c>
      <c r="J10" t="s">
        <v>74</v>
      </c>
      <c r="K10" s="66">
        <f>QT_MT+QT_TR</f>
        <v>3.4159822222222219E-2</v>
      </c>
      <c r="M10" s="9">
        <v>300</v>
      </c>
      <c r="N10" s="65">
        <v>3.5000000000000003E-2</v>
      </c>
      <c r="P10">
        <f>50</f>
        <v>50</v>
      </c>
      <c r="Q10">
        <f>50</f>
        <v>50</v>
      </c>
      <c r="W10" t="str">
        <f>INDEX(CABOS[CONDUTORES],9)</f>
        <v>95 Al</v>
      </c>
      <c r="X10" t="str">
        <f t="shared" si="3"/>
        <v>AL</v>
      </c>
      <c r="Y10" t="str">
        <f t="shared" si="4"/>
        <v>95_AL</v>
      </c>
    </row>
    <row r="11" spans="1:25" x14ac:dyDescent="0.3">
      <c r="A11" s="52" t="s">
        <v>78</v>
      </c>
      <c r="B11" s="9"/>
      <c r="C11" s="9">
        <v>0.20230000000000001</v>
      </c>
      <c r="D11" s="9">
        <v>9.7100000000000006E-2</v>
      </c>
      <c r="E11">
        <v>3.9300000000000003E-3</v>
      </c>
      <c r="F11" s="77">
        <v>1.2821</v>
      </c>
      <c r="G11" s="52">
        <f t="shared" si="0"/>
        <v>90</v>
      </c>
      <c r="H11" s="9">
        <f t="shared" si="1"/>
        <v>60</v>
      </c>
      <c r="I11" s="9">
        <f t="shared" si="2"/>
        <v>0</v>
      </c>
      <c r="P11">
        <f>63</f>
        <v>63</v>
      </c>
      <c r="Q11">
        <f>63</f>
        <v>63</v>
      </c>
      <c r="W11" t="str">
        <f>INDEX(CABOS[CONDUTORES],10)</f>
        <v>120 Cu</v>
      </c>
      <c r="X11" t="str">
        <f t="shared" si="3"/>
        <v>CU</v>
      </c>
      <c r="Y11" t="str">
        <f t="shared" si="4"/>
        <v>120_CU</v>
      </c>
    </row>
    <row r="12" spans="1:25" x14ac:dyDescent="0.3">
      <c r="A12" s="52" t="s">
        <v>79</v>
      </c>
      <c r="B12" s="9">
        <v>476</v>
      </c>
      <c r="C12" s="9">
        <v>0.1663</v>
      </c>
      <c r="D12" s="9">
        <v>8.9700000000000002E-2</v>
      </c>
      <c r="E12">
        <v>4.0299999999999997E-3</v>
      </c>
      <c r="F12" s="77">
        <v>1.2821</v>
      </c>
      <c r="G12" s="52">
        <f t="shared" si="0"/>
        <v>90</v>
      </c>
      <c r="H12" s="9">
        <f t="shared" si="1"/>
        <v>60</v>
      </c>
      <c r="I12" s="9">
        <f t="shared" si="2"/>
        <v>7.9333333333333336</v>
      </c>
      <c r="P12">
        <f>80</f>
        <v>80</v>
      </c>
      <c r="Q12">
        <f>80</f>
        <v>80</v>
      </c>
      <c r="W12" t="str">
        <f>INDEX(CABOS[CONDUTORES],11)</f>
        <v>240 Al</v>
      </c>
      <c r="X12" t="str">
        <f t="shared" si="3"/>
        <v>AL</v>
      </c>
      <c r="Y12" t="str">
        <f t="shared" si="4"/>
        <v>240_AL</v>
      </c>
    </row>
    <row r="13" spans="1:25" x14ac:dyDescent="0.3">
      <c r="A13" s="52" t="s">
        <v>80</v>
      </c>
      <c r="B13" s="9">
        <v>430</v>
      </c>
      <c r="C13" s="9">
        <v>0.10349999999999999</v>
      </c>
      <c r="D13" s="9">
        <v>8.9700000000000002E-2</v>
      </c>
      <c r="E13">
        <v>3.9300000000000003E-3</v>
      </c>
      <c r="F13" s="77">
        <v>1.2821</v>
      </c>
      <c r="G13" s="52">
        <f t="shared" si="0"/>
        <v>90</v>
      </c>
      <c r="H13" s="9">
        <f t="shared" si="1"/>
        <v>60</v>
      </c>
      <c r="I13" s="9">
        <f t="shared" si="2"/>
        <v>7.166666666666667</v>
      </c>
      <c r="M13">
        <v>220</v>
      </c>
      <c r="P13">
        <f>100</f>
        <v>100</v>
      </c>
      <c r="Q13">
        <f>100</f>
        <v>100</v>
      </c>
      <c r="W13" t="str">
        <f>INDEX(CABOS[CONDUTORES],12)</f>
        <v>240 Cu</v>
      </c>
      <c r="X13" t="str">
        <f t="shared" si="3"/>
        <v>CU</v>
      </c>
      <c r="Y13" t="str">
        <f t="shared" si="4"/>
        <v>240_CU</v>
      </c>
    </row>
    <row r="14" spans="1:25" x14ac:dyDescent="0.3">
      <c r="A14" s="52" t="s">
        <v>81</v>
      </c>
      <c r="B14" s="9"/>
      <c r="C14" s="9">
        <v>5.6800000000000003E-2</v>
      </c>
      <c r="D14" s="9">
        <v>8.4900000000000003E-2</v>
      </c>
      <c r="E14">
        <v>3.9300000000000003E-3</v>
      </c>
      <c r="F14" s="77">
        <v>1.2821</v>
      </c>
      <c r="G14" s="52">
        <f t="shared" si="0"/>
        <v>90</v>
      </c>
      <c r="H14" s="9">
        <f t="shared" si="1"/>
        <v>60</v>
      </c>
      <c r="I14" s="9">
        <f t="shared" si="2"/>
        <v>0</v>
      </c>
      <c r="M14">
        <f>T_LINHA_TRF/SQRT(3)</f>
        <v>127.01705922171767</v>
      </c>
      <c r="P14">
        <f>125</f>
        <v>125</v>
      </c>
      <c r="Q14">
        <f>125</f>
        <v>125</v>
      </c>
      <c r="W14" t="str">
        <f>INDEX(CABOS[CONDUTORES],13)</f>
        <v>500 Cu</v>
      </c>
      <c r="X14" t="str">
        <f t="shared" si="3"/>
        <v>CU</v>
      </c>
      <c r="Y14" t="str">
        <f t="shared" si="4"/>
        <v>500_CU</v>
      </c>
    </row>
    <row r="15" spans="1:25" x14ac:dyDescent="0.3">
      <c r="A15" s="52" t="s">
        <v>82</v>
      </c>
      <c r="B15" s="9">
        <v>63</v>
      </c>
      <c r="C15" s="9">
        <v>2.3801000000000001</v>
      </c>
      <c r="D15" s="9">
        <v>0.10100000000000001</v>
      </c>
      <c r="E15">
        <v>4.0299999999999997E-3</v>
      </c>
      <c r="F15" s="77">
        <v>1.2821</v>
      </c>
      <c r="G15" s="52">
        <f t="shared" si="0"/>
        <v>90</v>
      </c>
      <c r="H15" s="9">
        <f t="shared" si="1"/>
        <v>60</v>
      </c>
      <c r="I15" s="9">
        <f t="shared" si="2"/>
        <v>1.05</v>
      </c>
      <c r="J15" t="s">
        <v>83</v>
      </c>
      <c r="K15" s="59">
        <f>'GERAL PROJ'!O3</f>
        <v>112.5</v>
      </c>
      <c r="P15">
        <f>160</f>
        <v>160</v>
      </c>
      <c r="Q15">
        <f>160</f>
        <v>160</v>
      </c>
      <c r="W15" t="str">
        <f>INDEX(CABOS[CONDUTORES],14)</f>
        <v>10 Cu_CONC_bi</v>
      </c>
      <c r="X15" t="str">
        <f t="shared" si="3"/>
        <v>CU</v>
      </c>
      <c r="Y15" t="str">
        <f t="shared" si="4"/>
        <v>10_CU_CONC_BI</v>
      </c>
    </row>
    <row r="16" spans="1:25" x14ac:dyDescent="0.3">
      <c r="A16" s="52" t="s">
        <v>84</v>
      </c>
      <c r="B16" s="9">
        <v>63</v>
      </c>
      <c r="C16" s="9">
        <v>2.3801000000000001</v>
      </c>
      <c r="D16" s="9">
        <v>0.10100000000000001</v>
      </c>
      <c r="E16">
        <v>4.0299999999999997E-3</v>
      </c>
      <c r="F16" s="77">
        <v>1.2821</v>
      </c>
      <c r="G16" s="52">
        <f t="shared" si="0"/>
        <v>90</v>
      </c>
      <c r="H16" s="9">
        <f t="shared" si="1"/>
        <v>60</v>
      </c>
      <c r="I16" s="9">
        <f t="shared" si="2"/>
        <v>1.05</v>
      </c>
      <c r="J16" t="s">
        <v>85</v>
      </c>
      <c r="K16" s="59">
        <f>RAMAL!AC24</f>
        <v>71.965599999999995</v>
      </c>
      <c r="P16">
        <f>200</f>
        <v>200</v>
      </c>
      <c r="Q16">
        <f>200</f>
        <v>200</v>
      </c>
      <c r="W16" t="str">
        <f>INDEX(CABOS[CONDUTORES],15)</f>
        <v>10 Cu_CONC_Tri</v>
      </c>
      <c r="X16" t="str">
        <f t="shared" si="3"/>
        <v>CU</v>
      </c>
      <c r="Y16" t="str">
        <f t="shared" si="4"/>
        <v>10_CU_CONC_TRI</v>
      </c>
    </row>
    <row r="17" spans="1:25" x14ac:dyDescent="0.3">
      <c r="A17" s="52" t="s">
        <v>86</v>
      </c>
      <c r="B17" s="9">
        <v>63</v>
      </c>
      <c r="C17" s="9">
        <v>2.4977999999999998</v>
      </c>
      <c r="D17" s="9">
        <v>8.5000000000000006E-2</v>
      </c>
      <c r="E17">
        <v>4.0299999999999997E-3</v>
      </c>
      <c r="F17" s="77">
        <v>1.2821</v>
      </c>
      <c r="G17" s="52">
        <f t="shared" si="0"/>
        <v>90</v>
      </c>
      <c r="H17" s="9">
        <f t="shared" si="1"/>
        <v>60</v>
      </c>
      <c r="I17" s="9">
        <f t="shared" si="2"/>
        <v>1.05</v>
      </c>
      <c r="J17" t="s">
        <v>72</v>
      </c>
      <c r="K17" s="66">
        <f>(K16/K15)*VLOOKUP(K15,TRAFOS_Z[],2,0)</f>
        <v>2.2389297777777779E-2</v>
      </c>
      <c r="P17">
        <f>250</f>
        <v>250</v>
      </c>
      <c r="Q17">
        <f>250</f>
        <v>250</v>
      </c>
      <c r="W17" t="str">
        <f>INDEX(CABOS[CONDUTORES],16)</f>
        <v>16 Al_CONC_bi</v>
      </c>
      <c r="X17" t="str">
        <f t="shared" si="3"/>
        <v>AL</v>
      </c>
      <c r="Y17" t="str">
        <f t="shared" si="4"/>
        <v>16_AL_CONC_BI</v>
      </c>
    </row>
    <row r="18" spans="1:25" x14ac:dyDescent="0.3">
      <c r="A18" s="52" t="s">
        <v>1</v>
      </c>
      <c r="B18" s="9">
        <v>63</v>
      </c>
      <c r="C18" s="9">
        <v>2.4977999999999998</v>
      </c>
      <c r="D18" s="9">
        <v>0.85</v>
      </c>
      <c r="E18">
        <v>4.0299999999999997E-3</v>
      </c>
      <c r="F18" s="77">
        <v>1.2821</v>
      </c>
      <c r="G18" s="52">
        <f t="shared" si="0"/>
        <v>90</v>
      </c>
      <c r="H18" s="9">
        <f t="shared" si="1"/>
        <v>60</v>
      </c>
      <c r="I18" s="9">
        <f t="shared" si="2"/>
        <v>1.05</v>
      </c>
      <c r="P18">
        <f>315</f>
        <v>315</v>
      </c>
      <c r="Q18">
        <f>315</f>
        <v>315</v>
      </c>
      <c r="W18" t="str">
        <f>INDEX(CABOS[CONDUTORES],17)</f>
        <v>16 Al_CONC_Tri</v>
      </c>
      <c r="X18" t="str">
        <f t="shared" si="3"/>
        <v>AL</v>
      </c>
      <c r="Y18" t="str">
        <f t="shared" si="4"/>
        <v>16_AL_CONC_TRI</v>
      </c>
    </row>
    <row r="19" spans="1:25" x14ac:dyDescent="0.3">
      <c r="A19" s="52" t="s">
        <v>87</v>
      </c>
      <c r="B19" s="9">
        <v>63</v>
      </c>
      <c r="C19" s="9">
        <v>2.6655000000000002</v>
      </c>
      <c r="D19" s="9">
        <v>0.1022</v>
      </c>
      <c r="E19">
        <v>4.0299999999999997E-3</v>
      </c>
      <c r="F19" s="77">
        <v>1.2821</v>
      </c>
      <c r="G19" s="52">
        <f t="shared" si="0"/>
        <v>70</v>
      </c>
      <c r="H19" s="9">
        <f t="shared" si="1"/>
        <v>40</v>
      </c>
      <c r="I19" s="9">
        <f t="shared" si="2"/>
        <v>1.575</v>
      </c>
      <c r="J19" t="s">
        <v>88</v>
      </c>
      <c r="K19" s="66">
        <f>QT_MT+K17</f>
        <v>4.0689297777777779E-2</v>
      </c>
      <c r="P19">
        <f>400</f>
        <v>400</v>
      </c>
      <c r="Q19">
        <f>400</f>
        <v>400</v>
      </c>
      <c r="W19" t="str">
        <f>INDEX(CABOS[CONDUTORES],18)</f>
        <v>13 Al - DX</v>
      </c>
      <c r="X19" t="str">
        <f t="shared" si="3"/>
        <v>AL</v>
      </c>
      <c r="Y19" t="str">
        <f t="shared" si="4"/>
        <v>13_AL_DX</v>
      </c>
    </row>
    <row r="20" spans="1:25" x14ac:dyDescent="0.3">
      <c r="A20" s="52" t="s">
        <v>89</v>
      </c>
      <c r="B20" s="9">
        <v>63</v>
      </c>
      <c r="C20" s="9">
        <v>2.6655000000000002</v>
      </c>
      <c r="D20" s="9">
        <v>0.1158</v>
      </c>
      <c r="E20">
        <v>4.0299999999999997E-3</v>
      </c>
      <c r="F20" s="77">
        <v>1.2821</v>
      </c>
      <c r="G20" s="52">
        <f t="shared" si="0"/>
        <v>70</v>
      </c>
      <c r="H20" s="9">
        <f t="shared" si="1"/>
        <v>40</v>
      </c>
      <c r="I20" s="9">
        <f t="shared" si="2"/>
        <v>1.575</v>
      </c>
      <c r="P20">
        <f>500</f>
        <v>500</v>
      </c>
      <c r="Q20">
        <f>500</f>
        <v>500</v>
      </c>
      <c r="W20" t="str">
        <f>INDEX(CABOS[CONDUTORES],19)</f>
        <v>13 Al - TX</v>
      </c>
      <c r="X20" t="str">
        <f t="shared" si="3"/>
        <v>AL</v>
      </c>
      <c r="Y20" t="str">
        <f t="shared" si="4"/>
        <v>13_AL_TX</v>
      </c>
    </row>
    <row r="21" spans="1:25" x14ac:dyDescent="0.3">
      <c r="A21" s="52" t="s">
        <v>90</v>
      </c>
      <c r="B21" s="9">
        <v>63</v>
      </c>
      <c r="C21" s="9">
        <v>2.6655000000000002</v>
      </c>
      <c r="D21" s="9">
        <v>0.1384</v>
      </c>
      <c r="E21">
        <v>4.0299999999999997E-3</v>
      </c>
      <c r="F21" s="77">
        <v>1.2821</v>
      </c>
      <c r="G21" s="52">
        <f t="shared" si="0"/>
        <v>70</v>
      </c>
      <c r="H21" s="9">
        <f t="shared" si="1"/>
        <v>40</v>
      </c>
      <c r="I21" s="9">
        <f t="shared" si="2"/>
        <v>1.575</v>
      </c>
      <c r="P21">
        <f>630</f>
        <v>630</v>
      </c>
      <c r="Q21">
        <f>630</f>
        <v>630</v>
      </c>
      <c r="W21" t="str">
        <f>INDEX(CABOS[CONDUTORES],20)</f>
        <v>13 Al - QX</v>
      </c>
      <c r="X21" t="str">
        <f t="shared" si="3"/>
        <v>AL</v>
      </c>
      <c r="Y21" t="str">
        <f t="shared" si="4"/>
        <v>13_AL_QX</v>
      </c>
    </row>
    <row r="22" spans="1:25" x14ac:dyDescent="0.3">
      <c r="A22" s="52" t="s">
        <v>91</v>
      </c>
      <c r="B22" s="9">
        <v>63</v>
      </c>
      <c r="C22" s="9">
        <v>1.677</v>
      </c>
      <c r="D22" s="9">
        <v>0.13500000000000001</v>
      </c>
      <c r="E22">
        <v>4.0299999999999997E-3</v>
      </c>
      <c r="F22" s="77">
        <v>1.2821</v>
      </c>
      <c r="G22" s="52">
        <f t="shared" si="0"/>
        <v>70</v>
      </c>
      <c r="H22" s="9">
        <f t="shared" si="1"/>
        <v>40</v>
      </c>
      <c r="I22" s="9">
        <f t="shared" si="2"/>
        <v>1.575</v>
      </c>
      <c r="J22" t="s">
        <v>92</v>
      </c>
      <c r="K22" s="59">
        <f>'GERAL PROJ2'!O3</f>
        <v>75</v>
      </c>
      <c r="W22" t="str">
        <f>INDEX(CABOS[CONDUTORES],21)</f>
        <v>21 Al - QX</v>
      </c>
      <c r="X22" t="str">
        <f t="shared" si="3"/>
        <v>AL</v>
      </c>
      <c r="Y22" t="str">
        <f t="shared" si="4"/>
        <v>21_AL_QX</v>
      </c>
    </row>
    <row r="23" spans="1:25" x14ac:dyDescent="0.3">
      <c r="A23" s="52" t="s">
        <v>93</v>
      </c>
      <c r="B23" s="9">
        <v>63</v>
      </c>
      <c r="C23" s="9">
        <v>0.66410000000000002</v>
      </c>
      <c r="D23" s="9">
        <v>0.13109999999999999</v>
      </c>
      <c r="E23">
        <v>4.0299999999999997E-3</v>
      </c>
      <c r="F23" s="77">
        <v>1.2821</v>
      </c>
      <c r="G23" s="52">
        <f t="shared" si="0"/>
        <v>70</v>
      </c>
      <c r="H23" s="9">
        <f t="shared" si="1"/>
        <v>40</v>
      </c>
      <c r="I23" s="9">
        <f t="shared" si="2"/>
        <v>1.575</v>
      </c>
      <c r="J23" t="s">
        <v>94</v>
      </c>
      <c r="K23" s="59" t="str">
        <f>RAMAL!AE24</f>
        <v/>
      </c>
      <c r="W23" t="str">
        <f>INDEX(CABOS[CONDUTORES],22)</f>
        <v>53 Al - QX</v>
      </c>
      <c r="X23" t="str">
        <f t="shared" si="3"/>
        <v>AL</v>
      </c>
      <c r="Y23" t="str">
        <f t="shared" si="4"/>
        <v>53_AL_QX</v>
      </c>
    </row>
    <row r="24" spans="1:25" x14ac:dyDescent="0.3">
      <c r="A24" s="52" t="s">
        <v>95</v>
      </c>
      <c r="B24" s="9">
        <v>202</v>
      </c>
      <c r="C24" s="9">
        <v>0.56969999999999998</v>
      </c>
      <c r="D24" s="9">
        <v>0.126</v>
      </c>
      <c r="E24">
        <v>4.0299999999999997E-3</v>
      </c>
      <c r="F24" s="77">
        <v>1.2821</v>
      </c>
      <c r="G24" s="52">
        <f t="shared" si="0"/>
        <v>90</v>
      </c>
      <c r="H24" s="9">
        <f t="shared" si="1"/>
        <v>60</v>
      </c>
      <c r="I24" s="9">
        <f t="shared" si="2"/>
        <v>3.3666666666666667</v>
      </c>
      <c r="J24" t="s">
        <v>72</v>
      </c>
      <c r="K24" s="66" t="e">
        <f>(K23/K22)*VLOOKUP(K22,TRAFOS_Z[],2,0)</f>
        <v>#VALUE!</v>
      </c>
      <c r="W24" t="str">
        <f>INDEX(CABOS[CONDUTORES],23)</f>
        <v>70 Al - MX</v>
      </c>
      <c r="X24" t="str">
        <f t="shared" si="3"/>
        <v>AL</v>
      </c>
      <c r="Y24" t="str">
        <f t="shared" si="4"/>
        <v>70_AL_MX</v>
      </c>
    </row>
    <row r="25" spans="1:25" x14ac:dyDescent="0.3">
      <c r="A25" s="52" t="s">
        <v>96</v>
      </c>
      <c r="B25" s="9">
        <v>355</v>
      </c>
      <c r="C25" s="9">
        <v>0.2404</v>
      </c>
      <c r="D25" s="9">
        <v>0.1178</v>
      </c>
      <c r="E25">
        <v>4.0299999999999997E-3</v>
      </c>
      <c r="F25" s="77">
        <v>1.4368000000000001</v>
      </c>
      <c r="G25" s="52">
        <f t="shared" si="0"/>
        <v>90</v>
      </c>
      <c r="H25" s="9">
        <f t="shared" si="1"/>
        <v>60</v>
      </c>
      <c r="I25" s="9">
        <f t="shared" si="2"/>
        <v>5.916666666666667</v>
      </c>
      <c r="W25" t="str">
        <f>INDEX(CABOS[CONDUTORES],24)</f>
        <v>185 Al - MX</v>
      </c>
      <c r="X25" t="str">
        <f t="shared" si="3"/>
        <v>AL</v>
      </c>
      <c r="Y25" t="str">
        <f t="shared" si="4"/>
        <v>185_AL_MX</v>
      </c>
    </row>
    <row r="26" spans="1:25" x14ac:dyDescent="0.3">
      <c r="A26" s="52" t="s">
        <v>97</v>
      </c>
      <c r="B26" s="9">
        <v>473</v>
      </c>
      <c r="C26" s="9">
        <v>0.16300000000000001</v>
      </c>
      <c r="D26" s="9">
        <v>9.0300000000000005E-2</v>
      </c>
      <c r="E26">
        <v>4.0299999999999997E-3</v>
      </c>
      <c r="F26" s="77">
        <v>1.2821</v>
      </c>
      <c r="G26" s="52">
        <f t="shared" si="0"/>
        <v>90</v>
      </c>
      <c r="H26" s="9">
        <f t="shared" si="1"/>
        <v>60</v>
      </c>
      <c r="I26" s="9">
        <f t="shared" si="2"/>
        <v>7.8833333333333337</v>
      </c>
      <c r="J26" t="s">
        <v>98</v>
      </c>
      <c r="K26" s="66" t="e">
        <f>QT_MT+K24</f>
        <v>#VALUE!</v>
      </c>
      <c r="W26" t="str">
        <f>INDEX(CABOS[CONDUTORES],25)</f>
        <v>240 Al - MX</v>
      </c>
      <c r="X26" t="str">
        <f t="shared" si="3"/>
        <v>AL</v>
      </c>
      <c r="Y26" t="str">
        <f t="shared" si="4"/>
        <v>240_AL_MX</v>
      </c>
    </row>
    <row r="27" spans="1:25" x14ac:dyDescent="0.3">
      <c r="P27" t="s">
        <v>99</v>
      </c>
      <c r="Q27" t="s">
        <v>100</v>
      </c>
    </row>
    <row r="28" spans="1:25" ht="15.6" customHeight="1" x14ac:dyDescent="0.3">
      <c r="N28" s="84" t="s">
        <v>101</v>
      </c>
      <c r="O28" s="85" t="s">
        <v>102</v>
      </c>
      <c r="P28" s="86"/>
      <c r="Q28" s="85"/>
      <c r="S28" t="s">
        <v>103</v>
      </c>
    </row>
    <row r="29" spans="1:25" ht="15" customHeight="1" x14ac:dyDescent="0.3">
      <c r="N29" s="81" t="s">
        <v>104</v>
      </c>
      <c r="O29" s="80">
        <v>56371.129000000001</v>
      </c>
      <c r="Q29" s="80">
        <f>P29*O29</f>
        <v>0</v>
      </c>
      <c r="S29" s="88">
        <f>SUM(Q29:Q58)</f>
        <v>39745.57</v>
      </c>
    </row>
    <row r="30" spans="1:25" ht="17.399999999999999" customHeight="1" x14ac:dyDescent="0.35">
      <c r="A30" s="9" t="s">
        <v>105</v>
      </c>
      <c r="B30" t="s">
        <v>68</v>
      </c>
      <c r="C30" s="89" t="s">
        <v>106</v>
      </c>
      <c r="D30" s="89" t="s">
        <v>107</v>
      </c>
      <c r="E30" s="89" t="s">
        <v>108</v>
      </c>
      <c r="F30" s="89" t="s">
        <v>109</v>
      </c>
      <c r="G30" s="154"/>
      <c r="H30" s="154"/>
      <c r="I30" s="154"/>
      <c r="N30" s="81" t="s">
        <v>110</v>
      </c>
      <c r="O30" s="80">
        <v>110481.129</v>
      </c>
      <c r="Q30" s="80">
        <f>P30*O30</f>
        <v>0</v>
      </c>
    </row>
    <row r="31" spans="1:25" ht="15" customHeight="1" x14ac:dyDescent="0.3">
      <c r="A31" s="9">
        <v>20</v>
      </c>
      <c r="B31">
        <v>1.62</v>
      </c>
      <c r="C31" s="90">
        <v>1</v>
      </c>
      <c r="D31" s="91">
        <f>RAMAL!AB35</f>
        <v>2.84</v>
      </c>
      <c r="E31" s="90">
        <v>3.88</v>
      </c>
      <c r="F31" s="92">
        <f t="shared" ref="F31:F94" si="5">D31*E31</f>
        <v>11.0192</v>
      </c>
      <c r="G31" s="93"/>
      <c r="H31" s="93"/>
      <c r="I31" s="93"/>
      <c r="N31" s="81" t="s">
        <v>111</v>
      </c>
      <c r="O31" s="80">
        <v>68591.91</v>
      </c>
      <c r="Q31" s="80">
        <f>P31*O31</f>
        <v>0</v>
      </c>
    </row>
    <row r="32" spans="1:25" ht="15" customHeight="1" x14ac:dyDescent="0.3">
      <c r="A32" s="9">
        <v>21</v>
      </c>
      <c r="B32">
        <v>1.62</v>
      </c>
      <c r="C32" s="90">
        <v>2</v>
      </c>
      <c r="D32" s="90">
        <f t="shared" ref="D32:D95" si="6">D31</f>
        <v>2.84</v>
      </c>
      <c r="E32" s="90">
        <v>3.88</v>
      </c>
      <c r="F32" s="92">
        <f t="shared" si="5"/>
        <v>11.0192</v>
      </c>
      <c r="G32" s="93"/>
      <c r="H32" s="93"/>
      <c r="I32" s="93"/>
      <c r="N32" s="81" t="s">
        <v>112</v>
      </c>
      <c r="O32" s="80">
        <v>94961.91</v>
      </c>
      <c r="Q32" s="80">
        <f>P32*O32</f>
        <v>0</v>
      </c>
    </row>
    <row r="33" spans="1:17" ht="15" customHeight="1" x14ac:dyDescent="0.3">
      <c r="A33" s="9">
        <v>22</v>
      </c>
      <c r="B33">
        <v>1.62</v>
      </c>
      <c r="C33" s="90">
        <v>3</v>
      </c>
      <c r="D33" s="90">
        <f t="shared" si="6"/>
        <v>2.84</v>
      </c>
      <c r="E33" s="90">
        <v>3.88</v>
      </c>
      <c r="F33" s="92">
        <f t="shared" si="5"/>
        <v>11.0192</v>
      </c>
      <c r="G33" s="93"/>
      <c r="H33" s="93"/>
      <c r="I33" s="93"/>
      <c r="N33" s="81" t="s">
        <v>113</v>
      </c>
      <c r="O33" s="80">
        <v>110011.91</v>
      </c>
      <c r="Q33" s="80">
        <f>P33*O33</f>
        <v>0</v>
      </c>
    </row>
    <row r="34" spans="1:17" ht="15" customHeight="1" x14ac:dyDescent="0.3">
      <c r="A34" s="9">
        <v>23</v>
      </c>
      <c r="B34">
        <v>1.62</v>
      </c>
      <c r="C34" s="90">
        <v>4</v>
      </c>
      <c r="D34" s="90">
        <f t="shared" si="6"/>
        <v>2.84</v>
      </c>
      <c r="E34" s="90">
        <v>3.88</v>
      </c>
      <c r="F34" s="92">
        <f t="shared" si="5"/>
        <v>11.0192</v>
      </c>
      <c r="G34" s="93"/>
      <c r="H34" s="93"/>
      <c r="I34" s="93"/>
      <c r="N34" s="87"/>
      <c r="O34" s="86"/>
      <c r="P34" s="86"/>
      <c r="Q34" s="85"/>
    </row>
    <row r="35" spans="1:17" ht="15.6" customHeight="1" x14ac:dyDescent="0.3">
      <c r="A35" s="9">
        <v>24</v>
      </c>
      <c r="B35">
        <v>1.62</v>
      </c>
      <c r="C35" s="90">
        <v>5</v>
      </c>
      <c r="D35" s="90">
        <f t="shared" si="6"/>
        <v>2.84</v>
      </c>
      <c r="E35" s="90">
        <v>4.84</v>
      </c>
      <c r="F35" s="92">
        <f t="shared" si="5"/>
        <v>13.7456</v>
      </c>
      <c r="G35" s="93"/>
      <c r="H35" s="93"/>
      <c r="I35" s="93"/>
      <c r="N35" s="82" t="s">
        <v>114</v>
      </c>
      <c r="Q35" s="80">
        <f>P35*O35</f>
        <v>0</v>
      </c>
    </row>
    <row r="36" spans="1:17" ht="15" customHeight="1" x14ac:dyDescent="0.3">
      <c r="A36" s="9">
        <v>25</v>
      </c>
      <c r="B36">
        <v>1.62</v>
      </c>
      <c r="C36" s="90">
        <v>6</v>
      </c>
      <c r="D36" s="90">
        <f t="shared" si="6"/>
        <v>2.84</v>
      </c>
      <c r="E36" s="90">
        <v>5.8</v>
      </c>
      <c r="F36" s="92">
        <f t="shared" si="5"/>
        <v>16.471999999999998</v>
      </c>
      <c r="G36" s="93"/>
      <c r="H36" s="93"/>
      <c r="I36" s="93"/>
      <c r="N36" s="83" t="s">
        <v>115</v>
      </c>
      <c r="O36" s="80">
        <v>102973.3</v>
      </c>
      <c r="Q36" s="80">
        <f>P36*O36</f>
        <v>0</v>
      </c>
    </row>
    <row r="37" spans="1:17" ht="15" customHeight="1" x14ac:dyDescent="0.3">
      <c r="A37" s="9">
        <v>26</v>
      </c>
      <c r="B37">
        <v>1.62</v>
      </c>
      <c r="C37" s="90">
        <v>7</v>
      </c>
      <c r="D37" s="90">
        <f t="shared" si="6"/>
        <v>2.84</v>
      </c>
      <c r="E37" s="90">
        <v>6.76</v>
      </c>
      <c r="F37" s="92">
        <f t="shared" si="5"/>
        <v>19.198399999999999</v>
      </c>
      <c r="G37" s="93"/>
      <c r="H37" s="93"/>
      <c r="I37" s="93"/>
      <c r="N37" s="83" t="s">
        <v>116</v>
      </c>
      <c r="O37" s="80">
        <v>122163.3</v>
      </c>
      <c r="Q37" s="80">
        <f>P37*O37</f>
        <v>0</v>
      </c>
    </row>
    <row r="38" spans="1:17" ht="15" customHeight="1" x14ac:dyDescent="0.3">
      <c r="A38" s="9">
        <v>27</v>
      </c>
      <c r="B38">
        <v>1.62</v>
      </c>
      <c r="C38" s="90">
        <v>8</v>
      </c>
      <c r="D38" s="90">
        <f t="shared" si="6"/>
        <v>2.84</v>
      </c>
      <c r="E38" s="90">
        <v>7.72</v>
      </c>
      <c r="F38" s="92">
        <f t="shared" si="5"/>
        <v>21.924799999999998</v>
      </c>
      <c r="G38" s="93"/>
      <c r="H38" s="93"/>
      <c r="I38" s="93"/>
      <c r="N38" s="83" t="s">
        <v>117</v>
      </c>
      <c r="O38" s="80">
        <v>163793.29999999999</v>
      </c>
      <c r="Q38" s="80">
        <f>P38*O38</f>
        <v>0</v>
      </c>
    </row>
    <row r="39" spans="1:17" ht="15" customHeight="1" x14ac:dyDescent="0.3">
      <c r="A39" s="9">
        <v>28</v>
      </c>
      <c r="B39">
        <v>1.62</v>
      </c>
      <c r="C39" s="90">
        <v>9</v>
      </c>
      <c r="D39" s="90">
        <f t="shared" si="6"/>
        <v>2.84</v>
      </c>
      <c r="E39" s="90">
        <v>8.68</v>
      </c>
      <c r="F39" s="92">
        <f t="shared" si="5"/>
        <v>24.651199999999999</v>
      </c>
      <c r="G39" s="93"/>
      <c r="H39" s="93"/>
      <c r="I39" s="93"/>
      <c r="N39" s="87"/>
      <c r="O39" s="86" t="s">
        <v>63</v>
      </c>
      <c r="P39" s="86"/>
      <c r="Q39" s="85"/>
    </row>
    <row r="40" spans="1:17" x14ac:dyDescent="0.3">
      <c r="A40" s="9">
        <v>29</v>
      </c>
      <c r="B40">
        <v>1.62</v>
      </c>
      <c r="C40" s="90">
        <v>10</v>
      </c>
      <c r="D40" s="90">
        <f t="shared" si="6"/>
        <v>2.84</v>
      </c>
      <c r="E40" s="90">
        <v>9.64</v>
      </c>
      <c r="F40" s="92">
        <f t="shared" si="5"/>
        <v>27.377600000000001</v>
      </c>
      <c r="G40" s="93"/>
      <c r="H40" s="93"/>
      <c r="I40" s="93"/>
      <c r="N40" t="s">
        <v>118</v>
      </c>
      <c r="O40" s="80">
        <v>15780.16</v>
      </c>
      <c r="Q40" s="80">
        <f t="shared" ref="Q40:Q48" si="7">P40*O40</f>
        <v>0</v>
      </c>
    </row>
    <row r="41" spans="1:17" x14ac:dyDescent="0.3">
      <c r="A41" s="9">
        <v>30</v>
      </c>
      <c r="B41">
        <v>1.62</v>
      </c>
      <c r="C41" s="90">
        <v>11</v>
      </c>
      <c r="D41" s="90">
        <f t="shared" si="6"/>
        <v>2.84</v>
      </c>
      <c r="E41" s="90">
        <v>10.42</v>
      </c>
      <c r="F41" s="92">
        <f t="shared" si="5"/>
        <v>29.592799999999997</v>
      </c>
      <c r="G41" s="93"/>
      <c r="H41" s="93"/>
      <c r="I41" s="93"/>
      <c r="N41" t="s">
        <v>119</v>
      </c>
      <c r="O41" s="80">
        <v>6896.47</v>
      </c>
      <c r="Q41" s="80">
        <f t="shared" si="7"/>
        <v>0</v>
      </c>
    </row>
    <row r="42" spans="1:17" x14ac:dyDescent="0.3">
      <c r="A42" s="9">
        <v>31</v>
      </c>
      <c r="B42">
        <v>1.62</v>
      </c>
      <c r="C42" s="90">
        <v>12</v>
      </c>
      <c r="D42" s="90">
        <f t="shared" si="6"/>
        <v>2.84</v>
      </c>
      <c r="E42" s="90">
        <v>11.2</v>
      </c>
      <c r="F42" s="92">
        <f t="shared" si="5"/>
        <v>31.807999999999996</v>
      </c>
      <c r="G42" s="93"/>
      <c r="H42" s="93"/>
      <c r="I42" s="93"/>
      <c r="N42" t="s">
        <v>120</v>
      </c>
      <c r="O42" s="80">
        <v>7397.12</v>
      </c>
      <c r="Q42" s="80">
        <f t="shared" si="7"/>
        <v>0</v>
      </c>
    </row>
    <row r="43" spans="1:17" x14ac:dyDescent="0.3">
      <c r="A43" s="9">
        <v>32</v>
      </c>
      <c r="B43">
        <v>1.62</v>
      </c>
      <c r="C43" s="90">
        <v>13</v>
      </c>
      <c r="D43" s="90">
        <f t="shared" si="6"/>
        <v>2.84</v>
      </c>
      <c r="E43" s="90">
        <v>11.98</v>
      </c>
      <c r="F43" s="92">
        <f t="shared" si="5"/>
        <v>34.023200000000003</v>
      </c>
      <c r="G43" s="93"/>
      <c r="H43" s="93"/>
      <c r="I43" s="93"/>
      <c r="N43" t="s">
        <v>121</v>
      </c>
      <c r="O43" s="80">
        <v>9394.25</v>
      </c>
      <c r="Q43" s="80">
        <f t="shared" si="7"/>
        <v>0</v>
      </c>
    </row>
    <row r="44" spans="1:17" x14ac:dyDescent="0.3">
      <c r="A44" s="9">
        <v>33</v>
      </c>
      <c r="B44">
        <v>1.62</v>
      </c>
      <c r="C44" s="90">
        <v>14</v>
      </c>
      <c r="D44" s="90">
        <f t="shared" si="6"/>
        <v>2.84</v>
      </c>
      <c r="E44" s="90">
        <v>12.76</v>
      </c>
      <c r="F44" s="92">
        <f t="shared" si="5"/>
        <v>36.238399999999999</v>
      </c>
      <c r="G44" s="93"/>
      <c r="H44" s="93"/>
      <c r="I44" s="93"/>
      <c r="N44" t="s">
        <v>122</v>
      </c>
      <c r="O44" s="80">
        <v>12790.25</v>
      </c>
      <c r="Q44" s="80">
        <f t="shared" si="7"/>
        <v>0</v>
      </c>
    </row>
    <row r="45" spans="1:17" x14ac:dyDescent="0.3">
      <c r="A45" s="9">
        <v>34</v>
      </c>
      <c r="B45">
        <v>1.62</v>
      </c>
      <c r="C45" s="90">
        <v>15</v>
      </c>
      <c r="D45" s="90">
        <f t="shared" si="6"/>
        <v>2.84</v>
      </c>
      <c r="E45" s="90">
        <v>13.54</v>
      </c>
      <c r="F45" s="92">
        <f t="shared" si="5"/>
        <v>38.453599999999994</v>
      </c>
      <c r="G45" s="93"/>
      <c r="H45" s="93"/>
      <c r="I45" s="93"/>
      <c r="N45" t="s">
        <v>123</v>
      </c>
      <c r="O45" s="80">
        <v>17258.38</v>
      </c>
      <c r="Q45" s="80">
        <f t="shared" si="7"/>
        <v>0</v>
      </c>
    </row>
    <row r="46" spans="1:17" x14ac:dyDescent="0.3">
      <c r="A46" s="9">
        <v>35</v>
      </c>
      <c r="B46">
        <v>1.62</v>
      </c>
      <c r="C46" s="90">
        <v>16</v>
      </c>
      <c r="D46" s="90">
        <f t="shared" si="6"/>
        <v>2.84</v>
      </c>
      <c r="E46" s="90">
        <v>14.32</v>
      </c>
      <c r="F46" s="92">
        <f t="shared" si="5"/>
        <v>40.668799999999997</v>
      </c>
      <c r="G46" s="93"/>
      <c r="H46" s="93"/>
      <c r="I46" s="93"/>
      <c r="N46" t="s">
        <v>124</v>
      </c>
      <c r="O46" s="80">
        <v>21367.86</v>
      </c>
      <c r="Q46" s="80">
        <f t="shared" si="7"/>
        <v>0</v>
      </c>
    </row>
    <row r="47" spans="1:17" x14ac:dyDescent="0.3">
      <c r="A47" s="9">
        <v>36</v>
      </c>
      <c r="B47">
        <v>1.62</v>
      </c>
      <c r="C47" s="90">
        <v>17</v>
      </c>
      <c r="D47" s="90">
        <f t="shared" si="6"/>
        <v>2.84</v>
      </c>
      <c r="E47" s="90">
        <v>15.1</v>
      </c>
      <c r="F47" s="92">
        <f t="shared" si="5"/>
        <v>42.884</v>
      </c>
      <c r="G47" s="93"/>
      <c r="H47" s="93"/>
      <c r="I47" s="93"/>
      <c r="N47" t="s">
        <v>125</v>
      </c>
      <c r="O47" s="80">
        <v>32406.27</v>
      </c>
      <c r="Q47" s="80">
        <f t="shared" si="7"/>
        <v>0</v>
      </c>
    </row>
    <row r="48" spans="1:17" x14ac:dyDescent="0.3">
      <c r="A48" s="9">
        <v>37</v>
      </c>
      <c r="B48">
        <v>1.62</v>
      </c>
      <c r="C48" s="90">
        <v>18</v>
      </c>
      <c r="D48" s="90">
        <f t="shared" si="6"/>
        <v>2.84</v>
      </c>
      <c r="E48" s="90">
        <v>15.88</v>
      </c>
      <c r="F48" s="92">
        <f t="shared" si="5"/>
        <v>45.099200000000003</v>
      </c>
      <c r="G48" s="93"/>
      <c r="H48" s="93"/>
      <c r="I48" s="93"/>
      <c r="N48" t="s">
        <v>126</v>
      </c>
      <c r="O48" s="80">
        <v>39745.57</v>
      </c>
      <c r="P48" s="9">
        <v>1</v>
      </c>
      <c r="Q48" s="80">
        <f t="shared" si="7"/>
        <v>39745.57</v>
      </c>
    </row>
    <row r="49" spans="1:17" ht="15" customHeight="1" x14ac:dyDescent="0.3">
      <c r="A49" s="9">
        <v>38</v>
      </c>
      <c r="B49">
        <v>1.62</v>
      </c>
      <c r="C49" s="90">
        <v>19</v>
      </c>
      <c r="D49" s="90">
        <f t="shared" si="6"/>
        <v>2.84</v>
      </c>
      <c r="E49" s="90">
        <v>16.66</v>
      </c>
      <c r="F49" s="92">
        <f t="shared" si="5"/>
        <v>47.314399999999999</v>
      </c>
      <c r="G49" s="93"/>
      <c r="H49" s="93"/>
      <c r="I49" s="93"/>
      <c r="N49" s="87"/>
      <c r="O49" s="86" t="s">
        <v>127</v>
      </c>
      <c r="P49" s="86"/>
      <c r="Q49" s="85"/>
    </row>
    <row r="50" spans="1:17" x14ac:dyDescent="0.3">
      <c r="A50" s="9">
        <v>39</v>
      </c>
      <c r="B50">
        <v>1.62</v>
      </c>
      <c r="C50" s="90">
        <v>20</v>
      </c>
      <c r="D50" s="90">
        <f t="shared" si="6"/>
        <v>2.84</v>
      </c>
      <c r="E50" s="90">
        <v>17.440000000000001</v>
      </c>
      <c r="F50" s="92">
        <f t="shared" si="5"/>
        <v>49.529600000000002</v>
      </c>
      <c r="G50" s="93"/>
      <c r="H50" s="93"/>
      <c r="I50" s="93"/>
      <c r="N50" t="s">
        <v>128</v>
      </c>
    </row>
    <row r="51" spans="1:17" x14ac:dyDescent="0.3">
      <c r="A51" s="9">
        <v>40</v>
      </c>
      <c r="B51">
        <v>1.62</v>
      </c>
      <c r="C51" s="90">
        <v>21</v>
      </c>
      <c r="D51" s="90">
        <f t="shared" si="6"/>
        <v>2.84</v>
      </c>
      <c r="E51" s="90">
        <v>18.05</v>
      </c>
      <c r="F51" s="92">
        <f t="shared" si="5"/>
        <v>51.262</v>
      </c>
      <c r="G51" s="93"/>
      <c r="H51" s="93"/>
      <c r="I51" s="93"/>
      <c r="N51" t="s">
        <v>129</v>
      </c>
      <c r="O51" s="80">
        <v>129055.2648</v>
      </c>
      <c r="Q51" s="80">
        <f t="shared" ref="Q51:Q58" si="8">P51*O51</f>
        <v>0</v>
      </c>
    </row>
    <row r="52" spans="1:17" x14ac:dyDescent="0.3">
      <c r="A52" s="9">
        <v>41</v>
      </c>
      <c r="B52">
        <v>1.62</v>
      </c>
      <c r="C52" s="90">
        <v>22</v>
      </c>
      <c r="D52" s="90">
        <f t="shared" si="6"/>
        <v>2.84</v>
      </c>
      <c r="E52" s="90">
        <v>18.66</v>
      </c>
      <c r="F52" s="92">
        <f t="shared" si="5"/>
        <v>52.994399999999999</v>
      </c>
      <c r="G52" s="93"/>
      <c r="H52" s="93"/>
      <c r="I52" s="93"/>
      <c r="N52" t="s">
        <v>130</v>
      </c>
      <c r="O52" s="80">
        <v>138814.14499999999</v>
      </c>
      <c r="Q52" s="80">
        <f t="shared" si="8"/>
        <v>0</v>
      </c>
    </row>
    <row r="53" spans="1:17" x14ac:dyDescent="0.3">
      <c r="A53" s="9">
        <v>42</v>
      </c>
      <c r="B53">
        <v>1.62</v>
      </c>
      <c r="C53" s="90">
        <v>23</v>
      </c>
      <c r="D53" s="90">
        <f t="shared" si="6"/>
        <v>2.84</v>
      </c>
      <c r="E53" s="90">
        <v>19.27</v>
      </c>
      <c r="F53" s="92">
        <f t="shared" si="5"/>
        <v>54.726799999999997</v>
      </c>
      <c r="G53" s="93"/>
      <c r="H53" s="93"/>
      <c r="I53" s="93"/>
      <c r="N53" t="s">
        <v>131</v>
      </c>
      <c r="O53" s="80">
        <v>168904.14499999999</v>
      </c>
      <c r="Q53" s="80">
        <f t="shared" si="8"/>
        <v>0</v>
      </c>
    </row>
    <row r="54" spans="1:17" x14ac:dyDescent="0.3">
      <c r="A54" s="9">
        <v>43</v>
      </c>
      <c r="B54">
        <v>1.64</v>
      </c>
      <c r="C54" s="90">
        <v>24</v>
      </c>
      <c r="D54" s="90">
        <f t="shared" si="6"/>
        <v>2.84</v>
      </c>
      <c r="E54" s="90">
        <v>19.88</v>
      </c>
      <c r="F54" s="92">
        <f t="shared" si="5"/>
        <v>56.459199999999996</v>
      </c>
      <c r="G54" s="93"/>
      <c r="H54" s="93"/>
      <c r="I54" s="93"/>
      <c r="N54" t="s">
        <v>132</v>
      </c>
      <c r="O54" s="80">
        <v>317932.01809999999</v>
      </c>
      <c r="Q54" s="80">
        <f t="shared" si="8"/>
        <v>0</v>
      </c>
    </row>
    <row r="55" spans="1:17" x14ac:dyDescent="0.3">
      <c r="A55" s="9">
        <v>44</v>
      </c>
      <c r="B55">
        <v>1.68</v>
      </c>
      <c r="C55" s="90">
        <v>25</v>
      </c>
      <c r="D55" s="90">
        <f t="shared" si="6"/>
        <v>2.84</v>
      </c>
      <c r="E55" s="90">
        <v>20.49</v>
      </c>
      <c r="F55" s="92">
        <f t="shared" si="5"/>
        <v>58.191599999999994</v>
      </c>
      <c r="G55" s="93"/>
      <c r="H55" s="93"/>
      <c r="I55" s="93"/>
      <c r="O55" s="80"/>
      <c r="Q55" s="80">
        <f t="shared" si="8"/>
        <v>0</v>
      </c>
    </row>
    <row r="56" spans="1:17" x14ac:dyDescent="0.3">
      <c r="A56" s="9">
        <v>45</v>
      </c>
      <c r="B56">
        <v>1.72</v>
      </c>
      <c r="C56" s="90">
        <v>26</v>
      </c>
      <c r="D56" s="90">
        <f t="shared" si="6"/>
        <v>2.84</v>
      </c>
      <c r="E56" s="90">
        <v>21.1</v>
      </c>
      <c r="F56" s="92">
        <f t="shared" si="5"/>
        <v>59.923999999999999</v>
      </c>
      <c r="G56" s="93"/>
      <c r="H56" s="93"/>
      <c r="I56" s="93"/>
      <c r="N56" t="s">
        <v>133</v>
      </c>
      <c r="O56" s="80"/>
      <c r="Q56" s="80">
        <f t="shared" si="8"/>
        <v>0</v>
      </c>
    </row>
    <row r="57" spans="1:17" x14ac:dyDescent="0.3">
      <c r="A57" s="9">
        <v>46</v>
      </c>
      <c r="B57">
        <v>1.75</v>
      </c>
      <c r="C57" s="90">
        <v>27</v>
      </c>
      <c r="D57" s="90">
        <f t="shared" si="6"/>
        <v>2.84</v>
      </c>
      <c r="E57" s="90">
        <v>21.71</v>
      </c>
      <c r="F57" s="92">
        <f t="shared" si="5"/>
        <v>61.656399999999998</v>
      </c>
      <c r="G57" s="93"/>
      <c r="H57" s="93"/>
      <c r="I57" s="93"/>
      <c r="N57" t="s">
        <v>129</v>
      </c>
      <c r="O57" s="80">
        <v>82273.600000000006</v>
      </c>
      <c r="Q57" s="80">
        <f t="shared" si="8"/>
        <v>0</v>
      </c>
    </row>
    <row r="58" spans="1:17" x14ac:dyDescent="0.3">
      <c r="A58" s="9">
        <v>47</v>
      </c>
      <c r="B58">
        <v>1.79</v>
      </c>
      <c r="C58" s="90">
        <v>28</v>
      </c>
      <c r="D58" s="90">
        <f t="shared" si="6"/>
        <v>2.84</v>
      </c>
      <c r="E58" s="90">
        <v>22.32</v>
      </c>
      <c r="F58" s="92">
        <f t="shared" si="5"/>
        <v>63.388799999999996</v>
      </c>
      <c r="G58" s="93"/>
      <c r="H58" s="93"/>
      <c r="I58" s="93"/>
      <c r="N58" t="s">
        <v>131</v>
      </c>
      <c r="O58" s="80">
        <v>134083</v>
      </c>
      <c r="Q58" s="80">
        <f t="shared" si="8"/>
        <v>0</v>
      </c>
    </row>
    <row r="59" spans="1:17" x14ac:dyDescent="0.3">
      <c r="A59" s="9">
        <v>48</v>
      </c>
      <c r="B59">
        <v>1.81</v>
      </c>
      <c r="C59" s="90">
        <v>29</v>
      </c>
      <c r="D59" s="90">
        <f t="shared" si="6"/>
        <v>2.84</v>
      </c>
      <c r="E59" s="90">
        <v>22.93</v>
      </c>
      <c r="F59" s="92">
        <f t="shared" si="5"/>
        <v>65.121200000000002</v>
      </c>
      <c r="G59" s="93"/>
      <c r="H59" s="93"/>
      <c r="I59" s="93"/>
    </row>
    <row r="60" spans="1:17" x14ac:dyDescent="0.3">
      <c r="A60" s="9">
        <v>49</v>
      </c>
      <c r="B60">
        <v>1.85</v>
      </c>
      <c r="C60" s="90">
        <v>30</v>
      </c>
      <c r="D60" s="90">
        <f t="shared" si="6"/>
        <v>2.84</v>
      </c>
      <c r="E60" s="90">
        <v>23.54</v>
      </c>
      <c r="F60" s="92">
        <f t="shared" si="5"/>
        <v>66.8536</v>
      </c>
      <c r="G60" s="93"/>
      <c r="H60" s="93"/>
      <c r="I60" s="93"/>
    </row>
    <row r="61" spans="1:17" x14ac:dyDescent="0.3">
      <c r="A61" s="9">
        <v>50</v>
      </c>
      <c r="B61">
        <v>1.88</v>
      </c>
      <c r="C61" s="90">
        <v>31</v>
      </c>
      <c r="D61" s="90">
        <f t="shared" si="6"/>
        <v>2.84</v>
      </c>
      <c r="E61" s="90">
        <v>24.14</v>
      </c>
      <c r="F61" s="92">
        <f t="shared" si="5"/>
        <v>68.557599999999994</v>
      </c>
      <c r="G61" s="93"/>
      <c r="H61" s="93"/>
      <c r="I61" s="93"/>
    </row>
    <row r="62" spans="1:17" x14ac:dyDescent="0.3">
      <c r="A62" s="9">
        <v>51</v>
      </c>
      <c r="B62">
        <v>1.92</v>
      </c>
      <c r="C62" s="90">
        <v>32</v>
      </c>
      <c r="D62" s="90">
        <f t="shared" si="6"/>
        <v>2.84</v>
      </c>
      <c r="E62" s="90">
        <v>24.74</v>
      </c>
      <c r="F62" s="92">
        <f t="shared" si="5"/>
        <v>70.261599999999987</v>
      </c>
      <c r="G62" s="93"/>
      <c r="H62" s="93"/>
      <c r="I62" s="93"/>
    </row>
    <row r="63" spans="1:17" x14ac:dyDescent="0.3">
      <c r="A63" s="9">
        <v>52</v>
      </c>
      <c r="B63">
        <v>1.96</v>
      </c>
      <c r="C63" s="90">
        <v>33</v>
      </c>
      <c r="D63" s="90">
        <f t="shared" si="6"/>
        <v>2.84</v>
      </c>
      <c r="E63" s="90">
        <v>25.34</v>
      </c>
      <c r="F63" s="92">
        <f t="shared" si="5"/>
        <v>71.965599999999995</v>
      </c>
      <c r="G63" s="93"/>
      <c r="H63" s="93"/>
      <c r="I63" s="93"/>
    </row>
    <row r="64" spans="1:17" x14ac:dyDescent="0.3">
      <c r="A64" s="9">
        <v>53</v>
      </c>
      <c r="B64">
        <v>1.99</v>
      </c>
      <c r="C64" s="90">
        <v>34</v>
      </c>
      <c r="D64" s="90">
        <f t="shared" si="6"/>
        <v>2.84</v>
      </c>
      <c r="E64" s="90">
        <v>25.94</v>
      </c>
      <c r="F64" s="92">
        <f t="shared" si="5"/>
        <v>73.669600000000003</v>
      </c>
      <c r="G64" s="93"/>
      <c r="H64" s="93"/>
      <c r="I64" s="93"/>
    </row>
    <row r="65" spans="1:9" x14ac:dyDescent="0.3">
      <c r="A65" s="9">
        <v>54</v>
      </c>
      <c r="B65">
        <v>2.02</v>
      </c>
      <c r="C65" s="90">
        <v>35</v>
      </c>
      <c r="D65" s="90">
        <f t="shared" si="6"/>
        <v>2.84</v>
      </c>
      <c r="E65" s="90">
        <v>26.54</v>
      </c>
      <c r="F65" s="92">
        <f t="shared" si="5"/>
        <v>75.373599999999996</v>
      </c>
      <c r="G65" s="93"/>
      <c r="H65" s="93"/>
      <c r="I65" s="93"/>
    </row>
    <row r="66" spans="1:9" x14ac:dyDescent="0.3">
      <c r="A66" s="9">
        <v>55</v>
      </c>
      <c r="B66">
        <v>2.0499999999999998</v>
      </c>
      <c r="C66" s="90">
        <v>36</v>
      </c>
      <c r="D66" s="90">
        <f t="shared" si="6"/>
        <v>2.84</v>
      </c>
      <c r="E66" s="90">
        <v>27.14</v>
      </c>
      <c r="F66" s="92">
        <f t="shared" si="5"/>
        <v>77.077600000000004</v>
      </c>
      <c r="G66" s="93"/>
      <c r="H66" s="93"/>
      <c r="I66" s="93"/>
    </row>
    <row r="67" spans="1:9" x14ac:dyDescent="0.3">
      <c r="A67" s="9">
        <v>56</v>
      </c>
      <c r="B67">
        <v>2.09</v>
      </c>
      <c r="C67" s="90">
        <v>37</v>
      </c>
      <c r="D67" s="90">
        <f t="shared" si="6"/>
        <v>2.84</v>
      </c>
      <c r="E67" s="90">
        <v>27.74</v>
      </c>
      <c r="F67" s="92">
        <f t="shared" si="5"/>
        <v>78.781599999999997</v>
      </c>
      <c r="G67" s="93"/>
      <c r="H67" s="93"/>
      <c r="I67" s="93"/>
    </row>
    <row r="68" spans="1:9" x14ac:dyDescent="0.3">
      <c r="A68" s="9">
        <v>57</v>
      </c>
      <c r="B68">
        <v>2.12</v>
      </c>
      <c r="C68" s="90">
        <v>38</v>
      </c>
      <c r="D68" s="90">
        <f t="shared" si="6"/>
        <v>2.84</v>
      </c>
      <c r="E68" s="90">
        <v>28.34</v>
      </c>
      <c r="F68" s="92">
        <f t="shared" si="5"/>
        <v>80.485599999999991</v>
      </c>
      <c r="G68" s="93"/>
      <c r="H68" s="93"/>
      <c r="I68" s="93"/>
    </row>
    <row r="69" spans="1:9" x14ac:dyDescent="0.3">
      <c r="A69" s="9">
        <v>58</v>
      </c>
      <c r="B69">
        <v>2.15</v>
      </c>
      <c r="C69" s="90">
        <v>39</v>
      </c>
      <c r="D69" s="90">
        <f t="shared" si="6"/>
        <v>2.84</v>
      </c>
      <c r="E69" s="90">
        <v>28.94</v>
      </c>
      <c r="F69" s="92">
        <f t="shared" si="5"/>
        <v>82.189599999999999</v>
      </c>
      <c r="G69" s="93"/>
      <c r="H69" s="93"/>
      <c r="I69" s="93"/>
    </row>
    <row r="70" spans="1:9" x14ac:dyDescent="0.3">
      <c r="A70" s="9">
        <v>59</v>
      </c>
      <c r="B70">
        <v>2.1800000000000002</v>
      </c>
      <c r="C70" s="90">
        <v>40</v>
      </c>
      <c r="D70" s="90">
        <f t="shared" si="6"/>
        <v>2.84</v>
      </c>
      <c r="E70" s="90">
        <v>29.54</v>
      </c>
      <c r="F70" s="92">
        <f t="shared" si="5"/>
        <v>83.893599999999992</v>
      </c>
      <c r="G70" s="93"/>
      <c r="H70" s="93"/>
      <c r="I70" s="93"/>
    </row>
    <row r="71" spans="1:9" x14ac:dyDescent="0.3">
      <c r="A71" s="9">
        <v>60</v>
      </c>
      <c r="B71">
        <v>2.2200000000000002</v>
      </c>
      <c r="C71" s="90">
        <v>41</v>
      </c>
      <c r="D71" s="90">
        <f t="shared" si="6"/>
        <v>2.84</v>
      </c>
      <c r="E71" s="90">
        <v>30.14</v>
      </c>
      <c r="F71" s="92">
        <f t="shared" si="5"/>
        <v>85.5976</v>
      </c>
      <c r="G71" s="93"/>
      <c r="H71" s="93"/>
      <c r="I71" s="93"/>
    </row>
    <row r="72" spans="1:9" x14ac:dyDescent="0.3">
      <c r="A72" s="9">
        <v>61</v>
      </c>
      <c r="B72">
        <v>2.2599999999999998</v>
      </c>
      <c r="C72" s="90">
        <v>42</v>
      </c>
      <c r="D72" s="90">
        <f t="shared" si="6"/>
        <v>2.84</v>
      </c>
      <c r="E72" s="90">
        <v>30.74</v>
      </c>
      <c r="F72" s="92">
        <f t="shared" si="5"/>
        <v>87.301599999999993</v>
      </c>
      <c r="G72" s="93"/>
      <c r="H72" s="93"/>
      <c r="I72" s="93"/>
    </row>
    <row r="73" spans="1:9" x14ac:dyDescent="0.3">
      <c r="A73" s="9">
        <v>62</v>
      </c>
      <c r="B73">
        <v>2.29</v>
      </c>
      <c r="C73" s="90">
        <v>43</v>
      </c>
      <c r="D73" s="90">
        <f t="shared" si="6"/>
        <v>2.84</v>
      </c>
      <c r="E73" s="90">
        <v>31.34</v>
      </c>
      <c r="F73" s="92">
        <f t="shared" si="5"/>
        <v>89.005600000000001</v>
      </c>
      <c r="G73" s="93"/>
      <c r="H73" s="93"/>
      <c r="I73" s="93"/>
    </row>
    <row r="74" spans="1:9" x14ac:dyDescent="0.3">
      <c r="A74" s="9">
        <v>63</v>
      </c>
      <c r="B74">
        <v>2.3199999999999998</v>
      </c>
      <c r="C74" s="90">
        <v>44</v>
      </c>
      <c r="D74" s="90">
        <f t="shared" si="6"/>
        <v>2.84</v>
      </c>
      <c r="E74" s="90">
        <v>31.94</v>
      </c>
      <c r="F74" s="92">
        <f t="shared" si="5"/>
        <v>90.709599999999995</v>
      </c>
      <c r="G74" s="93"/>
      <c r="H74" s="93"/>
      <c r="I74" s="93"/>
    </row>
    <row r="75" spans="1:9" x14ac:dyDescent="0.3">
      <c r="A75" s="9">
        <v>64</v>
      </c>
      <c r="B75">
        <v>2.35</v>
      </c>
      <c r="C75" s="90">
        <v>45</v>
      </c>
      <c r="D75" s="90">
        <f t="shared" si="6"/>
        <v>2.84</v>
      </c>
      <c r="E75" s="90">
        <v>32.54</v>
      </c>
      <c r="F75" s="92">
        <f t="shared" si="5"/>
        <v>92.413599999999988</v>
      </c>
      <c r="G75" s="93"/>
      <c r="H75" s="93"/>
      <c r="I75" s="93"/>
    </row>
    <row r="76" spans="1:9" x14ac:dyDescent="0.3">
      <c r="A76" s="9">
        <v>65</v>
      </c>
      <c r="B76">
        <v>2.39</v>
      </c>
      <c r="C76" s="90">
        <v>46</v>
      </c>
      <c r="D76" s="90">
        <f t="shared" si="6"/>
        <v>2.84</v>
      </c>
      <c r="E76" s="90">
        <v>33.1</v>
      </c>
      <c r="F76" s="92">
        <f t="shared" si="5"/>
        <v>94.004000000000005</v>
      </c>
      <c r="G76" s="93"/>
      <c r="H76" s="93"/>
      <c r="I76" s="93"/>
    </row>
    <row r="77" spans="1:9" x14ac:dyDescent="0.3">
      <c r="A77" s="9">
        <v>66</v>
      </c>
      <c r="B77">
        <v>2.41</v>
      </c>
      <c r="C77" s="90">
        <v>47</v>
      </c>
      <c r="D77" s="90">
        <f t="shared" si="6"/>
        <v>2.84</v>
      </c>
      <c r="E77" s="90">
        <v>33.659999999999997</v>
      </c>
      <c r="F77" s="92">
        <f t="shared" si="5"/>
        <v>95.594399999999979</v>
      </c>
      <c r="G77" s="93"/>
      <c r="H77" s="93"/>
      <c r="I77" s="93"/>
    </row>
    <row r="78" spans="1:9" x14ac:dyDescent="0.3">
      <c r="A78" s="9">
        <v>67</v>
      </c>
      <c r="B78">
        <v>2.4500000000000002</v>
      </c>
      <c r="C78" s="90">
        <v>48</v>
      </c>
      <c r="D78" s="90">
        <f t="shared" si="6"/>
        <v>2.84</v>
      </c>
      <c r="E78" s="90">
        <v>34.22</v>
      </c>
      <c r="F78" s="92">
        <f t="shared" si="5"/>
        <v>97.184799999999996</v>
      </c>
      <c r="G78" s="93"/>
      <c r="H78" s="93"/>
      <c r="I78" s="93"/>
    </row>
    <row r="79" spans="1:9" x14ac:dyDescent="0.3">
      <c r="A79" s="9">
        <v>68</v>
      </c>
      <c r="B79">
        <v>2.48</v>
      </c>
      <c r="C79" s="90">
        <v>49</v>
      </c>
      <c r="D79" s="90">
        <f t="shared" si="6"/>
        <v>2.84</v>
      </c>
      <c r="E79" s="90">
        <v>34.78</v>
      </c>
      <c r="F79" s="92">
        <f t="shared" si="5"/>
        <v>98.775199999999998</v>
      </c>
      <c r="G79" s="93"/>
      <c r="H79" s="93"/>
      <c r="I79" s="93"/>
    </row>
    <row r="80" spans="1:9" x14ac:dyDescent="0.3">
      <c r="A80" s="9">
        <v>69</v>
      </c>
      <c r="B80">
        <v>2.52</v>
      </c>
      <c r="C80" s="90">
        <v>50</v>
      </c>
      <c r="D80" s="90">
        <f t="shared" si="6"/>
        <v>2.84</v>
      </c>
      <c r="E80" s="90">
        <v>35.340000000000003</v>
      </c>
      <c r="F80" s="92">
        <f t="shared" si="5"/>
        <v>100.3656</v>
      </c>
      <c r="G80" s="93"/>
      <c r="H80" s="93"/>
      <c r="I80" s="93"/>
    </row>
    <row r="81" spans="1:9" x14ac:dyDescent="0.3">
      <c r="A81" s="9">
        <v>70</v>
      </c>
      <c r="B81">
        <v>2.54</v>
      </c>
      <c r="C81" s="90">
        <v>51</v>
      </c>
      <c r="D81" s="90">
        <f t="shared" si="6"/>
        <v>2.84</v>
      </c>
      <c r="E81" s="90">
        <v>35.9</v>
      </c>
      <c r="F81" s="92">
        <f t="shared" si="5"/>
        <v>101.95599999999999</v>
      </c>
      <c r="G81" s="93"/>
      <c r="H81" s="93"/>
      <c r="I81" s="93"/>
    </row>
    <row r="82" spans="1:9" x14ac:dyDescent="0.3">
      <c r="A82" s="9">
        <v>71</v>
      </c>
      <c r="B82">
        <v>2.58</v>
      </c>
      <c r="C82" s="90">
        <v>52</v>
      </c>
      <c r="D82" s="90">
        <f t="shared" si="6"/>
        <v>2.84</v>
      </c>
      <c r="E82" s="90">
        <v>36.46</v>
      </c>
      <c r="F82" s="92">
        <f t="shared" si="5"/>
        <v>103.54639999999999</v>
      </c>
      <c r="G82" s="93"/>
      <c r="H82" s="93"/>
      <c r="I82" s="93"/>
    </row>
    <row r="83" spans="1:9" x14ac:dyDescent="0.3">
      <c r="A83" s="9">
        <v>72</v>
      </c>
      <c r="B83">
        <v>2.62</v>
      </c>
      <c r="C83" s="90">
        <v>53</v>
      </c>
      <c r="D83" s="90">
        <f t="shared" si="6"/>
        <v>2.84</v>
      </c>
      <c r="E83" s="90">
        <v>37.020000000000003</v>
      </c>
      <c r="F83" s="92">
        <f t="shared" si="5"/>
        <v>105.13680000000001</v>
      </c>
      <c r="G83" s="93"/>
      <c r="H83" s="93"/>
      <c r="I83" s="93"/>
    </row>
    <row r="84" spans="1:9" x14ac:dyDescent="0.3">
      <c r="A84" s="9">
        <v>73</v>
      </c>
      <c r="B84">
        <v>2.64</v>
      </c>
      <c r="C84" s="90">
        <v>54</v>
      </c>
      <c r="D84" s="90">
        <f t="shared" si="6"/>
        <v>2.84</v>
      </c>
      <c r="E84" s="90">
        <v>37.58</v>
      </c>
      <c r="F84" s="92">
        <f t="shared" si="5"/>
        <v>106.7272</v>
      </c>
      <c r="G84" s="93"/>
      <c r="H84" s="93"/>
      <c r="I84" s="93"/>
    </row>
    <row r="85" spans="1:9" x14ac:dyDescent="0.3">
      <c r="A85" s="9">
        <v>74</v>
      </c>
      <c r="B85">
        <v>2.68</v>
      </c>
      <c r="C85" s="90">
        <v>55</v>
      </c>
      <c r="D85" s="90">
        <f t="shared" si="6"/>
        <v>2.84</v>
      </c>
      <c r="E85" s="90">
        <v>38.14</v>
      </c>
      <c r="F85" s="92">
        <f t="shared" si="5"/>
        <v>108.3176</v>
      </c>
      <c r="G85" s="93"/>
      <c r="H85" s="93"/>
      <c r="I85" s="93"/>
    </row>
    <row r="86" spans="1:9" x14ac:dyDescent="0.3">
      <c r="A86" s="9">
        <v>75</v>
      </c>
      <c r="B86">
        <v>2.71</v>
      </c>
      <c r="C86" s="90">
        <v>56</v>
      </c>
      <c r="D86" s="90">
        <f t="shared" si="6"/>
        <v>2.84</v>
      </c>
      <c r="E86" s="90">
        <v>38.700000000000003</v>
      </c>
      <c r="F86" s="92">
        <f t="shared" si="5"/>
        <v>109.908</v>
      </c>
      <c r="G86" s="93"/>
      <c r="H86" s="93"/>
      <c r="I86" s="93"/>
    </row>
    <row r="87" spans="1:9" x14ac:dyDescent="0.3">
      <c r="A87" s="9">
        <v>76</v>
      </c>
      <c r="B87">
        <v>2.75</v>
      </c>
      <c r="C87" s="90">
        <v>57</v>
      </c>
      <c r="D87" s="90">
        <f t="shared" si="6"/>
        <v>2.84</v>
      </c>
      <c r="E87" s="90">
        <v>39.26</v>
      </c>
      <c r="F87" s="92">
        <f t="shared" si="5"/>
        <v>111.49839999999999</v>
      </c>
      <c r="G87" s="93"/>
      <c r="H87" s="93"/>
      <c r="I87" s="93"/>
    </row>
    <row r="88" spans="1:9" x14ac:dyDescent="0.3">
      <c r="A88" s="9">
        <v>77</v>
      </c>
      <c r="B88">
        <v>2.77</v>
      </c>
      <c r="C88" s="90">
        <v>58</v>
      </c>
      <c r="D88" s="90">
        <f t="shared" si="6"/>
        <v>2.84</v>
      </c>
      <c r="E88" s="90">
        <v>39.82</v>
      </c>
      <c r="F88" s="92">
        <f t="shared" si="5"/>
        <v>113.08879999999999</v>
      </c>
      <c r="G88" s="93"/>
      <c r="H88" s="93"/>
      <c r="I88" s="93"/>
    </row>
    <row r="89" spans="1:9" x14ac:dyDescent="0.3">
      <c r="A89" s="9">
        <v>78</v>
      </c>
      <c r="B89">
        <v>2.81</v>
      </c>
      <c r="C89" s="90">
        <v>59</v>
      </c>
      <c r="D89" s="90">
        <f t="shared" si="6"/>
        <v>2.84</v>
      </c>
      <c r="E89" s="90">
        <v>40.380000000000003</v>
      </c>
      <c r="F89" s="92">
        <f t="shared" si="5"/>
        <v>114.67919999999999</v>
      </c>
      <c r="G89" s="93"/>
      <c r="H89" s="93"/>
      <c r="I89" s="93"/>
    </row>
    <row r="90" spans="1:9" x14ac:dyDescent="0.3">
      <c r="A90" s="9">
        <v>79</v>
      </c>
      <c r="B90">
        <v>2.84</v>
      </c>
      <c r="C90" s="90">
        <v>60</v>
      </c>
      <c r="D90" s="90">
        <f t="shared" si="6"/>
        <v>2.84</v>
      </c>
      <c r="E90" s="90">
        <v>40.94</v>
      </c>
      <c r="F90" s="92">
        <f t="shared" si="5"/>
        <v>116.26959999999998</v>
      </c>
      <c r="G90" s="93"/>
      <c r="H90" s="93"/>
      <c r="I90" s="93"/>
    </row>
    <row r="91" spans="1:9" x14ac:dyDescent="0.3">
      <c r="A91" s="9">
        <v>80</v>
      </c>
      <c r="B91">
        <v>2.87</v>
      </c>
      <c r="C91" s="90">
        <v>61</v>
      </c>
      <c r="D91" s="90">
        <f t="shared" si="6"/>
        <v>2.84</v>
      </c>
      <c r="E91" s="90">
        <v>41.5</v>
      </c>
      <c r="F91" s="92">
        <f t="shared" si="5"/>
        <v>117.86</v>
      </c>
      <c r="G91" s="93"/>
      <c r="H91" s="93"/>
      <c r="I91" s="93"/>
    </row>
    <row r="92" spans="1:9" x14ac:dyDescent="0.3">
      <c r="A92" s="9">
        <v>81</v>
      </c>
      <c r="B92">
        <v>2.9</v>
      </c>
      <c r="C92" s="90">
        <v>62</v>
      </c>
      <c r="D92" s="90">
        <f t="shared" si="6"/>
        <v>2.84</v>
      </c>
      <c r="E92" s="90">
        <v>42.06</v>
      </c>
      <c r="F92" s="92">
        <f t="shared" si="5"/>
        <v>119.4504</v>
      </c>
      <c r="G92" s="93"/>
      <c r="H92" s="93"/>
      <c r="I92" s="93"/>
    </row>
    <row r="93" spans="1:9" x14ac:dyDescent="0.3">
      <c r="A93" s="9">
        <v>82</v>
      </c>
      <c r="B93">
        <v>2.94</v>
      </c>
      <c r="C93" s="90">
        <v>63</v>
      </c>
      <c r="D93" s="90">
        <f t="shared" si="6"/>
        <v>2.84</v>
      </c>
      <c r="E93" s="90">
        <v>42.62</v>
      </c>
      <c r="F93" s="92">
        <f t="shared" si="5"/>
        <v>121.04079999999999</v>
      </c>
      <c r="G93" s="93"/>
      <c r="H93" s="93"/>
      <c r="I93" s="93"/>
    </row>
    <row r="94" spans="1:9" x14ac:dyDescent="0.3">
      <c r="A94" s="9">
        <v>83</v>
      </c>
      <c r="B94">
        <v>2.96</v>
      </c>
      <c r="C94" s="90">
        <v>64</v>
      </c>
      <c r="D94" s="90">
        <f t="shared" si="6"/>
        <v>2.84</v>
      </c>
      <c r="E94" s="90">
        <v>43.18</v>
      </c>
      <c r="F94" s="92">
        <f t="shared" si="5"/>
        <v>122.63119999999999</v>
      </c>
      <c r="G94" s="93"/>
      <c r="H94" s="93"/>
      <c r="I94" s="93"/>
    </row>
    <row r="95" spans="1:9" x14ac:dyDescent="0.3">
      <c r="A95" s="9">
        <v>84</v>
      </c>
      <c r="B95">
        <v>3</v>
      </c>
      <c r="C95" s="90">
        <v>65</v>
      </c>
      <c r="D95" s="90">
        <f t="shared" si="6"/>
        <v>2.84</v>
      </c>
      <c r="E95" s="90">
        <v>43.74</v>
      </c>
      <c r="F95" s="92">
        <f t="shared" ref="F95:F158" si="9">D95*E95</f>
        <v>124.2216</v>
      </c>
      <c r="G95" s="93"/>
      <c r="H95" s="93"/>
      <c r="I95" s="93"/>
    </row>
    <row r="96" spans="1:9" x14ac:dyDescent="0.3">
      <c r="A96" s="9">
        <v>85</v>
      </c>
      <c r="B96">
        <v>3.04</v>
      </c>
      <c r="C96" s="90">
        <v>66</v>
      </c>
      <c r="D96" s="90">
        <f t="shared" ref="D96:D159" si="10">D95</f>
        <v>2.84</v>
      </c>
      <c r="E96" s="90">
        <v>44.3</v>
      </c>
      <c r="F96" s="92">
        <f t="shared" si="9"/>
        <v>125.81199999999998</v>
      </c>
      <c r="G96" s="93"/>
      <c r="H96" s="93"/>
      <c r="I96" s="93"/>
    </row>
    <row r="97" spans="1:9" x14ac:dyDescent="0.3">
      <c r="A97" s="9">
        <v>86</v>
      </c>
      <c r="B97">
        <v>3.06</v>
      </c>
      <c r="C97" s="90">
        <v>67</v>
      </c>
      <c r="D97" s="90">
        <f t="shared" si="10"/>
        <v>2.84</v>
      </c>
      <c r="E97" s="90">
        <v>44.86</v>
      </c>
      <c r="F97" s="92">
        <f t="shared" si="9"/>
        <v>127.40239999999999</v>
      </c>
      <c r="G97" s="93"/>
      <c r="H97" s="93"/>
      <c r="I97" s="93"/>
    </row>
    <row r="98" spans="1:9" x14ac:dyDescent="0.3">
      <c r="A98" s="9">
        <v>87</v>
      </c>
      <c r="B98">
        <v>3.1</v>
      </c>
      <c r="C98" s="90">
        <v>68</v>
      </c>
      <c r="D98" s="90">
        <f t="shared" si="10"/>
        <v>2.84</v>
      </c>
      <c r="E98" s="90">
        <v>45.42</v>
      </c>
      <c r="F98" s="92">
        <f t="shared" si="9"/>
        <v>128.99279999999999</v>
      </c>
      <c r="G98" s="93"/>
      <c r="H98" s="93"/>
      <c r="I98" s="93"/>
    </row>
    <row r="99" spans="1:9" x14ac:dyDescent="0.3">
      <c r="A99" s="9">
        <v>88</v>
      </c>
      <c r="B99">
        <v>3.13</v>
      </c>
      <c r="C99" s="90">
        <v>69</v>
      </c>
      <c r="D99" s="90">
        <f t="shared" si="10"/>
        <v>2.84</v>
      </c>
      <c r="E99" s="90">
        <v>45.98</v>
      </c>
      <c r="F99" s="92">
        <f t="shared" si="9"/>
        <v>130.58319999999998</v>
      </c>
      <c r="G99" s="93"/>
      <c r="H99" s="93"/>
      <c r="I99" s="93"/>
    </row>
    <row r="100" spans="1:9" x14ac:dyDescent="0.3">
      <c r="A100" s="9">
        <v>89</v>
      </c>
      <c r="B100">
        <v>3.16</v>
      </c>
      <c r="C100" s="90">
        <v>70</v>
      </c>
      <c r="D100" s="90">
        <f t="shared" si="10"/>
        <v>2.84</v>
      </c>
      <c r="E100" s="90">
        <v>46.5399999999999</v>
      </c>
      <c r="F100" s="92">
        <f t="shared" si="9"/>
        <v>132.17359999999971</v>
      </c>
      <c r="G100" s="93"/>
      <c r="H100" s="93"/>
      <c r="I100" s="93"/>
    </row>
    <row r="101" spans="1:9" x14ac:dyDescent="0.3">
      <c r="A101" s="9">
        <v>90</v>
      </c>
      <c r="B101">
        <v>3.19</v>
      </c>
      <c r="C101" s="90">
        <v>71</v>
      </c>
      <c r="D101" s="90">
        <f t="shared" si="10"/>
        <v>2.84</v>
      </c>
      <c r="E101" s="90">
        <v>47.099999999999902</v>
      </c>
      <c r="F101" s="92">
        <f t="shared" si="9"/>
        <v>133.76399999999973</v>
      </c>
      <c r="G101" s="93"/>
      <c r="H101" s="93"/>
      <c r="I101" s="93"/>
    </row>
    <row r="102" spans="1:9" x14ac:dyDescent="0.3">
      <c r="A102" s="9">
        <v>91</v>
      </c>
      <c r="B102">
        <v>3.23</v>
      </c>
      <c r="C102" s="90">
        <v>72</v>
      </c>
      <c r="D102" s="90">
        <f t="shared" si="10"/>
        <v>2.84</v>
      </c>
      <c r="E102" s="90">
        <v>47.659999999999897</v>
      </c>
      <c r="F102" s="92">
        <f t="shared" si="9"/>
        <v>135.35439999999971</v>
      </c>
      <c r="G102" s="93"/>
      <c r="H102" s="93"/>
      <c r="I102" s="93"/>
    </row>
    <row r="103" spans="1:9" x14ac:dyDescent="0.3">
      <c r="A103" s="9">
        <v>92</v>
      </c>
      <c r="B103">
        <v>3.25</v>
      </c>
      <c r="C103" s="90">
        <v>73</v>
      </c>
      <c r="D103" s="90">
        <f t="shared" si="10"/>
        <v>2.84</v>
      </c>
      <c r="E103" s="90">
        <v>48.219999999999899</v>
      </c>
      <c r="F103" s="92">
        <f t="shared" si="9"/>
        <v>136.9447999999997</v>
      </c>
      <c r="G103" s="93"/>
      <c r="H103" s="93"/>
      <c r="I103" s="93"/>
    </row>
    <row r="104" spans="1:9" x14ac:dyDescent="0.3">
      <c r="A104" s="9">
        <v>93</v>
      </c>
      <c r="B104">
        <v>3.29</v>
      </c>
      <c r="C104" s="90">
        <v>74</v>
      </c>
      <c r="D104" s="90">
        <f t="shared" si="10"/>
        <v>2.84</v>
      </c>
      <c r="E104" s="90">
        <v>48.779999999999902</v>
      </c>
      <c r="F104" s="92">
        <f t="shared" si="9"/>
        <v>138.53519999999972</v>
      </c>
      <c r="G104" s="93"/>
      <c r="H104" s="93"/>
      <c r="I104" s="93"/>
    </row>
    <row r="105" spans="1:9" x14ac:dyDescent="0.3">
      <c r="A105" s="9">
        <v>94</v>
      </c>
      <c r="B105">
        <v>3.31</v>
      </c>
      <c r="C105" s="90">
        <v>75</v>
      </c>
      <c r="D105" s="90">
        <f t="shared" si="10"/>
        <v>2.84</v>
      </c>
      <c r="E105" s="90">
        <v>49.339999999999897</v>
      </c>
      <c r="F105" s="92">
        <f t="shared" si="9"/>
        <v>140.12559999999971</v>
      </c>
      <c r="G105" s="93"/>
      <c r="H105" s="93"/>
      <c r="I105" s="93"/>
    </row>
    <row r="106" spans="1:9" x14ac:dyDescent="0.3">
      <c r="A106" s="9">
        <v>95</v>
      </c>
      <c r="B106">
        <v>3.35</v>
      </c>
      <c r="C106" s="90">
        <v>76</v>
      </c>
      <c r="D106" s="90">
        <f t="shared" si="10"/>
        <v>2.84</v>
      </c>
      <c r="E106" s="90">
        <v>49.899999999999899</v>
      </c>
      <c r="F106" s="92">
        <f t="shared" si="9"/>
        <v>141.7159999999997</v>
      </c>
      <c r="G106" s="93"/>
      <c r="H106" s="93"/>
      <c r="I106" s="93"/>
    </row>
    <row r="107" spans="1:9" x14ac:dyDescent="0.3">
      <c r="A107" s="9">
        <v>96</v>
      </c>
      <c r="B107">
        <v>3.38</v>
      </c>
      <c r="C107" s="90">
        <v>77</v>
      </c>
      <c r="D107" s="90">
        <f t="shared" si="10"/>
        <v>2.84</v>
      </c>
      <c r="E107" s="90">
        <v>50.459999999999901</v>
      </c>
      <c r="F107" s="92">
        <f t="shared" si="9"/>
        <v>143.30639999999971</v>
      </c>
      <c r="G107" s="93"/>
      <c r="H107" s="93"/>
      <c r="I107" s="93"/>
    </row>
    <row r="108" spans="1:9" x14ac:dyDescent="0.3">
      <c r="A108" s="9">
        <v>97</v>
      </c>
      <c r="B108">
        <v>3.41</v>
      </c>
      <c r="C108" s="90">
        <v>78</v>
      </c>
      <c r="D108" s="90">
        <f t="shared" si="10"/>
        <v>2.84</v>
      </c>
      <c r="E108" s="90">
        <v>51.019999999999897</v>
      </c>
      <c r="F108" s="92">
        <f t="shared" si="9"/>
        <v>144.8967999999997</v>
      </c>
      <c r="G108" s="93"/>
      <c r="H108" s="93"/>
      <c r="I108" s="93"/>
    </row>
    <row r="109" spans="1:9" x14ac:dyDescent="0.3">
      <c r="A109" s="9">
        <v>98</v>
      </c>
      <c r="B109">
        <v>3.44</v>
      </c>
      <c r="C109" s="90">
        <v>79</v>
      </c>
      <c r="D109" s="90">
        <f t="shared" si="10"/>
        <v>2.84</v>
      </c>
      <c r="E109" s="90">
        <v>51.579999999999899</v>
      </c>
      <c r="F109" s="92">
        <f t="shared" si="9"/>
        <v>146.48719999999972</v>
      </c>
      <c r="G109" s="93"/>
      <c r="H109" s="93"/>
      <c r="I109" s="93"/>
    </row>
    <row r="110" spans="1:9" x14ac:dyDescent="0.3">
      <c r="A110" s="9">
        <v>99</v>
      </c>
      <c r="B110">
        <v>3.48</v>
      </c>
      <c r="C110" s="90">
        <v>80</v>
      </c>
      <c r="D110" s="90">
        <f t="shared" si="10"/>
        <v>2.84</v>
      </c>
      <c r="E110" s="90">
        <v>52.139999999999901</v>
      </c>
      <c r="F110" s="92">
        <f t="shared" si="9"/>
        <v>148.07759999999971</v>
      </c>
      <c r="G110" s="93"/>
      <c r="H110" s="93"/>
      <c r="I110" s="93"/>
    </row>
    <row r="111" spans="1:9" x14ac:dyDescent="0.3">
      <c r="A111" s="9">
        <v>100</v>
      </c>
      <c r="B111">
        <v>3.5</v>
      </c>
      <c r="C111" s="90">
        <v>81</v>
      </c>
      <c r="D111" s="90">
        <f t="shared" si="10"/>
        <v>2.84</v>
      </c>
      <c r="E111" s="90">
        <v>52.699999999999903</v>
      </c>
      <c r="F111" s="92">
        <f t="shared" si="9"/>
        <v>149.66799999999972</v>
      </c>
      <c r="G111" s="93"/>
      <c r="H111" s="93"/>
      <c r="I111" s="93"/>
    </row>
    <row r="112" spans="1:9" x14ac:dyDescent="0.3">
      <c r="A112" s="9">
        <v>101</v>
      </c>
      <c r="B112">
        <v>3.54</v>
      </c>
      <c r="C112" s="90">
        <v>82</v>
      </c>
      <c r="D112" s="90">
        <f t="shared" si="10"/>
        <v>2.84</v>
      </c>
      <c r="E112" s="90">
        <v>53.259999999999899</v>
      </c>
      <c r="F112" s="92">
        <f t="shared" si="9"/>
        <v>151.25839999999971</v>
      </c>
      <c r="G112" s="93"/>
      <c r="H112" s="93"/>
      <c r="I112" s="93"/>
    </row>
    <row r="113" spans="1:9" x14ac:dyDescent="0.3">
      <c r="A113" s="9">
        <v>102</v>
      </c>
      <c r="B113">
        <v>3.56</v>
      </c>
      <c r="C113" s="90">
        <v>83</v>
      </c>
      <c r="D113" s="90">
        <f t="shared" si="10"/>
        <v>2.84</v>
      </c>
      <c r="E113" s="90">
        <v>53.819999999999901</v>
      </c>
      <c r="F113" s="92">
        <f t="shared" si="9"/>
        <v>152.8487999999997</v>
      </c>
      <c r="G113" s="93"/>
      <c r="H113" s="93"/>
      <c r="I113" s="93"/>
    </row>
    <row r="114" spans="1:9" x14ac:dyDescent="0.3">
      <c r="A114" s="9">
        <v>103</v>
      </c>
      <c r="B114">
        <v>3.6</v>
      </c>
      <c r="C114" s="90">
        <v>84</v>
      </c>
      <c r="D114" s="90">
        <f t="shared" si="10"/>
        <v>2.84</v>
      </c>
      <c r="E114" s="90">
        <v>54.379999999999903</v>
      </c>
      <c r="F114" s="92">
        <f t="shared" si="9"/>
        <v>154.43919999999972</v>
      </c>
      <c r="G114" s="93"/>
      <c r="H114" s="93"/>
      <c r="I114" s="93"/>
    </row>
    <row r="115" spans="1:9" x14ac:dyDescent="0.3">
      <c r="A115" s="9">
        <v>104</v>
      </c>
      <c r="B115">
        <v>3.64</v>
      </c>
      <c r="C115" s="90">
        <v>85</v>
      </c>
      <c r="D115" s="90">
        <f t="shared" si="10"/>
        <v>2.84</v>
      </c>
      <c r="E115" s="90">
        <v>54.939999999999898</v>
      </c>
      <c r="F115" s="92">
        <f t="shared" si="9"/>
        <v>156.0295999999997</v>
      </c>
      <c r="G115" s="93"/>
      <c r="H115" s="93"/>
      <c r="I115" s="93"/>
    </row>
    <row r="116" spans="1:9" x14ac:dyDescent="0.3">
      <c r="A116" s="9">
        <v>105</v>
      </c>
      <c r="B116">
        <v>3.66</v>
      </c>
      <c r="C116" s="90">
        <v>86</v>
      </c>
      <c r="D116" s="90">
        <f t="shared" si="10"/>
        <v>2.84</v>
      </c>
      <c r="E116" s="90">
        <v>55.499999999999901</v>
      </c>
      <c r="F116" s="92">
        <f t="shared" si="9"/>
        <v>157.61999999999972</v>
      </c>
      <c r="G116" s="93"/>
      <c r="H116" s="93"/>
      <c r="I116" s="93"/>
    </row>
    <row r="117" spans="1:9" x14ac:dyDescent="0.3">
      <c r="A117" s="9">
        <v>106</v>
      </c>
      <c r="B117">
        <v>3.7</v>
      </c>
      <c r="C117" s="90">
        <v>87</v>
      </c>
      <c r="D117" s="90">
        <f t="shared" si="10"/>
        <v>2.84</v>
      </c>
      <c r="E117" s="90">
        <v>56.059999999999903</v>
      </c>
      <c r="F117" s="92">
        <f t="shared" si="9"/>
        <v>159.21039999999971</v>
      </c>
      <c r="G117" s="93"/>
      <c r="H117" s="93"/>
      <c r="I117" s="93"/>
    </row>
    <row r="118" spans="1:9" x14ac:dyDescent="0.3">
      <c r="A118" s="9">
        <v>107</v>
      </c>
      <c r="B118">
        <v>3.72</v>
      </c>
      <c r="C118" s="90">
        <v>88</v>
      </c>
      <c r="D118" s="90">
        <f t="shared" si="10"/>
        <v>2.84</v>
      </c>
      <c r="E118" s="90">
        <v>56.619999999999898</v>
      </c>
      <c r="F118" s="92">
        <f t="shared" si="9"/>
        <v>160.8007999999997</v>
      </c>
      <c r="G118" s="93"/>
      <c r="H118" s="93"/>
      <c r="I118" s="93"/>
    </row>
    <row r="119" spans="1:9" x14ac:dyDescent="0.3">
      <c r="A119" s="9">
        <v>108</v>
      </c>
      <c r="B119">
        <v>3.76</v>
      </c>
      <c r="C119" s="90">
        <v>89</v>
      </c>
      <c r="D119" s="90">
        <f t="shared" si="10"/>
        <v>2.84</v>
      </c>
      <c r="E119" s="90">
        <v>57.1799999999999</v>
      </c>
      <c r="F119" s="92">
        <f t="shared" si="9"/>
        <v>162.39119999999971</v>
      </c>
      <c r="G119" s="93"/>
      <c r="H119" s="93"/>
      <c r="I119" s="93"/>
    </row>
    <row r="120" spans="1:9" x14ac:dyDescent="0.3">
      <c r="A120" s="9">
        <v>109</v>
      </c>
      <c r="B120">
        <v>3.79</v>
      </c>
      <c r="C120" s="90">
        <v>90</v>
      </c>
      <c r="D120" s="90">
        <f t="shared" si="10"/>
        <v>2.84</v>
      </c>
      <c r="E120" s="90">
        <v>57.739999999999903</v>
      </c>
      <c r="F120" s="92">
        <f t="shared" si="9"/>
        <v>163.9815999999997</v>
      </c>
      <c r="G120" s="93"/>
      <c r="H120" s="93"/>
      <c r="I120" s="93"/>
    </row>
    <row r="121" spans="1:9" x14ac:dyDescent="0.3">
      <c r="A121" s="9">
        <v>110</v>
      </c>
      <c r="B121">
        <v>3.82</v>
      </c>
      <c r="C121" s="90">
        <v>91</v>
      </c>
      <c r="D121" s="90">
        <f t="shared" si="10"/>
        <v>2.84</v>
      </c>
      <c r="E121" s="90">
        <v>58.299999999999798</v>
      </c>
      <c r="F121" s="92">
        <f t="shared" si="9"/>
        <v>165.57199999999941</v>
      </c>
      <c r="G121" s="93"/>
      <c r="H121" s="93"/>
      <c r="I121" s="93"/>
    </row>
    <row r="122" spans="1:9" x14ac:dyDescent="0.3">
      <c r="A122" s="9">
        <v>111</v>
      </c>
      <c r="B122">
        <v>3.85</v>
      </c>
      <c r="C122" s="90">
        <v>92</v>
      </c>
      <c r="D122" s="90">
        <f t="shared" si="10"/>
        <v>2.84</v>
      </c>
      <c r="E122" s="90">
        <v>58.8599999999998</v>
      </c>
      <c r="F122" s="92">
        <f t="shared" si="9"/>
        <v>167.16239999999942</v>
      </c>
      <c r="G122" s="93"/>
      <c r="H122" s="93"/>
      <c r="I122" s="93"/>
    </row>
    <row r="123" spans="1:9" x14ac:dyDescent="0.3">
      <c r="A123" s="9">
        <v>112</v>
      </c>
      <c r="B123">
        <v>3.88</v>
      </c>
      <c r="C123" s="90">
        <v>93</v>
      </c>
      <c r="D123" s="90">
        <f t="shared" si="10"/>
        <v>2.84</v>
      </c>
      <c r="E123" s="90">
        <v>59.419999999999803</v>
      </c>
      <c r="F123" s="92">
        <f t="shared" si="9"/>
        <v>168.75279999999944</v>
      </c>
      <c r="G123" s="93"/>
      <c r="H123" s="93"/>
      <c r="I123" s="93"/>
    </row>
    <row r="124" spans="1:9" x14ac:dyDescent="0.3">
      <c r="A124" s="9">
        <v>113</v>
      </c>
      <c r="B124">
        <v>3.91</v>
      </c>
      <c r="C124" s="90">
        <v>94</v>
      </c>
      <c r="D124" s="90">
        <f t="shared" si="10"/>
        <v>2.84</v>
      </c>
      <c r="E124" s="90">
        <v>59.979999999999897</v>
      </c>
      <c r="F124" s="92">
        <f t="shared" si="9"/>
        <v>170.34319999999971</v>
      </c>
      <c r="G124" s="93"/>
      <c r="H124" s="93"/>
      <c r="I124" s="93"/>
    </row>
    <row r="125" spans="1:9" x14ac:dyDescent="0.3">
      <c r="A125" s="9">
        <v>114</v>
      </c>
      <c r="B125">
        <v>3.95</v>
      </c>
      <c r="C125" s="90">
        <v>95</v>
      </c>
      <c r="D125" s="90">
        <f t="shared" si="10"/>
        <v>2.84</v>
      </c>
      <c r="E125" s="90">
        <v>60.5399999999999</v>
      </c>
      <c r="F125" s="92">
        <f t="shared" si="9"/>
        <v>171.9335999999997</v>
      </c>
      <c r="G125" s="93"/>
      <c r="H125" s="93"/>
      <c r="I125" s="93"/>
    </row>
    <row r="126" spans="1:9" x14ac:dyDescent="0.3">
      <c r="A126" s="9">
        <v>115</v>
      </c>
      <c r="B126">
        <v>3.97</v>
      </c>
      <c r="C126" s="90">
        <v>96</v>
      </c>
      <c r="D126" s="90">
        <f t="shared" si="10"/>
        <v>2.84</v>
      </c>
      <c r="E126" s="90">
        <v>61.099999999999902</v>
      </c>
      <c r="F126" s="92">
        <f t="shared" si="9"/>
        <v>173.52399999999972</v>
      </c>
      <c r="G126" s="93"/>
      <c r="H126" s="93"/>
      <c r="I126" s="93"/>
    </row>
    <row r="127" spans="1:9" x14ac:dyDescent="0.3">
      <c r="A127" s="9">
        <v>116</v>
      </c>
      <c r="B127">
        <v>4.01</v>
      </c>
      <c r="C127" s="90">
        <v>97</v>
      </c>
      <c r="D127" s="90">
        <f t="shared" si="10"/>
        <v>2.84</v>
      </c>
      <c r="E127" s="90">
        <v>61.659999999999897</v>
      </c>
      <c r="F127" s="92">
        <f t="shared" si="9"/>
        <v>175.1143999999997</v>
      </c>
      <c r="G127" s="93"/>
      <c r="H127" s="93"/>
      <c r="I127" s="93"/>
    </row>
    <row r="128" spans="1:9" x14ac:dyDescent="0.3">
      <c r="A128" s="9">
        <v>117</v>
      </c>
      <c r="B128">
        <v>4.03</v>
      </c>
      <c r="C128" s="90">
        <v>98</v>
      </c>
      <c r="D128" s="90">
        <f t="shared" si="10"/>
        <v>2.84</v>
      </c>
      <c r="E128" s="90">
        <v>62.219999999999899</v>
      </c>
      <c r="F128" s="92">
        <f t="shared" si="9"/>
        <v>176.70479999999969</v>
      </c>
      <c r="G128" s="93"/>
      <c r="H128" s="93"/>
      <c r="I128" s="93"/>
    </row>
    <row r="129" spans="1:9" x14ac:dyDescent="0.3">
      <c r="A129" s="9">
        <v>118</v>
      </c>
      <c r="B129">
        <v>4.07</v>
      </c>
      <c r="C129" s="90">
        <v>99</v>
      </c>
      <c r="D129" s="90">
        <f t="shared" si="10"/>
        <v>2.84</v>
      </c>
      <c r="E129" s="90">
        <v>62.779999999999902</v>
      </c>
      <c r="F129" s="92">
        <f t="shared" si="9"/>
        <v>178.29519999999971</v>
      </c>
      <c r="G129" s="93"/>
      <c r="H129" s="93"/>
      <c r="I129" s="93"/>
    </row>
    <row r="130" spans="1:9" x14ac:dyDescent="0.3">
      <c r="A130" s="9">
        <v>119</v>
      </c>
      <c r="B130">
        <v>4.09</v>
      </c>
      <c r="C130" s="90">
        <v>100</v>
      </c>
      <c r="D130" s="90">
        <f t="shared" si="10"/>
        <v>2.84</v>
      </c>
      <c r="E130" s="90">
        <v>63.339999999999897</v>
      </c>
      <c r="F130" s="92">
        <f t="shared" si="9"/>
        <v>179.8855999999997</v>
      </c>
      <c r="G130" s="93"/>
      <c r="H130" s="93"/>
      <c r="I130" s="93"/>
    </row>
    <row r="131" spans="1:9" x14ac:dyDescent="0.3">
      <c r="A131" s="9">
        <v>120</v>
      </c>
      <c r="B131">
        <v>4.13</v>
      </c>
      <c r="C131" s="90">
        <v>101</v>
      </c>
      <c r="D131" s="90">
        <f t="shared" si="10"/>
        <v>2.84</v>
      </c>
      <c r="E131" s="90">
        <v>63.59</v>
      </c>
      <c r="F131" s="92">
        <f t="shared" si="9"/>
        <v>180.59559999999999</v>
      </c>
      <c r="G131" s="93"/>
      <c r="H131" s="93"/>
      <c r="I131" s="93"/>
    </row>
    <row r="132" spans="1:9" x14ac:dyDescent="0.3">
      <c r="A132" s="9">
        <v>121</v>
      </c>
      <c r="B132">
        <v>4.16</v>
      </c>
      <c r="C132" s="90">
        <v>102</v>
      </c>
      <c r="D132" s="90">
        <f t="shared" si="10"/>
        <v>2.84</v>
      </c>
      <c r="E132" s="90">
        <v>63.84</v>
      </c>
      <c r="F132" s="92">
        <f t="shared" si="9"/>
        <v>181.3056</v>
      </c>
      <c r="G132" s="93"/>
      <c r="H132" s="93"/>
      <c r="I132" s="93"/>
    </row>
    <row r="133" spans="1:9" x14ac:dyDescent="0.3">
      <c r="A133" s="9">
        <v>122</v>
      </c>
      <c r="B133">
        <v>4.1900000000000004</v>
      </c>
      <c r="C133" s="90">
        <v>103</v>
      </c>
      <c r="D133" s="90">
        <f t="shared" si="10"/>
        <v>2.84</v>
      </c>
      <c r="E133" s="90">
        <v>64.09</v>
      </c>
      <c r="F133" s="92">
        <f t="shared" si="9"/>
        <v>182.01560000000001</v>
      </c>
      <c r="G133" s="93"/>
      <c r="H133" s="93"/>
      <c r="I133" s="93"/>
    </row>
    <row r="134" spans="1:9" x14ac:dyDescent="0.3">
      <c r="A134" s="9">
        <v>123</v>
      </c>
      <c r="B134">
        <v>4.22</v>
      </c>
      <c r="C134" s="90">
        <v>104</v>
      </c>
      <c r="D134" s="90">
        <f t="shared" si="10"/>
        <v>2.84</v>
      </c>
      <c r="E134" s="90">
        <v>64.34</v>
      </c>
      <c r="F134" s="92">
        <f t="shared" si="9"/>
        <v>182.72560000000001</v>
      </c>
      <c r="G134" s="93"/>
      <c r="H134" s="93"/>
      <c r="I134" s="93"/>
    </row>
    <row r="135" spans="1:9" x14ac:dyDescent="0.3">
      <c r="A135" s="9">
        <v>124</v>
      </c>
      <c r="B135">
        <v>4.25</v>
      </c>
      <c r="C135" s="90">
        <v>105</v>
      </c>
      <c r="D135" s="90">
        <f t="shared" si="10"/>
        <v>2.84</v>
      </c>
      <c r="E135" s="90">
        <v>64.59</v>
      </c>
      <c r="F135" s="92">
        <f t="shared" si="9"/>
        <v>183.43559999999999</v>
      </c>
      <c r="G135" s="93"/>
      <c r="H135" s="93"/>
      <c r="I135" s="93"/>
    </row>
    <row r="136" spans="1:9" x14ac:dyDescent="0.3">
      <c r="A136" s="9">
        <v>125</v>
      </c>
      <c r="B136">
        <v>4.28</v>
      </c>
      <c r="C136" s="90">
        <v>106</v>
      </c>
      <c r="D136" s="90">
        <f t="shared" si="10"/>
        <v>2.84</v>
      </c>
      <c r="E136" s="90">
        <v>64.84</v>
      </c>
      <c r="F136" s="92">
        <f t="shared" si="9"/>
        <v>184.1456</v>
      </c>
      <c r="G136" s="93"/>
      <c r="H136" s="93"/>
      <c r="I136" s="93"/>
    </row>
    <row r="137" spans="1:9" x14ac:dyDescent="0.3">
      <c r="A137" s="9">
        <v>126</v>
      </c>
      <c r="B137">
        <v>4.3099999999999996</v>
      </c>
      <c r="C137" s="90">
        <v>107</v>
      </c>
      <c r="D137" s="90">
        <f t="shared" si="10"/>
        <v>2.84</v>
      </c>
      <c r="E137" s="90">
        <v>65.09</v>
      </c>
      <c r="F137" s="92">
        <f t="shared" si="9"/>
        <v>184.85560000000001</v>
      </c>
      <c r="G137" s="93"/>
      <c r="H137" s="93"/>
      <c r="I137" s="93"/>
    </row>
    <row r="138" spans="1:9" x14ac:dyDescent="0.3">
      <c r="A138" s="9">
        <v>127</v>
      </c>
      <c r="B138">
        <v>4.34</v>
      </c>
      <c r="C138" s="90">
        <v>108</v>
      </c>
      <c r="D138" s="90">
        <f t="shared" si="10"/>
        <v>2.84</v>
      </c>
      <c r="E138" s="90">
        <v>65.34</v>
      </c>
      <c r="F138" s="92">
        <f t="shared" si="9"/>
        <v>185.56559999999999</v>
      </c>
      <c r="G138" s="93"/>
      <c r="H138" s="93"/>
      <c r="I138" s="93"/>
    </row>
    <row r="139" spans="1:9" x14ac:dyDescent="0.3">
      <c r="A139" s="9">
        <v>128</v>
      </c>
      <c r="B139">
        <v>4.37</v>
      </c>
      <c r="C139" s="90">
        <v>109</v>
      </c>
      <c r="D139" s="90">
        <f t="shared" si="10"/>
        <v>2.84</v>
      </c>
      <c r="E139" s="90">
        <v>65.59</v>
      </c>
      <c r="F139" s="92">
        <f t="shared" si="9"/>
        <v>186.2756</v>
      </c>
      <c r="G139" s="93"/>
      <c r="H139" s="93"/>
      <c r="I139" s="93"/>
    </row>
    <row r="140" spans="1:9" x14ac:dyDescent="0.3">
      <c r="A140" s="9">
        <v>129</v>
      </c>
      <c r="B140">
        <v>4.4000000000000004</v>
      </c>
      <c r="C140" s="90">
        <v>110</v>
      </c>
      <c r="D140" s="90">
        <f t="shared" si="10"/>
        <v>2.84</v>
      </c>
      <c r="E140" s="90">
        <v>65.84</v>
      </c>
      <c r="F140" s="92">
        <f t="shared" si="9"/>
        <v>186.98560000000001</v>
      </c>
      <c r="G140" s="93"/>
      <c r="H140" s="93"/>
      <c r="I140" s="93"/>
    </row>
    <row r="141" spans="1:9" x14ac:dyDescent="0.3">
      <c r="A141" s="9">
        <v>130</v>
      </c>
      <c r="B141">
        <v>4.4400000000000004</v>
      </c>
      <c r="C141" s="90">
        <v>111</v>
      </c>
      <c r="D141" s="90">
        <f t="shared" si="10"/>
        <v>2.84</v>
      </c>
      <c r="E141" s="90">
        <v>66.09</v>
      </c>
      <c r="F141" s="92">
        <f t="shared" si="9"/>
        <v>187.69560000000001</v>
      </c>
      <c r="G141" s="93"/>
      <c r="H141" s="93"/>
      <c r="I141" s="93"/>
    </row>
    <row r="142" spans="1:9" x14ac:dyDescent="0.3">
      <c r="A142" s="9">
        <v>131</v>
      </c>
      <c r="B142">
        <v>4.46</v>
      </c>
      <c r="C142" s="90">
        <v>112</v>
      </c>
      <c r="D142" s="90">
        <f t="shared" si="10"/>
        <v>2.84</v>
      </c>
      <c r="E142" s="90">
        <v>66.34</v>
      </c>
      <c r="F142" s="92">
        <f t="shared" si="9"/>
        <v>188.40559999999999</v>
      </c>
      <c r="G142" s="93"/>
      <c r="H142" s="93"/>
      <c r="I142" s="93"/>
    </row>
    <row r="143" spans="1:9" x14ac:dyDescent="0.3">
      <c r="A143" s="9">
        <v>132</v>
      </c>
      <c r="B143">
        <v>4.5</v>
      </c>
      <c r="C143" s="90">
        <v>113</v>
      </c>
      <c r="D143" s="90">
        <f t="shared" si="10"/>
        <v>2.84</v>
      </c>
      <c r="E143" s="90">
        <v>66.59</v>
      </c>
      <c r="F143" s="92">
        <f t="shared" si="9"/>
        <v>189.1156</v>
      </c>
      <c r="G143" s="93"/>
      <c r="H143" s="93"/>
      <c r="I143" s="93"/>
    </row>
    <row r="144" spans="1:9" x14ac:dyDescent="0.3">
      <c r="A144" s="9">
        <v>133</v>
      </c>
      <c r="B144">
        <v>4.5199999999999996</v>
      </c>
      <c r="C144" s="90">
        <v>114</v>
      </c>
      <c r="D144" s="90">
        <f t="shared" si="10"/>
        <v>2.84</v>
      </c>
      <c r="E144" s="90">
        <v>66.84</v>
      </c>
      <c r="F144" s="92">
        <f t="shared" si="9"/>
        <v>189.82560000000001</v>
      </c>
      <c r="G144" s="93"/>
      <c r="H144" s="93"/>
      <c r="I144" s="93"/>
    </row>
    <row r="145" spans="1:9" x14ac:dyDescent="0.3">
      <c r="A145" s="9">
        <v>134</v>
      </c>
      <c r="B145">
        <v>4.5599999999999996</v>
      </c>
      <c r="C145" s="90">
        <v>115</v>
      </c>
      <c r="D145" s="90">
        <f t="shared" si="10"/>
        <v>2.84</v>
      </c>
      <c r="E145" s="90">
        <v>67.09</v>
      </c>
      <c r="F145" s="92">
        <f t="shared" si="9"/>
        <v>190.53559999999999</v>
      </c>
      <c r="G145" s="93"/>
      <c r="H145" s="93"/>
      <c r="I145" s="93"/>
    </row>
    <row r="146" spans="1:9" x14ac:dyDescent="0.3">
      <c r="A146" s="9">
        <v>135</v>
      </c>
      <c r="B146">
        <v>4.58</v>
      </c>
      <c r="C146" s="90">
        <v>116</v>
      </c>
      <c r="D146" s="90">
        <f t="shared" si="10"/>
        <v>2.84</v>
      </c>
      <c r="E146" s="90">
        <v>67.34</v>
      </c>
      <c r="F146" s="92">
        <f t="shared" si="9"/>
        <v>191.2456</v>
      </c>
      <c r="G146" s="93"/>
      <c r="H146" s="93"/>
      <c r="I146" s="93"/>
    </row>
    <row r="147" spans="1:9" x14ac:dyDescent="0.3">
      <c r="A147" s="9">
        <v>136</v>
      </c>
      <c r="B147">
        <v>4.62</v>
      </c>
      <c r="C147" s="90">
        <v>117</v>
      </c>
      <c r="D147" s="90">
        <f t="shared" si="10"/>
        <v>2.84</v>
      </c>
      <c r="E147" s="90">
        <v>67.59</v>
      </c>
      <c r="F147" s="92">
        <f t="shared" si="9"/>
        <v>191.9556</v>
      </c>
      <c r="G147" s="93"/>
      <c r="H147" s="93"/>
      <c r="I147" s="93"/>
    </row>
    <row r="148" spans="1:9" x14ac:dyDescent="0.3">
      <c r="A148" s="9">
        <v>137</v>
      </c>
      <c r="B148">
        <v>4.6399999999999997</v>
      </c>
      <c r="C148" s="90">
        <v>118</v>
      </c>
      <c r="D148" s="90">
        <f t="shared" si="10"/>
        <v>2.84</v>
      </c>
      <c r="E148" s="90">
        <v>67.84</v>
      </c>
      <c r="F148" s="92">
        <f t="shared" si="9"/>
        <v>192.66560000000001</v>
      </c>
      <c r="G148" s="93"/>
      <c r="H148" s="93"/>
      <c r="I148" s="93"/>
    </row>
    <row r="149" spans="1:9" x14ac:dyDescent="0.3">
      <c r="A149" s="9">
        <v>138</v>
      </c>
      <c r="B149">
        <v>4.68</v>
      </c>
      <c r="C149" s="90">
        <v>119</v>
      </c>
      <c r="D149" s="90">
        <f t="shared" si="10"/>
        <v>2.84</v>
      </c>
      <c r="E149" s="90">
        <v>68.09</v>
      </c>
      <c r="F149" s="92">
        <f t="shared" si="9"/>
        <v>193.37559999999999</v>
      </c>
      <c r="G149" s="93"/>
      <c r="H149" s="93"/>
      <c r="I149" s="93"/>
    </row>
    <row r="150" spans="1:9" x14ac:dyDescent="0.3">
      <c r="A150" s="9">
        <v>139</v>
      </c>
      <c r="B150">
        <v>4.7</v>
      </c>
      <c r="C150" s="90">
        <v>120</v>
      </c>
      <c r="D150" s="90">
        <f t="shared" si="10"/>
        <v>2.84</v>
      </c>
      <c r="E150" s="90">
        <v>68.34</v>
      </c>
      <c r="F150" s="92">
        <f t="shared" si="9"/>
        <v>194.0856</v>
      </c>
      <c r="G150" s="93"/>
      <c r="H150" s="93"/>
      <c r="I150" s="93"/>
    </row>
    <row r="151" spans="1:9" x14ac:dyDescent="0.3">
      <c r="A151" s="9">
        <v>140</v>
      </c>
      <c r="B151">
        <v>4.74</v>
      </c>
      <c r="C151" s="90">
        <v>121</v>
      </c>
      <c r="D151" s="90">
        <f t="shared" si="10"/>
        <v>2.84</v>
      </c>
      <c r="E151" s="90">
        <v>68.59</v>
      </c>
      <c r="F151" s="92">
        <f t="shared" si="9"/>
        <v>194.79560000000001</v>
      </c>
      <c r="G151" s="93"/>
      <c r="H151" s="93"/>
      <c r="I151" s="93"/>
    </row>
    <row r="152" spans="1:9" x14ac:dyDescent="0.3">
      <c r="A152" s="9">
        <v>141</v>
      </c>
      <c r="B152">
        <v>4.76</v>
      </c>
      <c r="C152" s="90">
        <v>122</v>
      </c>
      <c r="D152" s="90">
        <f t="shared" si="10"/>
        <v>2.84</v>
      </c>
      <c r="E152" s="90">
        <v>68.84</v>
      </c>
      <c r="F152" s="92">
        <f t="shared" si="9"/>
        <v>195.50559999999999</v>
      </c>
      <c r="G152" s="93"/>
      <c r="H152" s="93"/>
      <c r="I152" s="93"/>
    </row>
    <row r="153" spans="1:9" x14ac:dyDescent="0.3">
      <c r="A153" s="9">
        <v>142</v>
      </c>
      <c r="B153">
        <v>4.8</v>
      </c>
      <c r="C153" s="90">
        <v>123</v>
      </c>
      <c r="D153" s="90">
        <f t="shared" si="10"/>
        <v>2.84</v>
      </c>
      <c r="E153" s="90">
        <v>69.09</v>
      </c>
      <c r="F153" s="92">
        <f t="shared" si="9"/>
        <v>196.21559999999999</v>
      </c>
      <c r="G153" s="93"/>
      <c r="H153" s="93"/>
      <c r="I153" s="93"/>
    </row>
    <row r="154" spans="1:9" x14ac:dyDescent="0.3">
      <c r="A154" s="9">
        <v>143</v>
      </c>
      <c r="B154">
        <v>4.82</v>
      </c>
      <c r="C154" s="90">
        <v>124</v>
      </c>
      <c r="D154" s="90">
        <f t="shared" si="10"/>
        <v>2.84</v>
      </c>
      <c r="E154" s="90">
        <v>69.34</v>
      </c>
      <c r="F154" s="92">
        <f t="shared" si="9"/>
        <v>196.9256</v>
      </c>
      <c r="G154" s="93"/>
      <c r="H154" s="93"/>
      <c r="I154" s="93"/>
    </row>
    <row r="155" spans="1:9" x14ac:dyDescent="0.3">
      <c r="A155" s="9">
        <v>144</v>
      </c>
      <c r="B155">
        <v>4.8600000000000003</v>
      </c>
      <c r="C155" s="90">
        <v>125</v>
      </c>
      <c r="D155" s="90">
        <f t="shared" si="10"/>
        <v>2.84</v>
      </c>
      <c r="E155" s="90">
        <v>69.59</v>
      </c>
      <c r="F155" s="92">
        <f t="shared" si="9"/>
        <v>197.63560000000001</v>
      </c>
      <c r="G155" s="93"/>
      <c r="H155" s="93"/>
      <c r="I155" s="93"/>
    </row>
    <row r="156" spans="1:9" x14ac:dyDescent="0.3">
      <c r="A156" s="9">
        <v>145</v>
      </c>
      <c r="B156">
        <v>4.9000000000000004</v>
      </c>
      <c r="C156" s="90">
        <v>126</v>
      </c>
      <c r="D156" s="90">
        <f t="shared" si="10"/>
        <v>2.84</v>
      </c>
      <c r="E156" s="90">
        <v>69.790000000000006</v>
      </c>
      <c r="F156" s="92">
        <f t="shared" si="9"/>
        <v>198.20359999999999</v>
      </c>
      <c r="G156" s="93"/>
      <c r="H156" s="93"/>
      <c r="I156" s="93"/>
    </row>
    <row r="157" spans="1:9" x14ac:dyDescent="0.3">
      <c r="A157" s="9">
        <v>146</v>
      </c>
      <c r="B157">
        <v>4.92</v>
      </c>
      <c r="C157" s="90">
        <v>127</v>
      </c>
      <c r="D157" s="90">
        <f t="shared" si="10"/>
        <v>2.84</v>
      </c>
      <c r="E157" s="90">
        <v>69.989999999999995</v>
      </c>
      <c r="F157" s="92">
        <f t="shared" si="9"/>
        <v>198.77159999999998</v>
      </c>
      <c r="G157" s="93"/>
      <c r="H157" s="93"/>
      <c r="I157" s="93"/>
    </row>
    <row r="158" spans="1:9" x14ac:dyDescent="0.3">
      <c r="A158" s="9">
        <v>147</v>
      </c>
      <c r="B158">
        <v>4.96</v>
      </c>
      <c r="C158" s="90">
        <v>128</v>
      </c>
      <c r="D158" s="90">
        <f t="shared" si="10"/>
        <v>2.84</v>
      </c>
      <c r="E158" s="90">
        <v>70.19</v>
      </c>
      <c r="F158" s="92">
        <f t="shared" si="9"/>
        <v>199.33959999999999</v>
      </c>
      <c r="G158" s="93"/>
      <c r="H158" s="93"/>
      <c r="I158" s="93"/>
    </row>
    <row r="159" spans="1:9" x14ac:dyDescent="0.3">
      <c r="A159" s="9">
        <v>148</v>
      </c>
      <c r="B159">
        <v>4.9800000000000004</v>
      </c>
      <c r="C159" s="90">
        <v>129</v>
      </c>
      <c r="D159" s="90">
        <f t="shared" si="10"/>
        <v>2.84</v>
      </c>
      <c r="E159" s="90">
        <v>70.39</v>
      </c>
      <c r="F159" s="92">
        <f t="shared" ref="F159:F222" si="11">D159*E159</f>
        <v>199.9076</v>
      </c>
      <c r="G159" s="93"/>
      <c r="H159" s="93"/>
      <c r="I159" s="93"/>
    </row>
    <row r="160" spans="1:9" x14ac:dyDescent="0.3">
      <c r="A160" s="9">
        <v>149</v>
      </c>
      <c r="B160">
        <v>5.0199999999999996</v>
      </c>
      <c r="C160" s="90">
        <v>130</v>
      </c>
      <c r="D160" s="90">
        <f t="shared" ref="D160:D223" si="12">D159</f>
        <v>2.84</v>
      </c>
      <c r="E160" s="90">
        <v>70.59</v>
      </c>
      <c r="F160" s="92">
        <f t="shared" si="11"/>
        <v>200.47559999999999</v>
      </c>
      <c r="G160" s="93"/>
      <c r="H160" s="93"/>
      <c r="I160" s="93"/>
    </row>
    <row r="161" spans="1:9" x14ac:dyDescent="0.3">
      <c r="A161" s="9">
        <v>150</v>
      </c>
      <c r="B161">
        <v>5.04</v>
      </c>
      <c r="C161" s="90">
        <v>131</v>
      </c>
      <c r="D161" s="90">
        <f t="shared" si="12"/>
        <v>2.84</v>
      </c>
      <c r="E161" s="90">
        <v>70.790000000000006</v>
      </c>
      <c r="F161" s="92">
        <f t="shared" si="11"/>
        <v>201.0436</v>
      </c>
      <c r="G161" s="93"/>
      <c r="H161" s="93"/>
      <c r="I161" s="93"/>
    </row>
    <row r="162" spans="1:9" x14ac:dyDescent="0.3">
      <c r="A162" s="9">
        <v>151</v>
      </c>
      <c r="B162">
        <v>5.08</v>
      </c>
      <c r="C162" s="90">
        <v>132</v>
      </c>
      <c r="D162" s="90">
        <f t="shared" si="12"/>
        <v>2.84</v>
      </c>
      <c r="E162" s="90">
        <v>70.989999999999995</v>
      </c>
      <c r="F162" s="92">
        <f t="shared" si="11"/>
        <v>201.61159999999998</v>
      </c>
      <c r="G162" s="93"/>
      <c r="H162" s="93"/>
      <c r="I162" s="93"/>
    </row>
    <row r="163" spans="1:9" x14ac:dyDescent="0.3">
      <c r="A163" s="9">
        <v>152</v>
      </c>
      <c r="B163">
        <v>5.0999999999999996</v>
      </c>
      <c r="C163" s="90">
        <v>133</v>
      </c>
      <c r="D163" s="90">
        <f t="shared" si="12"/>
        <v>2.84</v>
      </c>
      <c r="E163" s="90">
        <v>71.19</v>
      </c>
      <c r="F163" s="92">
        <f t="shared" si="11"/>
        <v>202.17959999999999</v>
      </c>
      <c r="G163" s="93"/>
      <c r="H163" s="93"/>
      <c r="I163" s="93"/>
    </row>
    <row r="164" spans="1:9" x14ac:dyDescent="0.3">
      <c r="A164" s="9">
        <v>153</v>
      </c>
      <c r="B164">
        <v>5.14</v>
      </c>
      <c r="C164" s="90">
        <v>134</v>
      </c>
      <c r="D164" s="90">
        <f t="shared" si="12"/>
        <v>2.84</v>
      </c>
      <c r="E164" s="90">
        <v>71.39</v>
      </c>
      <c r="F164" s="92">
        <f t="shared" si="11"/>
        <v>202.74760000000001</v>
      </c>
      <c r="G164" s="93"/>
      <c r="H164" s="93"/>
      <c r="I164" s="93"/>
    </row>
    <row r="165" spans="1:9" x14ac:dyDescent="0.3">
      <c r="A165" s="9">
        <v>154</v>
      </c>
      <c r="B165">
        <v>5.16</v>
      </c>
      <c r="C165" s="90">
        <v>135</v>
      </c>
      <c r="D165" s="90">
        <f t="shared" si="12"/>
        <v>2.84</v>
      </c>
      <c r="E165" s="90">
        <v>71.59</v>
      </c>
      <c r="F165" s="92">
        <f t="shared" si="11"/>
        <v>203.31559999999999</v>
      </c>
      <c r="G165" s="93"/>
      <c r="H165" s="93"/>
      <c r="I165" s="93"/>
    </row>
    <row r="166" spans="1:9" x14ac:dyDescent="0.3">
      <c r="A166" s="9">
        <v>155</v>
      </c>
      <c r="B166">
        <v>5.2</v>
      </c>
      <c r="C166" s="90">
        <v>136</v>
      </c>
      <c r="D166" s="90">
        <f t="shared" si="12"/>
        <v>2.84</v>
      </c>
      <c r="E166" s="90">
        <v>71.790000000000006</v>
      </c>
      <c r="F166" s="92">
        <f t="shared" si="11"/>
        <v>203.8836</v>
      </c>
      <c r="G166" s="93"/>
      <c r="H166" s="93"/>
      <c r="I166" s="93"/>
    </row>
    <row r="167" spans="1:9" x14ac:dyDescent="0.3">
      <c r="A167" s="9">
        <v>156</v>
      </c>
      <c r="B167">
        <v>5.22</v>
      </c>
      <c r="C167" s="90">
        <v>137</v>
      </c>
      <c r="D167" s="90">
        <f t="shared" si="12"/>
        <v>2.84</v>
      </c>
      <c r="E167" s="90">
        <v>71.989999999999995</v>
      </c>
      <c r="F167" s="92">
        <f t="shared" si="11"/>
        <v>204.45159999999998</v>
      </c>
      <c r="G167" s="93"/>
      <c r="H167" s="93"/>
      <c r="I167" s="93"/>
    </row>
    <row r="168" spans="1:9" x14ac:dyDescent="0.3">
      <c r="A168" s="9">
        <v>157</v>
      </c>
      <c r="B168">
        <v>5.26</v>
      </c>
      <c r="C168" s="90">
        <v>138</v>
      </c>
      <c r="D168" s="90">
        <f t="shared" si="12"/>
        <v>2.84</v>
      </c>
      <c r="E168" s="90">
        <v>72.19</v>
      </c>
      <c r="F168" s="92">
        <f t="shared" si="11"/>
        <v>205.0196</v>
      </c>
      <c r="G168" s="93"/>
      <c r="H168" s="93"/>
      <c r="I168" s="93"/>
    </row>
    <row r="169" spans="1:9" x14ac:dyDescent="0.3">
      <c r="A169" s="9">
        <v>158</v>
      </c>
      <c r="B169">
        <v>5.28</v>
      </c>
      <c r="C169" s="90">
        <v>139</v>
      </c>
      <c r="D169" s="90">
        <f t="shared" si="12"/>
        <v>2.84</v>
      </c>
      <c r="E169" s="90">
        <v>72.39</v>
      </c>
      <c r="F169" s="92">
        <f t="shared" si="11"/>
        <v>205.58759999999998</v>
      </c>
      <c r="G169" s="93"/>
      <c r="H169" s="93"/>
      <c r="I169" s="93"/>
    </row>
    <row r="170" spans="1:9" x14ac:dyDescent="0.3">
      <c r="A170" s="9">
        <v>159</v>
      </c>
      <c r="B170">
        <v>5.32</v>
      </c>
      <c r="C170" s="90">
        <v>140</v>
      </c>
      <c r="D170" s="90">
        <f t="shared" si="12"/>
        <v>2.84</v>
      </c>
      <c r="E170" s="90">
        <v>72.59</v>
      </c>
      <c r="F170" s="92">
        <f t="shared" si="11"/>
        <v>206.15559999999999</v>
      </c>
      <c r="G170" s="93"/>
      <c r="H170" s="93"/>
      <c r="I170" s="93"/>
    </row>
    <row r="171" spans="1:9" x14ac:dyDescent="0.3">
      <c r="A171" s="9">
        <v>160</v>
      </c>
      <c r="B171">
        <v>5.34</v>
      </c>
      <c r="C171" s="90">
        <v>141</v>
      </c>
      <c r="D171" s="90">
        <f t="shared" si="12"/>
        <v>2.84</v>
      </c>
      <c r="E171" s="90">
        <v>72.790000000000006</v>
      </c>
      <c r="F171" s="92">
        <f t="shared" si="11"/>
        <v>206.7236</v>
      </c>
      <c r="G171" s="93"/>
      <c r="H171" s="93"/>
      <c r="I171" s="93"/>
    </row>
    <row r="172" spans="1:9" x14ac:dyDescent="0.3">
      <c r="A172" s="9">
        <v>161</v>
      </c>
      <c r="B172">
        <v>5.38</v>
      </c>
      <c r="C172" s="90">
        <v>142</v>
      </c>
      <c r="D172" s="90">
        <f t="shared" si="12"/>
        <v>2.84</v>
      </c>
      <c r="E172" s="90">
        <v>72.989999999999995</v>
      </c>
      <c r="F172" s="92">
        <f t="shared" si="11"/>
        <v>207.29159999999999</v>
      </c>
      <c r="G172" s="93"/>
      <c r="H172" s="93"/>
      <c r="I172" s="93"/>
    </row>
    <row r="173" spans="1:9" x14ac:dyDescent="0.3">
      <c r="A173" s="9">
        <v>162</v>
      </c>
      <c r="B173">
        <v>5.4</v>
      </c>
      <c r="C173" s="90">
        <v>143</v>
      </c>
      <c r="D173" s="90">
        <f t="shared" si="12"/>
        <v>2.84</v>
      </c>
      <c r="E173" s="90">
        <v>73.19</v>
      </c>
      <c r="F173" s="92">
        <f t="shared" si="11"/>
        <v>207.85959999999997</v>
      </c>
      <c r="G173" s="93"/>
      <c r="H173" s="93"/>
      <c r="I173" s="93"/>
    </row>
    <row r="174" spans="1:9" x14ac:dyDescent="0.3">
      <c r="A174" s="9">
        <v>163</v>
      </c>
      <c r="B174">
        <v>5.44</v>
      </c>
      <c r="C174" s="90">
        <v>144</v>
      </c>
      <c r="D174" s="90">
        <f t="shared" si="12"/>
        <v>2.84</v>
      </c>
      <c r="E174" s="90">
        <v>73.39</v>
      </c>
      <c r="F174" s="92">
        <f t="shared" si="11"/>
        <v>208.42759999999998</v>
      </c>
      <c r="G174" s="93"/>
      <c r="H174" s="93"/>
      <c r="I174" s="93"/>
    </row>
    <row r="175" spans="1:9" x14ac:dyDescent="0.3">
      <c r="A175" s="9">
        <v>164</v>
      </c>
      <c r="B175">
        <v>5.46</v>
      </c>
      <c r="C175" s="90">
        <v>145</v>
      </c>
      <c r="D175" s="90">
        <f t="shared" si="12"/>
        <v>2.84</v>
      </c>
      <c r="E175" s="90">
        <v>73.59</v>
      </c>
      <c r="F175" s="92">
        <f t="shared" si="11"/>
        <v>208.9956</v>
      </c>
      <c r="G175" s="93"/>
      <c r="H175" s="93"/>
      <c r="I175" s="93"/>
    </row>
    <row r="176" spans="1:9" x14ac:dyDescent="0.3">
      <c r="A176" s="9">
        <v>165</v>
      </c>
      <c r="B176">
        <v>5.48</v>
      </c>
      <c r="C176" s="90">
        <v>146</v>
      </c>
      <c r="D176" s="90">
        <f t="shared" si="12"/>
        <v>2.84</v>
      </c>
      <c r="E176" s="90">
        <v>73.790000000000006</v>
      </c>
      <c r="F176" s="92">
        <f t="shared" si="11"/>
        <v>209.56360000000001</v>
      </c>
      <c r="G176" s="93"/>
      <c r="H176" s="93"/>
      <c r="I176" s="93"/>
    </row>
    <row r="177" spans="1:9" x14ac:dyDescent="0.3">
      <c r="A177" s="9">
        <v>166</v>
      </c>
      <c r="B177">
        <v>5.52</v>
      </c>
      <c r="C177" s="90">
        <v>147</v>
      </c>
      <c r="D177" s="90">
        <f t="shared" si="12"/>
        <v>2.84</v>
      </c>
      <c r="E177" s="90">
        <v>73.989999999999995</v>
      </c>
      <c r="F177" s="92">
        <f t="shared" si="11"/>
        <v>210.13159999999996</v>
      </c>
      <c r="G177" s="93"/>
      <c r="H177" s="93"/>
      <c r="I177" s="93"/>
    </row>
    <row r="178" spans="1:9" x14ac:dyDescent="0.3">
      <c r="A178" s="9">
        <v>167</v>
      </c>
      <c r="B178">
        <v>5.54</v>
      </c>
      <c r="C178" s="90">
        <v>148</v>
      </c>
      <c r="D178" s="90">
        <f t="shared" si="12"/>
        <v>2.84</v>
      </c>
      <c r="E178" s="90">
        <v>74.19</v>
      </c>
      <c r="F178" s="92">
        <f t="shared" si="11"/>
        <v>210.69959999999998</v>
      </c>
      <c r="G178" s="93"/>
      <c r="H178" s="93"/>
      <c r="I178" s="93"/>
    </row>
    <row r="179" spans="1:9" x14ac:dyDescent="0.3">
      <c r="A179" s="9">
        <v>168</v>
      </c>
      <c r="B179">
        <v>5.58</v>
      </c>
      <c r="C179" s="90">
        <v>149</v>
      </c>
      <c r="D179" s="90">
        <f t="shared" si="12"/>
        <v>2.84</v>
      </c>
      <c r="E179" s="90">
        <v>74.389999999999901</v>
      </c>
      <c r="F179" s="92">
        <f t="shared" si="11"/>
        <v>211.2675999999997</v>
      </c>
      <c r="G179" s="93"/>
      <c r="H179" s="93"/>
      <c r="I179" s="93"/>
    </row>
    <row r="180" spans="1:9" x14ac:dyDescent="0.3">
      <c r="A180" s="9">
        <v>169</v>
      </c>
      <c r="B180">
        <v>5.6</v>
      </c>
      <c r="C180" s="90">
        <v>150</v>
      </c>
      <c r="D180" s="90">
        <f t="shared" si="12"/>
        <v>2.84</v>
      </c>
      <c r="E180" s="90">
        <v>74.589999999999904</v>
      </c>
      <c r="F180" s="92">
        <f t="shared" si="11"/>
        <v>211.83559999999972</v>
      </c>
      <c r="G180" s="93"/>
      <c r="H180" s="93"/>
      <c r="I180" s="93"/>
    </row>
    <row r="181" spans="1:9" x14ac:dyDescent="0.3">
      <c r="A181" s="9">
        <v>170</v>
      </c>
      <c r="B181">
        <v>5.64</v>
      </c>
      <c r="C181" s="90">
        <v>151</v>
      </c>
      <c r="D181" s="90">
        <f t="shared" si="12"/>
        <v>2.84</v>
      </c>
      <c r="E181" s="90">
        <v>74.739999999999995</v>
      </c>
      <c r="F181" s="92">
        <f t="shared" si="11"/>
        <v>212.26159999999999</v>
      </c>
      <c r="G181" s="93"/>
      <c r="H181" s="93"/>
      <c r="I181" s="93"/>
    </row>
    <row r="182" spans="1:9" x14ac:dyDescent="0.3">
      <c r="A182" s="9">
        <v>171</v>
      </c>
      <c r="B182">
        <v>5.66</v>
      </c>
      <c r="C182" s="90">
        <v>152</v>
      </c>
      <c r="D182" s="90">
        <f t="shared" si="12"/>
        <v>2.84</v>
      </c>
      <c r="E182" s="90">
        <v>74.89</v>
      </c>
      <c r="F182" s="92">
        <f t="shared" si="11"/>
        <v>212.6876</v>
      </c>
      <c r="G182" s="93"/>
      <c r="H182" s="93"/>
      <c r="I182" s="93"/>
    </row>
    <row r="183" spans="1:9" x14ac:dyDescent="0.3">
      <c r="A183" s="9">
        <v>172</v>
      </c>
      <c r="B183">
        <v>5.7</v>
      </c>
      <c r="C183" s="90">
        <v>153</v>
      </c>
      <c r="D183" s="90">
        <f t="shared" si="12"/>
        <v>2.84</v>
      </c>
      <c r="E183" s="90">
        <v>75.040000000000006</v>
      </c>
      <c r="F183" s="92">
        <f t="shared" si="11"/>
        <v>213.11360000000002</v>
      </c>
      <c r="G183" s="93"/>
      <c r="H183" s="93"/>
      <c r="I183" s="93"/>
    </row>
    <row r="184" spans="1:9" x14ac:dyDescent="0.3">
      <c r="A184" s="9">
        <v>173</v>
      </c>
      <c r="B184">
        <v>5.72</v>
      </c>
      <c r="C184" s="90">
        <v>154</v>
      </c>
      <c r="D184" s="90">
        <f t="shared" si="12"/>
        <v>2.84</v>
      </c>
      <c r="E184" s="90">
        <v>75.19</v>
      </c>
      <c r="F184" s="92">
        <f t="shared" si="11"/>
        <v>213.53959999999998</v>
      </c>
      <c r="G184" s="93"/>
      <c r="H184" s="93"/>
      <c r="I184" s="93"/>
    </row>
    <row r="185" spans="1:9" x14ac:dyDescent="0.3">
      <c r="A185" s="9">
        <v>174</v>
      </c>
      <c r="B185">
        <v>5.76</v>
      </c>
      <c r="C185" s="90">
        <v>155</v>
      </c>
      <c r="D185" s="90">
        <f t="shared" si="12"/>
        <v>2.84</v>
      </c>
      <c r="E185" s="90">
        <v>75.34</v>
      </c>
      <c r="F185" s="92">
        <f t="shared" si="11"/>
        <v>213.96559999999999</v>
      </c>
      <c r="G185" s="93"/>
      <c r="H185" s="93"/>
      <c r="I185" s="93"/>
    </row>
    <row r="186" spans="1:9" x14ac:dyDescent="0.3">
      <c r="A186" s="9">
        <v>175</v>
      </c>
      <c r="B186">
        <v>5.78</v>
      </c>
      <c r="C186" s="90">
        <v>156</v>
      </c>
      <c r="D186" s="90">
        <f t="shared" si="12"/>
        <v>2.84</v>
      </c>
      <c r="E186" s="90">
        <v>75.489999999999995</v>
      </c>
      <c r="F186" s="92">
        <f t="shared" si="11"/>
        <v>214.39159999999998</v>
      </c>
      <c r="G186" s="93"/>
      <c r="H186" s="93"/>
      <c r="I186" s="93"/>
    </row>
    <row r="187" spans="1:9" x14ac:dyDescent="0.3">
      <c r="A187" s="9">
        <v>176</v>
      </c>
      <c r="B187">
        <v>5.82</v>
      </c>
      <c r="C187" s="90">
        <v>157</v>
      </c>
      <c r="D187" s="90">
        <f t="shared" si="12"/>
        <v>2.84</v>
      </c>
      <c r="E187" s="90">
        <v>75.64</v>
      </c>
      <c r="F187" s="92">
        <f t="shared" si="11"/>
        <v>214.8176</v>
      </c>
      <c r="G187" s="93"/>
      <c r="H187" s="93"/>
      <c r="I187" s="93"/>
    </row>
    <row r="188" spans="1:9" x14ac:dyDescent="0.3">
      <c r="A188" s="9">
        <v>177</v>
      </c>
      <c r="B188">
        <v>5.84</v>
      </c>
      <c r="C188" s="90">
        <v>158</v>
      </c>
      <c r="D188" s="90">
        <f t="shared" si="12"/>
        <v>2.84</v>
      </c>
      <c r="E188" s="90">
        <v>75.790000000000006</v>
      </c>
      <c r="F188" s="92">
        <f t="shared" si="11"/>
        <v>215.24360000000001</v>
      </c>
      <c r="G188" s="93"/>
      <c r="H188" s="93"/>
      <c r="I188" s="93"/>
    </row>
    <row r="189" spans="1:9" x14ac:dyDescent="0.3">
      <c r="A189" s="9">
        <v>178</v>
      </c>
      <c r="B189">
        <v>5.88</v>
      </c>
      <c r="C189" s="90">
        <v>159</v>
      </c>
      <c r="D189" s="90">
        <f t="shared" si="12"/>
        <v>2.84</v>
      </c>
      <c r="E189" s="90">
        <v>75.94</v>
      </c>
      <c r="F189" s="92">
        <f t="shared" si="11"/>
        <v>215.66959999999997</v>
      </c>
      <c r="G189" s="93"/>
      <c r="H189" s="93"/>
      <c r="I189" s="93"/>
    </row>
    <row r="190" spans="1:9" x14ac:dyDescent="0.3">
      <c r="A190" s="9">
        <v>179</v>
      </c>
      <c r="B190">
        <v>5.9</v>
      </c>
      <c r="C190" s="90">
        <v>160</v>
      </c>
      <c r="D190" s="90">
        <f t="shared" si="12"/>
        <v>2.84</v>
      </c>
      <c r="E190" s="90">
        <v>76.09</v>
      </c>
      <c r="F190" s="92">
        <f t="shared" si="11"/>
        <v>216.09559999999999</v>
      </c>
      <c r="G190" s="93"/>
      <c r="H190" s="93"/>
      <c r="I190" s="93"/>
    </row>
    <row r="191" spans="1:9" x14ac:dyDescent="0.3">
      <c r="A191" s="9">
        <v>180</v>
      </c>
      <c r="B191">
        <v>5.94</v>
      </c>
      <c r="C191" s="90">
        <v>161</v>
      </c>
      <c r="D191" s="90">
        <f t="shared" si="12"/>
        <v>2.84</v>
      </c>
      <c r="E191" s="90">
        <v>76.240000000000094</v>
      </c>
      <c r="F191" s="92">
        <f t="shared" si="11"/>
        <v>216.52160000000026</v>
      </c>
      <c r="G191" s="93"/>
      <c r="H191" s="93"/>
      <c r="I191" s="93"/>
    </row>
    <row r="192" spans="1:9" x14ac:dyDescent="0.3">
      <c r="A192" s="9">
        <v>181</v>
      </c>
      <c r="B192">
        <v>5.96</v>
      </c>
      <c r="C192" s="90">
        <v>162</v>
      </c>
      <c r="D192" s="90">
        <f t="shared" si="12"/>
        <v>2.84</v>
      </c>
      <c r="E192" s="90">
        <v>76.3900000000001</v>
      </c>
      <c r="F192" s="92">
        <f t="shared" si="11"/>
        <v>216.94760000000028</v>
      </c>
      <c r="G192" s="93"/>
      <c r="H192" s="93"/>
      <c r="I192" s="93"/>
    </row>
    <row r="193" spans="1:9" x14ac:dyDescent="0.3">
      <c r="A193" s="9">
        <v>182</v>
      </c>
      <c r="B193">
        <v>5.99</v>
      </c>
      <c r="C193" s="90">
        <v>163</v>
      </c>
      <c r="D193" s="90">
        <f t="shared" si="12"/>
        <v>2.84</v>
      </c>
      <c r="E193" s="90">
        <v>76.540000000000106</v>
      </c>
      <c r="F193" s="92">
        <f t="shared" si="11"/>
        <v>217.37360000000029</v>
      </c>
      <c r="G193" s="93"/>
      <c r="H193" s="93"/>
      <c r="I193" s="93"/>
    </row>
    <row r="194" spans="1:9" x14ac:dyDescent="0.3">
      <c r="A194" s="9">
        <v>183</v>
      </c>
      <c r="B194">
        <v>6.02</v>
      </c>
      <c r="C194" s="90">
        <v>164</v>
      </c>
      <c r="D194" s="90">
        <f t="shared" si="12"/>
        <v>2.84</v>
      </c>
      <c r="E194" s="90">
        <v>76.690000000000097</v>
      </c>
      <c r="F194" s="92">
        <f t="shared" si="11"/>
        <v>217.79960000000025</v>
      </c>
      <c r="G194" s="93"/>
      <c r="H194" s="93"/>
      <c r="I194" s="93"/>
    </row>
    <row r="195" spans="1:9" x14ac:dyDescent="0.3">
      <c r="A195" s="9">
        <v>184</v>
      </c>
      <c r="B195">
        <v>6.05</v>
      </c>
      <c r="C195" s="90">
        <v>165</v>
      </c>
      <c r="D195" s="90">
        <f t="shared" si="12"/>
        <v>2.84</v>
      </c>
      <c r="E195" s="90">
        <v>76.840000000000103</v>
      </c>
      <c r="F195" s="92">
        <f t="shared" si="11"/>
        <v>218.22560000000027</v>
      </c>
      <c r="G195" s="93"/>
      <c r="H195" s="93"/>
      <c r="I195" s="93"/>
    </row>
    <row r="196" spans="1:9" x14ac:dyDescent="0.3">
      <c r="A196" s="9">
        <v>185</v>
      </c>
      <c r="B196">
        <v>6.08</v>
      </c>
      <c r="C196" s="90">
        <v>166</v>
      </c>
      <c r="D196" s="90">
        <f t="shared" si="12"/>
        <v>2.84</v>
      </c>
      <c r="E196" s="90">
        <v>76.990000000000094</v>
      </c>
      <c r="F196" s="92">
        <f t="shared" si="11"/>
        <v>218.65160000000026</v>
      </c>
      <c r="G196" s="93"/>
      <c r="H196" s="93"/>
      <c r="I196" s="93"/>
    </row>
    <row r="197" spans="1:9" x14ac:dyDescent="0.3">
      <c r="A197" s="9">
        <v>186</v>
      </c>
      <c r="B197">
        <v>6.11</v>
      </c>
      <c r="C197" s="90">
        <v>167</v>
      </c>
      <c r="D197" s="90">
        <f t="shared" si="12"/>
        <v>2.84</v>
      </c>
      <c r="E197" s="90">
        <v>77.1400000000001</v>
      </c>
      <c r="F197" s="92">
        <f t="shared" si="11"/>
        <v>219.07760000000027</v>
      </c>
      <c r="G197" s="93"/>
      <c r="H197" s="93"/>
      <c r="I197" s="93"/>
    </row>
    <row r="198" spans="1:9" x14ac:dyDescent="0.3">
      <c r="A198" s="9">
        <v>187</v>
      </c>
      <c r="B198">
        <v>6.14</v>
      </c>
      <c r="C198" s="90">
        <v>168</v>
      </c>
      <c r="D198" s="90">
        <f t="shared" si="12"/>
        <v>2.84</v>
      </c>
      <c r="E198" s="90">
        <v>77.290000000000106</v>
      </c>
      <c r="F198" s="92">
        <f t="shared" si="11"/>
        <v>219.50360000000029</v>
      </c>
      <c r="G198" s="93"/>
      <c r="H198" s="93"/>
      <c r="I198" s="93"/>
    </row>
    <row r="199" spans="1:9" x14ac:dyDescent="0.3">
      <c r="A199" s="9">
        <v>188</v>
      </c>
      <c r="B199">
        <v>6.17</v>
      </c>
      <c r="C199" s="90">
        <v>169</v>
      </c>
      <c r="D199" s="90">
        <f t="shared" si="12"/>
        <v>2.84</v>
      </c>
      <c r="E199" s="90">
        <v>77.440000000000097</v>
      </c>
      <c r="F199" s="92">
        <f t="shared" si="11"/>
        <v>219.92960000000028</v>
      </c>
      <c r="G199" s="93"/>
      <c r="H199" s="93"/>
      <c r="I199" s="93"/>
    </row>
    <row r="200" spans="1:9" x14ac:dyDescent="0.3">
      <c r="A200" s="9">
        <v>189</v>
      </c>
      <c r="B200">
        <v>6.2</v>
      </c>
      <c r="C200" s="90">
        <v>170</v>
      </c>
      <c r="D200" s="90">
        <f t="shared" si="12"/>
        <v>2.84</v>
      </c>
      <c r="E200" s="90">
        <v>77.590000000000103</v>
      </c>
      <c r="F200" s="92">
        <f t="shared" si="11"/>
        <v>220.35560000000029</v>
      </c>
      <c r="G200" s="93"/>
      <c r="H200" s="93"/>
      <c r="I200" s="93"/>
    </row>
    <row r="201" spans="1:9" x14ac:dyDescent="0.3">
      <c r="A201" s="9">
        <v>190</v>
      </c>
      <c r="B201">
        <v>6.23</v>
      </c>
      <c r="C201" s="90">
        <v>171</v>
      </c>
      <c r="D201" s="90">
        <f t="shared" si="12"/>
        <v>2.84</v>
      </c>
      <c r="E201" s="90">
        <v>77.739999999999995</v>
      </c>
      <c r="F201" s="92">
        <f t="shared" si="11"/>
        <v>220.78159999999997</v>
      </c>
      <c r="G201" s="93"/>
      <c r="H201" s="93"/>
      <c r="I201" s="93"/>
    </row>
    <row r="202" spans="1:9" x14ac:dyDescent="0.3">
      <c r="A202" s="9">
        <v>191</v>
      </c>
      <c r="B202">
        <v>6.26</v>
      </c>
      <c r="C202" s="90">
        <v>172</v>
      </c>
      <c r="D202" s="90">
        <f t="shared" si="12"/>
        <v>2.84</v>
      </c>
      <c r="E202" s="90">
        <v>77.89</v>
      </c>
      <c r="F202" s="92">
        <f t="shared" si="11"/>
        <v>221.20759999999999</v>
      </c>
      <c r="G202" s="93"/>
      <c r="H202" s="93"/>
      <c r="I202" s="93"/>
    </row>
    <row r="203" spans="1:9" x14ac:dyDescent="0.3">
      <c r="A203" s="9">
        <v>192</v>
      </c>
      <c r="B203">
        <v>6.29</v>
      </c>
      <c r="C203" s="90">
        <v>173</v>
      </c>
      <c r="D203" s="90">
        <f t="shared" si="12"/>
        <v>2.84</v>
      </c>
      <c r="E203" s="90">
        <v>78.040000000000006</v>
      </c>
      <c r="F203" s="92">
        <f t="shared" si="11"/>
        <v>221.6336</v>
      </c>
      <c r="G203" s="93"/>
      <c r="H203" s="93"/>
      <c r="I203" s="93"/>
    </row>
    <row r="204" spans="1:9" x14ac:dyDescent="0.3">
      <c r="A204" s="9">
        <v>193</v>
      </c>
      <c r="B204">
        <v>6.31</v>
      </c>
      <c r="C204" s="90">
        <v>174</v>
      </c>
      <c r="D204" s="90">
        <f t="shared" si="12"/>
        <v>2.84</v>
      </c>
      <c r="E204" s="90">
        <v>78.19</v>
      </c>
      <c r="F204" s="92">
        <f t="shared" si="11"/>
        <v>222.05959999999999</v>
      </c>
      <c r="G204" s="93"/>
      <c r="H204" s="93"/>
      <c r="I204" s="93"/>
    </row>
    <row r="205" spans="1:9" x14ac:dyDescent="0.3">
      <c r="A205" s="9">
        <v>194</v>
      </c>
      <c r="B205">
        <v>6.35</v>
      </c>
      <c r="C205" s="90">
        <v>175</v>
      </c>
      <c r="D205" s="90">
        <f t="shared" si="12"/>
        <v>2.84</v>
      </c>
      <c r="E205" s="90">
        <v>78.34</v>
      </c>
      <c r="F205" s="92">
        <f t="shared" si="11"/>
        <v>222.48560000000001</v>
      </c>
      <c r="G205" s="93"/>
      <c r="H205" s="93"/>
      <c r="I205" s="93"/>
    </row>
    <row r="206" spans="1:9" x14ac:dyDescent="0.3">
      <c r="A206" s="9">
        <v>195</v>
      </c>
      <c r="B206">
        <v>6.37</v>
      </c>
      <c r="C206" s="90">
        <v>176</v>
      </c>
      <c r="D206" s="90">
        <f t="shared" si="12"/>
        <v>2.84</v>
      </c>
      <c r="E206" s="90">
        <v>78.44</v>
      </c>
      <c r="F206" s="92">
        <f t="shared" si="11"/>
        <v>222.76959999999997</v>
      </c>
      <c r="G206" s="93"/>
      <c r="H206" s="93"/>
      <c r="I206" s="93"/>
    </row>
    <row r="207" spans="1:9" x14ac:dyDescent="0.3">
      <c r="A207" s="9">
        <v>196</v>
      </c>
      <c r="B207">
        <v>6.41</v>
      </c>
      <c r="C207" s="90">
        <v>177</v>
      </c>
      <c r="D207" s="90">
        <f t="shared" si="12"/>
        <v>2.84</v>
      </c>
      <c r="E207" s="90">
        <v>78.540000000000006</v>
      </c>
      <c r="F207" s="92">
        <f t="shared" si="11"/>
        <v>223.05360000000002</v>
      </c>
      <c r="G207" s="93"/>
      <c r="H207" s="93"/>
      <c r="I207" s="93"/>
    </row>
    <row r="208" spans="1:9" x14ac:dyDescent="0.3">
      <c r="A208" s="9">
        <v>197</v>
      </c>
      <c r="B208">
        <v>6.43</v>
      </c>
      <c r="C208" s="90">
        <v>178</v>
      </c>
      <c r="D208" s="90">
        <f t="shared" si="12"/>
        <v>2.84</v>
      </c>
      <c r="E208" s="90">
        <v>78.64</v>
      </c>
      <c r="F208" s="92">
        <f t="shared" si="11"/>
        <v>223.33759999999998</v>
      </c>
      <c r="G208" s="93"/>
      <c r="H208" s="93"/>
      <c r="I208" s="93"/>
    </row>
    <row r="209" spans="1:9" x14ac:dyDescent="0.3">
      <c r="A209" s="9">
        <v>198</v>
      </c>
      <c r="B209">
        <v>6.47</v>
      </c>
      <c r="C209" s="90">
        <v>179</v>
      </c>
      <c r="D209" s="90">
        <f t="shared" si="12"/>
        <v>2.84</v>
      </c>
      <c r="E209" s="90">
        <v>78.739999999999995</v>
      </c>
      <c r="F209" s="92">
        <f t="shared" si="11"/>
        <v>223.62159999999997</v>
      </c>
      <c r="G209" s="93"/>
      <c r="H209" s="93"/>
      <c r="I209" s="93"/>
    </row>
    <row r="210" spans="1:9" x14ac:dyDescent="0.3">
      <c r="A210" s="9">
        <v>199</v>
      </c>
      <c r="B210">
        <v>6.49</v>
      </c>
      <c r="C210" s="90">
        <v>180</v>
      </c>
      <c r="D210" s="90">
        <f t="shared" si="12"/>
        <v>2.84</v>
      </c>
      <c r="E210" s="90">
        <v>78.84</v>
      </c>
      <c r="F210" s="92">
        <f t="shared" si="11"/>
        <v>223.90559999999999</v>
      </c>
      <c r="G210" s="93"/>
      <c r="H210" s="93"/>
      <c r="I210" s="93"/>
    </row>
    <row r="211" spans="1:9" x14ac:dyDescent="0.3">
      <c r="A211" s="9">
        <v>200</v>
      </c>
      <c r="B211">
        <v>6.52</v>
      </c>
      <c r="C211" s="90">
        <v>181</v>
      </c>
      <c r="D211" s="90">
        <f t="shared" si="12"/>
        <v>2.84</v>
      </c>
      <c r="E211" s="90">
        <v>78.94</v>
      </c>
      <c r="F211" s="92">
        <f t="shared" si="11"/>
        <v>224.18959999999998</v>
      </c>
      <c r="G211" s="93"/>
      <c r="H211" s="93"/>
      <c r="I211" s="93"/>
    </row>
    <row r="212" spans="1:9" x14ac:dyDescent="0.3">
      <c r="A212" s="9">
        <v>201</v>
      </c>
      <c r="B212">
        <v>6.55</v>
      </c>
      <c r="C212" s="90">
        <v>182</v>
      </c>
      <c r="D212" s="90">
        <f t="shared" si="12"/>
        <v>2.84</v>
      </c>
      <c r="E212" s="90">
        <v>79.040000000000006</v>
      </c>
      <c r="F212" s="92">
        <f t="shared" si="11"/>
        <v>224.4736</v>
      </c>
      <c r="G212" s="93"/>
      <c r="H212" s="93"/>
      <c r="I212" s="93"/>
    </row>
    <row r="213" spans="1:9" x14ac:dyDescent="0.3">
      <c r="A213" s="9">
        <v>202</v>
      </c>
      <c r="B213">
        <v>6.58</v>
      </c>
      <c r="C213" s="90">
        <v>183</v>
      </c>
      <c r="D213" s="90">
        <f t="shared" si="12"/>
        <v>2.84</v>
      </c>
      <c r="E213" s="90">
        <v>79.14</v>
      </c>
      <c r="F213" s="92">
        <f t="shared" si="11"/>
        <v>224.7576</v>
      </c>
      <c r="G213" s="93"/>
      <c r="H213" s="93"/>
      <c r="I213" s="93"/>
    </row>
    <row r="214" spans="1:9" x14ac:dyDescent="0.3">
      <c r="A214" s="9">
        <v>203</v>
      </c>
      <c r="B214">
        <v>6.61</v>
      </c>
      <c r="C214" s="90">
        <v>184</v>
      </c>
      <c r="D214" s="90">
        <f t="shared" si="12"/>
        <v>2.84</v>
      </c>
      <c r="E214" s="90">
        <v>79.239999999999995</v>
      </c>
      <c r="F214" s="92">
        <f t="shared" si="11"/>
        <v>225.04159999999999</v>
      </c>
      <c r="G214" s="93"/>
      <c r="H214" s="93"/>
      <c r="I214" s="93"/>
    </row>
    <row r="215" spans="1:9" x14ac:dyDescent="0.3">
      <c r="A215" s="9">
        <v>204</v>
      </c>
      <c r="B215">
        <v>6.64</v>
      </c>
      <c r="C215" s="90">
        <v>185</v>
      </c>
      <c r="D215" s="90">
        <f t="shared" si="12"/>
        <v>2.84</v>
      </c>
      <c r="E215" s="90">
        <v>79.34</v>
      </c>
      <c r="F215" s="92">
        <f t="shared" si="11"/>
        <v>225.32560000000001</v>
      </c>
      <c r="G215" s="93"/>
      <c r="H215" s="93"/>
      <c r="I215" s="93"/>
    </row>
    <row r="216" spans="1:9" x14ac:dyDescent="0.3">
      <c r="A216" s="9">
        <v>205</v>
      </c>
      <c r="B216">
        <v>6.67</v>
      </c>
      <c r="C216" s="90">
        <v>186</v>
      </c>
      <c r="D216" s="90">
        <f t="shared" si="12"/>
        <v>2.84</v>
      </c>
      <c r="E216" s="90">
        <v>79.44</v>
      </c>
      <c r="F216" s="92">
        <f t="shared" si="11"/>
        <v>225.60959999999997</v>
      </c>
      <c r="G216" s="93"/>
      <c r="H216" s="93"/>
      <c r="I216" s="93"/>
    </row>
    <row r="217" spans="1:9" x14ac:dyDescent="0.3">
      <c r="A217" s="9">
        <v>206</v>
      </c>
      <c r="B217">
        <v>6.7</v>
      </c>
      <c r="C217" s="90">
        <v>187</v>
      </c>
      <c r="D217" s="90">
        <f t="shared" si="12"/>
        <v>2.84</v>
      </c>
      <c r="E217" s="90">
        <v>79.539999999999907</v>
      </c>
      <c r="F217" s="92">
        <f t="shared" si="11"/>
        <v>225.89359999999974</v>
      </c>
      <c r="G217" s="93"/>
      <c r="H217" s="93"/>
      <c r="I217" s="93"/>
    </row>
    <row r="218" spans="1:9" x14ac:dyDescent="0.3">
      <c r="A218" s="9">
        <v>207</v>
      </c>
      <c r="B218">
        <v>6.72</v>
      </c>
      <c r="C218" s="90">
        <v>188</v>
      </c>
      <c r="D218" s="90">
        <f t="shared" si="12"/>
        <v>2.84</v>
      </c>
      <c r="E218" s="90">
        <v>79.639999999999901</v>
      </c>
      <c r="F218" s="92">
        <f t="shared" si="11"/>
        <v>226.1775999999997</v>
      </c>
      <c r="G218" s="93"/>
      <c r="H218" s="93"/>
      <c r="I218" s="93"/>
    </row>
    <row r="219" spans="1:9" x14ac:dyDescent="0.3">
      <c r="A219" s="9">
        <v>208</v>
      </c>
      <c r="B219">
        <v>6.76</v>
      </c>
      <c r="C219" s="90">
        <v>189</v>
      </c>
      <c r="D219" s="90">
        <f t="shared" si="12"/>
        <v>2.84</v>
      </c>
      <c r="E219" s="90">
        <v>79.739999999999895</v>
      </c>
      <c r="F219" s="92">
        <f t="shared" si="11"/>
        <v>226.46159999999969</v>
      </c>
      <c r="G219" s="93"/>
      <c r="H219" s="93"/>
      <c r="I219" s="93"/>
    </row>
    <row r="220" spans="1:9" x14ac:dyDescent="0.3">
      <c r="A220" s="9">
        <v>209</v>
      </c>
      <c r="B220">
        <v>6.78</v>
      </c>
      <c r="C220" s="90">
        <v>190</v>
      </c>
      <c r="D220" s="90">
        <f t="shared" si="12"/>
        <v>2.84</v>
      </c>
      <c r="E220" s="90">
        <v>79.839999999999904</v>
      </c>
      <c r="F220" s="92">
        <f t="shared" si="11"/>
        <v>226.74559999999971</v>
      </c>
      <c r="G220" s="93"/>
      <c r="H220" s="93"/>
      <c r="I220" s="93"/>
    </row>
    <row r="221" spans="1:9" x14ac:dyDescent="0.3">
      <c r="A221" s="9">
        <v>210</v>
      </c>
      <c r="B221">
        <v>6.82</v>
      </c>
      <c r="C221" s="90">
        <v>191</v>
      </c>
      <c r="D221" s="90">
        <f t="shared" si="12"/>
        <v>2.84</v>
      </c>
      <c r="E221" s="90">
        <v>79.939999999999898</v>
      </c>
      <c r="F221" s="92">
        <f t="shared" si="11"/>
        <v>227.0295999999997</v>
      </c>
      <c r="G221" s="93"/>
      <c r="H221" s="93"/>
      <c r="I221" s="93"/>
    </row>
    <row r="222" spans="1:9" x14ac:dyDescent="0.3">
      <c r="A222" s="9">
        <v>211</v>
      </c>
      <c r="B222">
        <v>6.84</v>
      </c>
      <c r="C222" s="90">
        <v>192</v>
      </c>
      <c r="D222" s="90">
        <f t="shared" si="12"/>
        <v>2.84</v>
      </c>
      <c r="E222" s="90">
        <v>80.039999999999907</v>
      </c>
      <c r="F222" s="92">
        <f t="shared" si="11"/>
        <v>227.31359999999972</v>
      </c>
      <c r="G222" s="93"/>
      <c r="H222" s="93"/>
      <c r="I222" s="93"/>
    </row>
    <row r="223" spans="1:9" x14ac:dyDescent="0.3">
      <c r="A223" s="9">
        <v>212</v>
      </c>
      <c r="B223">
        <v>6.88</v>
      </c>
      <c r="C223" s="90">
        <v>193</v>
      </c>
      <c r="D223" s="90">
        <f t="shared" si="12"/>
        <v>2.84</v>
      </c>
      <c r="E223" s="90">
        <v>80.139999999999901</v>
      </c>
      <c r="F223" s="92">
        <f t="shared" ref="F223:F286" si="13">D223*E223</f>
        <v>227.59759999999972</v>
      </c>
      <c r="G223" s="93"/>
      <c r="H223" s="93"/>
      <c r="I223" s="93"/>
    </row>
    <row r="224" spans="1:9" x14ac:dyDescent="0.3">
      <c r="A224" s="9">
        <v>213</v>
      </c>
      <c r="B224">
        <v>6.9</v>
      </c>
      <c r="C224" s="90">
        <v>194</v>
      </c>
      <c r="D224" s="90">
        <f t="shared" ref="D224:D287" si="14">D223</f>
        <v>2.84</v>
      </c>
      <c r="E224" s="90">
        <v>80.239999999999895</v>
      </c>
      <c r="F224" s="92">
        <f t="shared" si="13"/>
        <v>227.88159999999968</v>
      </c>
      <c r="G224" s="93"/>
      <c r="H224" s="93"/>
      <c r="I224" s="93"/>
    </row>
    <row r="225" spans="1:9" x14ac:dyDescent="0.3">
      <c r="A225" s="9">
        <v>214</v>
      </c>
      <c r="B225">
        <v>6.92</v>
      </c>
      <c r="C225" s="90">
        <v>195</v>
      </c>
      <c r="D225" s="90">
        <f t="shared" si="14"/>
        <v>2.84</v>
      </c>
      <c r="E225" s="90">
        <v>80.339999999999904</v>
      </c>
      <c r="F225" s="92">
        <f t="shared" si="13"/>
        <v>228.16559999999973</v>
      </c>
      <c r="G225" s="93"/>
      <c r="H225" s="93"/>
      <c r="I225" s="93"/>
    </row>
    <row r="226" spans="1:9" x14ac:dyDescent="0.3">
      <c r="A226" s="9">
        <v>215</v>
      </c>
      <c r="B226">
        <v>6.96</v>
      </c>
      <c r="C226" s="90">
        <v>196</v>
      </c>
      <c r="D226" s="90">
        <f t="shared" si="14"/>
        <v>2.84</v>
      </c>
      <c r="E226" s="90">
        <v>80.439999999999898</v>
      </c>
      <c r="F226" s="92">
        <f t="shared" si="13"/>
        <v>228.44959999999969</v>
      </c>
      <c r="G226" s="93"/>
      <c r="H226" s="93"/>
      <c r="I226" s="93"/>
    </row>
    <row r="227" spans="1:9" x14ac:dyDescent="0.3">
      <c r="A227" s="9">
        <v>216</v>
      </c>
      <c r="B227">
        <v>6.98</v>
      </c>
      <c r="C227" s="90">
        <v>197</v>
      </c>
      <c r="D227" s="90">
        <f t="shared" si="14"/>
        <v>2.84</v>
      </c>
      <c r="E227" s="90">
        <v>80.539999999999907</v>
      </c>
      <c r="F227" s="92">
        <f t="shared" si="13"/>
        <v>228.73359999999971</v>
      </c>
      <c r="G227" s="93"/>
      <c r="H227" s="93"/>
      <c r="I227" s="93"/>
    </row>
    <row r="228" spans="1:9" x14ac:dyDescent="0.3">
      <c r="A228" s="9">
        <v>217</v>
      </c>
      <c r="B228">
        <v>7.02</v>
      </c>
      <c r="C228" s="90">
        <v>198</v>
      </c>
      <c r="D228" s="90">
        <f t="shared" si="14"/>
        <v>2.84</v>
      </c>
      <c r="E228" s="90">
        <v>80.639999999999901</v>
      </c>
      <c r="F228" s="92">
        <f t="shared" si="13"/>
        <v>229.0175999999997</v>
      </c>
      <c r="G228" s="93"/>
      <c r="H228" s="93"/>
      <c r="I228" s="93"/>
    </row>
    <row r="229" spans="1:9" x14ac:dyDescent="0.3">
      <c r="A229" s="9">
        <v>218</v>
      </c>
      <c r="B229">
        <v>7.04</v>
      </c>
      <c r="C229" s="90">
        <v>199</v>
      </c>
      <c r="D229" s="90">
        <f t="shared" si="14"/>
        <v>2.84</v>
      </c>
      <c r="E229" s="90">
        <v>80.739999999999895</v>
      </c>
      <c r="F229" s="92">
        <f t="shared" si="13"/>
        <v>229.3015999999997</v>
      </c>
      <c r="G229" s="93"/>
      <c r="H229" s="93"/>
      <c r="I229" s="93"/>
    </row>
    <row r="230" spans="1:9" x14ac:dyDescent="0.3">
      <c r="A230" s="9">
        <v>219</v>
      </c>
      <c r="B230">
        <v>7.07</v>
      </c>
      <c r="C230" s="90">
        <v>200</v>
      </c>
      <c r="D230" s="90">
        <f t="shared" si="14"/>
        <v>2.84</v>
      </c>
      <c r="E230" s="90">
        <v>80.839999999999904</v>
      </c>
      <c r="F230" s="92">
        <f t="shared" si="13"/>
        <v>229.58559999999972</v>
      </c>
      <c r="G230" s="93"/>
      <c r="H230" s="93"/>
      <c r="I230" s="93"/>
    </row>
    <row r="231" spans="1:9" x14ac:dyDescent="0.3">
      <c r="A231" s="9">
        <v>220</v>
      </c>
      <c r="B231">
        <v>7.1</v>
      </c>
      <c r="C231" s="90">
        <v>201</v>
      </c>
      <c r="D231" s="90">
        <f t="shared" si="14"/>
        <v>2.84</v>
      </c>
      <c r="E231" s="90">
        <v>80.89</v>
      </c>
      <c r="F231" s="92">
        <f t="shared" si="13"/>
        <v>229.7276</v>
      </c>
      <c r="G231" s="93"/>
      <c r="H231" s="93"/>
      <c r="I231" s="93"/>
    </row>
    <row r="232" spans="1:9" x14ac:dyDescent="0.3">
      <c r="A232" s="9">
        <v>221</v>
      </c>
      <c r="B232">
        <v>7.13</v>
      </c>
      <c r="C232" s="90">
        <v>202</v>
      </c>
      <c r="D232" s="90">
        <f t="shared" si="14"/>
        <v>2.84</v>
      </c>
      <c r="E232" s="90">
        <v>80.94</v>
      </c>
      <c r="F232" s="92">
        <f t="shared" si="13"/>
        <v>229.86959999999999</v>
      </c>
      <c r="G232" s="93"/>
      <c r="H232" s="93"/>
      <c r="I232" s="93"/>
    </row>
    <row r="233" spans="1:9" x14ac:dyDescent="0.3">
      <c r="A233" s="9">
        <v>222</v>
      </c>
      <c r="B233">
        <v>7.16</v>
      </c>
      <c r="C233" s="90">
        <v>203</v>
      </c>
      <c r="D233" s="90">
        <f t="shared" si="14"/>
        <v>2.84</v>
      </c>
      <c r="E233" s="90">
        <v>80.989999999999995</v>
      </c>
      <c r="F233" s="92">
        <f t="shared" si="13"/>
        <v>230.01159999999999</v>
      </c>
      <c r="G233" s="93"/>
      <c r="H233" s="93"/>
      <c r="I233" s="93"/>
    </row>
    <row r="234" spans="1:9" x14ac:dyDescent="0.3">
      <c r="A234" s="9">
        <v>223</v>
      </c>
      <c r="B234">
        <v>7.19</v>
      </c>
      <c r="C234" s="90">
        <v>204</v>
      </c>
      <c r="D234" s="90">
        <f t="shared" si="14"/>
        <v>2.84</v>
      </c>
      <c r="E234" s="90">
        <v>81.040000000000006</v>
      </c>
      <c r="F234" s="92">
        <f t="shared" si="13"/>
        <v>230.15360000000001</v>
      </c>
      <c r="G234" s="93"/>
      <c r="H234" s="93"/>
      <c r="I234" s="93"/>
    </row>
    <row r="235" spans="1:9" x14ac:dyDescent="0.3">
      <c r="A235" s="9">
        <v>224</v>
      </c>
      <c r="B235">
        <v>7.21</v>
      </c>
      <c r="C235" s="90">
        <v>205</v>
      </c>
      <c r="D235" s="90">
        <f t="shared" si="14"/>
        <v>2.84</v>
      </c>
      <c r="E235" s="90">
        <v>81.09</v>
      </c>
      <c r="F235" s="92">
        <f t="shared" si="13"/>
        <v>230.29560000000001</v>
      </c>
      <c r="G235" s="93"/>
      <c r="H235" s="93"/>
      <c r="I235" s="93"/>
    </row>
    <row r="236" spans="1:9" x14ac:dyDescent="0.3">
      <c r="A236" s="9">
        <v>225</v>
      </c>
      <c r="B236">
        <v>7.25</v>
      </c>
      <c r="C236" s="90">
        <v>206</v>
      </c>
      <c r="D236" s="90">
        <f t="shared" si="14"/>
        <v>2.84</v>
      </c>
      <c r="E236" s="90">
        <v>81.14</v>
      </c>
      <c r="F236" s="92">
        <f t="shared" si="13"/>
        <v>230.4376</v>
      </c>
      <c r="G236" s="93"/>
      <c r="H236" s="93"/>
      <c r="I236" s="93"/>
    </row>
    <row r="237" spans="1:9" x14ac:dyDescent="0.3">
      <c r="A237" s="9">
        <v>226</v>
      </c>
      <c r="B237">
        <v>7.27</v>
      </c>
      <c r="C237" s="90">
        <v>207</v>
      </c>
      <c r="D237" s="90">
        <f t="shared" si="14"/>
        <v>2.84</v>
      </c>
      <c r="E237" s="90">
        <v>81.19</v>
      </c>
      <c r="F237" s="92">
        <f t="shared" si="13"/>
        <v>230.57959999999997</v>
      </c>
      <c r="G237" s="93"/>
      <c r="H237" s="93"/>
      <c r="I237" s="93"/>
    </row>
    <row r="238" spans="1:9" x14ac:dyDescent="0.3">
      <c r="A238" s="9">
        <v>227</v>
      </c>
      <c r="B238">
        <v>7.31</v>
      </c>
      <c r="C238" s="90">
        <v>208</v>
      </c>
      <c r="D238" s="90">
        <f t="shared" si="14"/>
        <v>2.84</v>
      </c>
      <c r="E238" s="90">
        <v>81.239999999999995</v>
      </c>
      <c r="F238" s="92">
        <f t="shared" si="13"/>
        <v>230.72159999999997</v>
      </c>
      <c r="G238" s="93"/>
      <c r="H238" s="93"/>
      <c r="I238" s="93"/>
    </row>
    <row r="239" spans="1:9" x14ac:dyDescent="0.3">
      <c r="A239" s="9">
        <v>228</v>
      </c>
      <c r="B239">
        <v>7.33</v>
      </c>
      <c r="C239" s="90">
        <v>209</v>
      </c>
      <c r="D239" s="90">
        <f t="shared" si="14"/>
        <v>2.84</v>
      </c>
      <c r="E239" s="90">
        <v>81.290000000000006</v>
      </c>
      <c r="F239" s="92">
        <f t="shared" si="13"/>
        <v>230.86360000000002</v>
      </c>
      <c r="G239" s="93"/>
      <c r="H239" s="93"/>
      <c r="I239" s="93"/>
    </row>
    <row r="240" spans="1:9" x14ac:dyDescent="0.3">
      <c r="A240" s="9">
        <v>229</v>
      </c>
      <c r="B240">
        <v>7.36</v>
      </c>
      <c r="C240" s="90">
        <v>210</v>
      </c>
      <c r="D240" s="90">
        <f t="shared" si="14"/>
        <v>2.84</v>
      </c>
      <c r="E240" s="90">
        <v>81.34</v>
      </c>
      <c r="F240" s="92">
        <f t="shared" si="13"/>
        <v>231.00559999999999</v>
      </c>
      <c r="G240" s="93"/>
      <c r="H240" s="93"/>
      <c r="I240" s="93"/>
    </row>
    <row r="241" spans="1:9" x14ac:dyDescent="0.3">
      <c r="A241" s="9">
        <v>230</v>
      </c>
      <c r="B241">
        <v>7.39</v>
      </c>
      <c r="C241" s="90">
        <v>211</v>
      </c>
      <c r="D241" s="90">
        <f t="shared" si="14"/>
        <v>2.84</v>
      </c>
      <c r="E241" s="90">
        <v>81.39</v>
      </c>
      <c r="F241" s="92">
        <f t="shared" si="13"/>
        <v>231.14759999999998</v>
      </c>
      <c r="G241" s="93"/>
      <c r="H241" s="93"/>
      <c r="I241" s="93"/>
    </row>
    <row r="242" spans="1:9" x14ac:dyDescent="0.3">
      <c r="A242" s="9">
        <v>231</v>
      </c>
      <c r="B242">
        <v>7.42</v>
      </c>
      <c r="C242" s="90">
        <v>212</v>
      </c>
      <c r="D242" s="90">
        <f t="shared" si="14"/>
        <v>2.84</v>
      </c>
      <c r="E242" s="90">
        <v>81.44</v>
      </c>
      <c r="F242" s="92">
        <f t="shared" si="13"/>
        <v>231.28959999999998</v>
      </c>
      <c r="G242" s="93"/>
      <c r="H242" s="93"/>
      <c r="I242" s="93"/>
    </row>
    <row r="243" spans="1:9" x14ac:dyDescent="0.3">
      <c r="A243" s="9">
        <v>232</v>
      </c>
      <c r="B243">
        <v>7.45</v>
      </c>
      <c r="C243" s="90">
        <v>213</v>
      </c>
      <c r="D243" s="90">
        <f t="shared" si="14"/>
        <v>2.84</v>
      </c>
      <c r="E243" s="90">
        <v>81.489999999999995</v>
      </c>
      <c r="F243" s="92">
        <f t="shared" si="13"/>
        <v>231.43159999999997</v>
      </c>
      <c r="G243" s="93"/>
      <c r="H243" s="93"/>
      <c r="I243" s="93"/>
    </row>
    <row r="244" spans="1:9" x14ac:dyDescent="0.3">
      <c r="A244" s="9">
        <v>233</v>
      </c>
      <c r="B244">
        <v>7.48</v>
      </c>
      <c r="C244" s="90">
        <v>214</v>
      </c>
      <c r="D244" s="90">
        <f t="shared" si="14"/>
        <v>2.84</v>
      </c>
      <c r="E244" s="90">
        <v>81.540000000000006</v>
      </c>
      <c r="F244" s="92">
        <f t="shared" si="13"/>
        <v>231.5736</v>
      </c>
      <c r="G244" s="93"/>
      <c r="H244" s="93"/>
      <c r="I244" s="93"/>
    </row>
    <row r="245" spans="1:9" x14ac:dyDescent="0.3">
      <c r="A245" s="9">
        <v>234</v>
      </c>
      <c r="B245">
        <v>7.5</v>
      </c>
      <c r="C245" s="90">
        <v>215</v>
      </c>
      <c r="D245" s="90">
        <f t="shared" si="14"/>
        <v>2.84</v>
      </c>
      <c r="E245" s="90">
        <v>81.59</v>
      </c>
      <c r="F245" s="92">
        <f t="shared" si="13"/>
        <v>231.71559999999999</v>
      </c>
      <c r="G245" s="93"/>
      <c r="H245" s="93"/>
      <c r="I245" s="93"/>
    </row>
    <row r="246" spans="1:9" x14ac:dyDescent="0.3">
      <c r="A246" s="9">
        <v>235</v>
      </c>
      <c r="B246">
        <v>7.54</v>
      </c>
      <c r="C246" s="90">
        <v>216</v>
      </c>
      <c r="D246" s="90">
        <f t="shared" si="14"/>
        <v>2.84</v>
      </c>
      <c r="E246" s="90">
        <v>81.64</v>
      </c>
      <c r="F246" s="92">
        <f t="shared" si="13"/>
        <v>231.85759999999999</v>
      </c>
      <c r="G246" s="93"/>
      <c r="H246" s="93"/>
      <c r="I246" s="93"/>
    </row>
    <row r="247" spans="1:9" x14ac:dyDescent="0.3">
      <c r="A247" s="9">
        <v>236</v>
      </c>
      <c r="B247">
        <v>7.56</v>
      </c>
      <c r="C247" s="90">
        <v>217</v>
      </c>
      <c r="D247" s="90">
        <f t="shared" si="14"/>
        <v>2.84</v>
      </c>
      <c r="E247" s="90">
        <v>81.69</v>
      </c>
      <c r="F247" s="92">
        <f t="shared" si="13"/>
        <v>231.99959999999999</v>
      </c>
      <c r="G247" s="93"/>
      <c r="H247" s="93"/>
      <c r="I247" s="93"/>
    </row>
    <row r="248" spans="1:9" x14ac:dyDescent="0.3">
      <c r="A248" s="9">
        <v>237</v>
      </c>
      <c r="B248">
        <v>7.6</v>
      </c>
      <c r="C248" s="90">
        <v>218</v>
      </c>
      <c r="D248" s="90">
        <f t="shared" si="14"/>
        <v>2.84</v>
      </c>
      <c r="E248" s="90">
        <v>81.739999999999995</v>
      </c>
      <c r="F248" s="92">
        <f t="shared" si="13"/>
        <v>232.14159999999998</v>
      </c>
      <c r="G248" s="93"/>
      <c r="H248" s="93"/>
      <c r="I248" s="93"/>
    </row>
    <row r="249" spans="1:9" x14ac:dyDescent="0.3">
      <c r="A249" s="9">
        <v>238</v>
      </c>
      <c r="B249">
        <v>7.62</v>
      </c>
      <c r="C249" s="90">
        <v>219</v>
      </c>
      <c r="D249" s="90">
        <f t="shared" si="14"/>
        <v>2.84</v>
      </c>
      <c r="E249" s="90">
        <v>81.790000000000006</v>
      </c>
      <c r="F249" s="92">
        <f t="shared" si="13"/>
        <v>232.28360000000001</v>
      </c>
      <c r="G249" s="93"/>
      <c r="H249" s="93"/>
      <c r="I249" s="93"/>
    </row>
    <row r="250" spans="1:9" x14ac:dyDescent="0.3">
      <c r="A250" s="9">
        <v>239</v>
      </c>
      <c r="B250">
        <v>7.64</v>
      </c>
      <c r="C250" s="90">
        <v>220</v>
      </c>
      <c r="D250" s="90">
        <f t="shared" si="14"/>
        <v>2.84</v>
      </c>
      <c r="E250" s="90">
        <v>81.84</v>
      </c>
      <c r="F250" s="92">
        <f t="shared" si="13"/>
        <v>232.4256</v>
      </c>
      <c r="G250" s="93"/>
      <c r="H250" s="93"/>
      <c r="I250" s="93"/>
    </row>
    <row r="251" spans="1:9" x14ac:dyDescent="0.3">
      <c r="A251" s="9">
        <v>240</v>
      </c>
      <c r="B251">
        <v>7.68</v>
      </c>
      <c r="C251" s="90">
        <v>221</v>
      </c>
      <c r="D251" s="90">
        <f t="shared" si="14"/>
        <v>2.84</v>
      </c>
      <c r="E251" s="90">
        <v>81.89</v>
      </c>
      <c r="F251" s="92">
        <f t="shared" si="13"/>
        <v>232.5676</v>
      </c>
      <c r="G251" s="93"/>
      <c r="H251" s="93"/>
      <c r="I251" s="93"/>
    </row>
    <row r="252" spans="1:9" x14ac:dyDescent="0.3">
      <c r="A252" s="9">
        <v>241</v>
      </c>
      <c r="B252">
        <v>7.7</v>
      </c>
      <c r="C252" s="90">
        <v>222</v>
      </c>
      <c r="D252" s="90">
        <f t="shared" si="14"/>
        <v>2.84</v>
      </c>
      <c r="E252" s="90">
        <v>81.94</v>
      </c>
      <c r="F252" s="92">
        <f t="shared" si="13"/>
        <v>232.70959999999999</v>
      </c>
      <c r="G252" s="93"/>
      <c r="H252" s="93"/>
      <c r="I252" s="93"/>
    </row>
    <row r="253" spans="1:9" x14ac:dyDescent="0.3">
      <c r="A253" s="9">
        <v>242</v>
      </c>
      <c r="B253">
        <v>7.74</v>
      </c>
      <c r="C253" s="90">
        <v>223</v>
      </c>
      <c r="D253" s="90">
        <f t="shared" si="14"/>
        <v>2.84</v>
      </c>
      <c r="E253" s="90">
        <v>81.99</v>
      </c>
      <c r="F253" s="92">
        <f t="shared" si="13"/>
        <v>232.85159999999996</v>
      </c>
      <c r="G253" s="93"/>
      <c r="H253" s="93"/>
      <c r="I253" s="93"/>
    </row>
    <row r="254" spans="1:9" x14ac:dyDescent="0.3">
      <c r="A254" s="9">
        <v>243</v>
      </c>
      <c r="B254">
        <v>7.76</v>
      </c>
      <c r="C254" s="90">
        <v>224</v>
      </c>
      <c r="D254" s="90">
        <f t="shared" si="14"/>
        <v>2.84</v>
      </c>
      <c r="E254" s="90">
        <v>82.04</v>
      </c>
      <c r="F254" s="92">
        <f t="shared" si="13"/>
        <v>232.99360000000001</v>
      </c>
      <c r="G254" s="93"/>
      <c r="H254" s="93"/>
      <c r="I254" s="93"/>
    </row>
    <row r="255" spans="1:9" x14ac:dyDescent="0.3">
      <c r="A255" s="9">
        <v>244</v>
      </c>
      <c r="B255">
        <v>7.79</v>
      </c>
      <c r="C255" s="90">
        <v>225</v>
      </c>
      <c r="D255" s="90">
        <f t="shared" si="14"/>
        <v>2.84</v>
      </c>
      <c r="E255" s="90">
        <v>82.09</v>
      </c>
      <c r="F255" s="92">
        <f t="shared" si="13"/>
        <v>233.13560000000001</v>
      </c>
      <c r="G255" s="93"/>
      <c r="H255" s="93"/>
      <c r="I255" s="93"/>
    </row>
    <row r="256" spans="1:9" x14ac:dyDescent="0.3">
      <c r="A256" s="9">
        <v>245</v>
      </c>
      <c r="B256">
        <v>7.82</v>
      </c>
      <c r="C256" s="90">
        <v>226</v>
      </c>
      <c r="D256" s="90">
        <f t="shared" si="14"/>
        <v>2.84</v>
      </c>
      <c r="E256" s="90">
        <v>82.12</v>
      </c>
      <c r="F256" s="92">
        <f t="shared" si="13"/>
        <v>233.2208</v>
      </c>
      <c r="G256" s="93"/>
      <c r="H256" s="93"/>
      <c r="I256" s="93"/>
    </row>
    <row r="257" spans="1:9" x14ac:dyDescent="0.3">
      <c r="A257" s="9">
        <v>246</v>
      </c>
      <c r="B257">
        <v>7.85</v>
      </c>
      <c r="C257" s="90">
        <v>227</v>
      </c>
      <c r="D257" s="90">
        <f t="shared" si="14"/>
        <v>2.84</v>
      </c>
      <c r="E257" s="90">
        <v>82.15</v>
      </c>
      <c r="F257" s="92">
        <f t="shared" si="13"/>
        <v>233.30600000000001</v>
      </c>
      <c r="G257" s="93"/>
      <c r="H257" s="93"/>
      <c r="I257" s="93"/>
    </row>
    <row r="258" spans="1:9" x14ac:dyDescent="0.3">
      <c r="A258" s="9">
        <v>247</v>
      </c>
      <c r="B258">
        <v>7.87</v>
      </c>
      <c r="C258" s="90">
        <v>228</v>
      </c>
      <c r="D258" s="90">
        <f t="shared" si="14"/>
        <v>2.84</v>
      </c>
      <c r="E258" s="90">
        <v>82.18</v>
      </c>
      <c r="F258" s="92">
        <f t="shared" si="13"/>
        <v>233.3912</v>
      </c>
      <c r="G258" s="93"/>
      <c r="H258" s="93"/>
      <c r="I258" s="93"/>
    </row>
    <row r="259" spans="1:9" x14ac:dyDescent="0.3">
      <c r="A259" s="9">
        <v>248</v>
      </c>
      <c r="B259">
        <v>7.91</v>
      </c>
      <c r="C259" s="90">
        <v>229</v>
      </c>
      <c r="D259" s="90">
        <f t="shared" si="14"/>
        <v>2.84</v>
      </c>
      <c r="E259" s="90">
        <v>82.21</v>
      </c>
      <c r="F259" s="92">
        <f t="shared" si="13"/>
        <v>233.47639999999998</v>
      </c>
      <c r="G259" s="93"/>
      <c r="H259" s="93"/>
      <c r="I259" s="93"/>
    </row>
    <row r="260" spans="1:9" x14ac:dyDescent="0.3">
      <c r="A260" s="9">
        <v>249</v>
      </c>
      <c r="B260">
        <v>7.93</v>
      </c>
      <c r="C260" s="90">
        <v>230</v>
      </c>
      <c r="D260" s="90">
        <f t="shared" si="14"/>
        <v>2.84</v>
      </c>
      <c r="E260" s="90">
        <v>82.24</v>
      </c>
      <c r="F260" s="92">
        <f t="shared" si="13"/>
        <v>233.56159999999997</v>
      </c>
      <c r="G260" s="93"/>
      <c r="H260" s="93"/>
      <c r="I260" s="93"/>
    </row>
    <row r="261" spans="1:9" x14ac:dyDescent="0.3">
      <c r="A261" s="9">
        <v>250</v>
      </c>
      <c r="B261">
        <v>7.97</v>
      </c>
      <c r="C261" s="90">
        <v>231</v>
      </c>
      <c r="D261" s="90">
        <f t="shared" si="14"/>
        <v>2.84</v>
      </c>
      <c r="E261" s="90">
        <v>82.27</v>
      </c>
      <c r="F261" s="92">
        <f t="shared" si="13"/>
        <v>233.64679999999998</v>
      </c>
      <c r="G261" s="93"/>
      <c r="H261" s="93"/>
      <c r="I261" s="93"/>
    </row>
    <row r="262" spans="1:9" x14ac:dyDescent="0.3">
      <c r="A262" s="9">
        <v>251</v>
      </c>
      <c r="B262">
        <v>7.99</v>
      </c>
      <c r="C262" s="90">
        <v>232</v>
      </c>
      <c r="D262" s="90">
        <f t="shared" si="14"/>
        <v>2.84</v>
      </c>
      <c r="E262" s="90">
        <v>82.3</v>
      </c>
      <c r="F262" s="92">
        <f t="shared" si="13"/>
        <v>233.73199999999997</v>
      </c>
      <c r="G262" s="93"/>
      <c r="H262" s="93"/>
      <c r="I262" s="93"/>
    </row>
    <row r="263" spans="1:9" x14ac:dyDescent="0.3">
      <c r="A263" s="9">
        <v>252</v>
      </c>
      <c r="B263">
        <v>8.02</v>
      </c>
      <c r="C263" s="90">
        <v>233</v>
      </c>
      <c r="D263" s="90">
        <f t="shared" si="14"/>
        <v>2.84</v>
      </c>
      <c r="E263" s="90">
        <v>82.33</v>
      </c>
      <c r="F263" s="92">
        <f t="shared" si="13"/>
        <v>233.81719999999999</v>
      </c>
      <c r="G263" s="93"/>
      <c r="H263" s="93"/>
      <c r="I263" s="93"/>
    </row>
    <row r="264" spans="1:9" x14ac:dyDescent="0.3">
      <c r="A264" s="9">
        <v>253</v>
      </c>
      <c r="B264">
        <v>8.0500000000000007</v>
      </c>
      <c r="C264" s="90">
        <v>234</v>
      </c>
      <c r="D264" s="90">
        <f t="shared" si="14"/>
        <v>2.84</v>
      </c>
      <c r="E264" s="90">
        <v>82.3599999999999</v>
      </c>
      <c r="F264" s="92">
        <f t="shared" si="13"/>
        <v>233.90239999999972</v>
      </c>
      <c r="G264" s="93"/>
      <c r="H264" s="93"/>
      <c r="I264" s="93"/>
    </row>
    <row r="265" spans="1:9" x14ac:dyDescent="0.3">
      <c r="A265" s="9">
        <v>254</v>
      </c>
      <c r="B265">
        <v>8.08</v>
      </c>
      <c r="C265" s="90">
        <v>235</v>
      </c>
      <c r="D265" s="90">
        <f t="shared" si="14"/>
        <v>2.84</v>
      </c>
      <c r="E265" s="90">
        <v>82.389999999999901</v>
      </c>
      <c r="F265" s="92">
        <f t="shared" si="13"/>
        <v>233.9875999999997</v>
      </c>
      <c r="G265" s="93"/>
      <c r="H265" s="93"/>
      <c r="I265" s="93"/>
    </row>
    <row r="266" spans="1:9" x14ac:dyDescent="0.3">
      <c r="A266" s="9">
        <v>255</v>
      </c>
      <c r="B266">
        <v>8.1</v>
      </c>
      <c r="C266" s="90">
        <v>236</v>
      </c>
      <c r="D266" s="90">
        <f t="shared" si="14"/>
        <v>2.84</v>
      </c>
      <c r="E266" s="90">
        <v>82.419999999999902</v>
      </c>
      <c r="F266" s="92">
        <f t="shared" si="13"/>
        <v>234.07279999999972</v>
      </c>
      <c r="G266" s="93"/>
      <c r="H266" s="93"/>
      <c r="I266" s="93"/>
    </row>
    <row r="267" spans="1:9" x14ac:dyDescent="0.3">
      <c r="A267" s="9">
        <v>256</v>
      </c>
      <c r="B267">
        <v>8.14</v>
      </c>
      <c r="C267" s="90">
        <v>237</v>
      </c>
      <c r="D267" s="90">
        <f t="shared" si="14"/>
        <v>2.84</v>
      </c>
      <c r="E267" s="90">
        <v>82.449999999999903</v>
      </c>
      <c r="F267" s="92">
        <f t="shared" si="13"/>
        <v>234.1579999999997</v>
      </c>
      <c r="G267" s="93"/>
      <c r="H267" s="93"/>
      <c r="I267" s="93"/>
    </row>
    <row r="268" spans="1:9" x14ac:dyDescent="0.3">
      <c r="A268" s="9">
        <v>257</v>
      </c>
      <c r="B268">
        <v>8.16</v>
      </c>
      <c r="C268" s="90">
        <v>238</v>
      </c>
      <c r="D268" s="90">
        <f t="shared" si="14"/>
        <v>2.84</v>
      </c>
      <c r="E268" s="90">
        <v>82.479999999999905</v>
      </c>
      <c r="F268" s="92">
        <f t="shared" si="13"/>
        <v>234.24319999999972</v>
      </c>
      <c r="G268" s="93"/>
      <c r="H268" s="93"/>
      <c r="I268" s="93"/>
    </row>
    <row r="269" spans="1:9" x14ac:dyDescent="0.3">
      <c r="A269" s="9">
        <v>258</v>
      </c>
      <c r="B269">
        <v>8.1999999999999993</v>
      </c>
      <c r="C269" s="90">
        <v>239</v>
      </c>
      <c r="D269" s="90">
        <f t="shared" si="14"/>
        <v>2.84</v>
      </c>
      <c r="E269" s="90">
        <v>82.5</v>
      </c>
      <c r="F269" s="92">
        <f t="shared" si="13"/>
        <v>234.29999999999998</v>
      </c>
      <c r="G269" s="93"/>
      <c r="H269" s="93"/>
      <c r="I269" s="93"/>
    </row>
    <row r="270" spans="1:9" x14ac:dyDescent="0.3">
      <c r="A270" s="9">
        <v>259</v>
      </c>
      <c r="B270">
        <v>8.2200000000000006</v>
      </c>
      <c r="C270" s="90">
        <v>240</v>
      </c>
      <c r="D270" s="90">
        <f t="shared" si="14"/>
        <v>2.84</v>
      </c>
      <c r="E270" s="90">
        <v>82.52</v>
      </c>
      <c r="F270" s="92">
        <f t="shared" si="13"/>
        <v>234.35679999999996</v>
      </c>
      <c r="G270" s="93"/>
      <c r="H270" s="93"/>
      <c r="I270" s="93"/>
    </row>
    <row r="271" spans="1:9" x14ac:dyDescent="0.3">
      <c r="A271" s="9">
        <v>260</v>
      </c>
      <c r="B271">
        <v>8.24</v>
      </c>
      <c r="C271" s="90">
        <v>241</v>
      </c>
      <c r="D271" s="90">
        <f t="shared" si="14"/>
        <v>2.84</v>
      </c>
      <c r="E271" s="90">
        <v>82.54</v>
      </c>
      <c r="F271" s="92">
        <f t="shared" si="13"/>
        <v>234.4136</v>
      </c>
      <c r="G271" s="93"/>
      <c r="H271" s="93"/>
      <c r="I271" s="93"/>
    </row>
    <row r="272" spans="1:9" x14ac:dyDescent="0.3">
      <c r="A272" s="9">
        <v>261</v>
      </c>
      <c r="B272">
        <v>8.2799999999999994</v>
      </c>
      <c r="C272" s="90">
        <v>242</v>
      </c>
      <c r="D272" s="90">
        <f t="shared" si="14"/>
        <v>2.84</v>
      </c>
      <c r="E272" s="90">
        <v>82.56</v>
      </c>
      <c r="F272" s="92">
        <f t="shared" si="13"/>
        <v>234.47039999999998</v>
      </c>
      <c r="G272" s="93"/>
      <c r="H272" s="93"/>
      <c r="I272" s="93"/>
    </row>
    <row r="273" spans="1:9" x14ac:dyDescent="0.3">
      <c r="A273" s="9">
        <v>262</v>
      </c>
      <c r="B273">
        <v>8.3000000000000007</v>
      </c>
      <c r="C273" s="90">
        <v>243</v>
      </c>
      <c r="D273" s="90">
        <f t="shared" si="14"/>
        <v>2.84</v>
      </c>
      <c r="E273" s="90">
        <v>82.58</v>
      </c>
      <c r="F273" s="92">
        <f t="shared" si="13"/>
        <v>234.52719999999999</v>
      </c>
      <c r="G273" s="93"/>
      <c r="H273" s="93"/>
      <c r="I273" s="93"/>
    </row>
    <row r="274" spans="1:9" x14ac:dyDescent="0.3">
      <c r="A274" s="9">
        <v>263</v>
      </c>
      <c r="B274">
        <v>8.33</v>
      </c>
      <c r="C274" s="90">
        <v>244</v>
      </c>
      <c r="D274" s="90">
        <f t="shared" si="14"/>
        <v>2.84</v>
      </c>
      <c r="E274" s="90">
        <v>82.6</v>
      </c>
      <c r="F274" s="92">
        <f t="shared" si="13"/>
        <v>234.58399999999997</v>
      </c>
      <c r="G274" s="93"/>
      <c r="H274" s="93"/>
      <c r="I274" s="93"/>
    </row>
    <row r="275" spans="1:9" x14ac:dyDescent="0.3">
      <c r="A275" s="9">
        <v>264</v>
      </c>
      <c r="B275">
        <v>8.36</v>
      </c>
      <c r="C275" s="90">
        <v>245</v>
      </c>
      <c r="D275" s="90">
        <f t="shared" si="14"/>
        <v>2.84</v>
      </c>
      <c r="E275" s="90">
        <v>82.62</v>
      </c>
      <c r="F275" s="92">
        <f t="shared" si="13"/>
        <v>234.64080000000001</v>
      </c>
      <c r="G275" s="93"/>
      <c r="H275" s="93"/>
      <c r="I275" s="93"/>
    </row>
    <row r="276" spans="1:9" x14ac:dyDescent="0.3">
      <c r="A276" s="9">
        <v>265</v>
      </c>
      <c r="B276">
        <v>8.39</v>
      </c>
      <c r="C276" s="90">
        <v>246</v>
      </c>
      <c r="D276" s="90">
        <f t="shared" si="14"/>
        <v>2.84</v>
      </c>
      <c r="E276" s="90">
        <v>82.64</v>
      </c>
      <c r="F276" s="92">
        <f t="shared" si="13"/>
        <v>234.69759999999999</v>
      </c>
      <c r="G276" s="93"/>
      <c r="H276" s="93"/>
      <c r="I276" s="93"/>
    </row>
    <row r="277" spans="1:9" x14ac:dyDescent="0.3">
      <c r="A277" s="9">
        <v>266</v>
      </c>
      <c r="B277">
        <v>8.41</v>
      </c>
      <c r="C277" s="90">
        <v>247</v>
      </c>
      <c r="D277" s="90">
        <f t="shared" si="14"/>
        <v>2.84</v>
      </c>
      <c r="E277" s="90">
        <v>82.66</v>
      </c>
      <c r="F277" s="92">
        <f t="shared" si="13"/>
        <v>234.75439999999998</v>
      </c>
      <c r="G277" s="93"/>
      <c r="H277" s="93"/>
      <c r="I277" s="93"/>
    </row>
    <row r="278" spans="1:9" x14ac:dyDescent="0.3">
      <c r="A278" s="9">
        <v>267</v>
      </c>
      <c r="B278">
        <v>8.4499999999999993</v>
      </c>
      <c r="C278" s="90">
        <v>248</v>
      </c>
      <c r="D278" s="90">
        <f t="shared" si="14"/>
        <v>2.84</v>
      </c>
      <c r="E278" s="90">
        <v>82.68</v>
      </c>
      <c r="F278" s="92">
        <f t="shared" si="13"/>
        <v>234.81120000000001</v>
      </c>
      <c r="G278" s="93"/>
      <c r="H278" s="93"/>
      <c r="I278" s="93"/>
    </row>
    <row r="279" spans="1:9" x14ac:dyDescent="0.3">
      <c r="A279" s="9">
        <v>268</v>
      </c>
      <c r="B279">
        <v>8.4700000000000006</v>
      </c>
      <c r="C279" s="90">
        <v>249</v>
      </c>
      <c r="D279" s="90">
        <f t="shared" si="14"/>
        <v>2.84</v>
      </c>
      <c r="E279" s="90">
        <v>82.7</v>
      </c>
      <c r="F279" s="92">
        <f t="shared" si="13"/>
        <v>234.86799999999999</v>
      </c>
      <c r="G279" s="93"/>
      <c r="H279" s="93"/>
      <c r="I279" s="93"/>
    </row>
    <row r="280" spans="1:9" x14ac:dyDescent="0.3">
      <c r="A280" s="9">
        <v>269</v>
      </c>
      <c r="B280">
        <v>8.51</v>
      </c>
      <c r="C280" s="90">
        <v>250</v>
      </c>
      <c r="D280" s="90">
        <f t="shared" si="14"/>
        <v>2.84</v>
      </c>
      <c r="E280" s="90">
        <v>82.72</v>
      </c>
      <c r="F280" s="92">
        <f t="shared" si="13"/>
        <v>234.92479999999998</v>
      </c>
      <c r="G280" s="93"/>
      <c r="H280" s="93"/>
      <c r="I280" s="93"/>
    </row>
    <row r="281" spans="1:9" x14ac:dyDescent="0.3">
      <c r="A281" s="9">
        <v>270</v>
      </c>
      <c r="B281">
        <v>8.5299999999999994</v>
      </c>
      <c r="C281" s="90">
        <v>251</v>
      </c>
      <c r="D281" s="90">
        <f t="shared" si="14"/>
        <v>2.84</v>
      </c>
      <c r="E281" s="90">
        <v>82.73</v>
      </c>
      <c r="F281" s="92">
        <f t="shared" si="13"/>
        <v>234.95320000000001</v>
      </c>
      <c r="G281" s="93"/>
      <c r="H281" s="93"/>
      <c r="I281" s="93"/>
    </row>
    <row r="282" spans="1:9" x14ac:dyDescent="0.3">
      <c r="A282" s="9">
        <v>271</v>
      </c>
      <c r="B282">
        <v>8.56</v>
      </c>
      <c r="C282" s="90">
        <v>252</v>
      </c>
      <c r="D282" s="90">
        <f t="shared" si="14"/>
        <v>2.84</v>
      </c>
      <c r="E282" s="90">
        <v>82.74</v>
      </c>
      <c r="F282" s="92">
        <f t="shared" si="13"/>
        <v>234.98159999999999</v>
      </c>
      <c r="G282" s="93"/>
      <c r="H282" s="93"/>
      <c r="I282" s="93"/>
    </row>
    <row r="283" spans="1:9" x14ac:dyDescent="0.3">
      <c r="A283" s="9">
        <v>272</v>
      </c>
      <c r="B283">
        <v>8.59</v>
      </c>
      <c r="C283" s="90">
        <v>253</v>
      </c>
      <c r="D283" s="90">
        <f t="shared" si="14"/>
        <v>2.84</v>
      </c>
      <c r="E283" s="90">
        <v>82.75</v>
      </c>
      <c r="F283" s="92">
        <f t="shared" si="13"/>
        <v>235.01</v>
      </c>
      <c r="G283" s="93"/>
      <c r="H283" s="93"/>
      <c r="I283" s="93"/>
    </row>
    <row r="284" spans="1:9" x14ac:dyDescent="0.3">
      <c r="A284" s="9">
        <v>273</v>
      </c>
      <c r="B284">
        <v>8.6199999999999992</v>
      </c>
      <c r="C284" s="90">
        <v>254</v>
      </c>
      <c r="D284" s="90">
        <f t="shared" si="14"/>
        <v>2.84</v>
      </c>
      <c r="E284" s="90">
        <v>82.76</v>
      </c>
      <c r="F284" s="92">
        <f t="shared" si="13"/>
        <v>235.0384</v>
      </c>
      <c r="G284" s="93"/>
      <c r="H284" s="93"/>
      <c r="I284" s="93"/>
    </row>
    <row r="285" spans="1:9" x14ac:dyDescent="0.3">
      <c r="A285" s="9">
        <v>274</v>
      </c>
      <c r="B285">
        <v>8.64</v>
      </c>
      <c r="C285" s="90">
        <v>255</v>
      </c>
      <c r="D285" s="90">
        <f t="shared" si="14"/>
        <v>2.84</v>
      </c>
      <c r="E285" s="90">
        <v>82.77</v>
      </c>
      <c r="F285" s="92">
        <f t="shared" si="13"/>
        <v>235.06679999999997</v>
      </c>
      <c r="G285" s="93"/>
      <c r="H285" s="93"/>
      <c r="I285" s="93"/>
    </row>
    <row r="286" spans="1:9" x14ac:dyDescent="0.3">
      <c r="A286" s="9">
        <v>275</v>
      </c>
      <c r="B286">
        <v>8.68</v>
      </c>
      <c r="C286" s="90">
        <v>256</v>
      </c>
      <c r="D286" s="90">
        <f t="shared" si="14"/>
        <v>2.84</v>
      </c>
      <c r="E286" s="90">
        <v>82.78</v>
      </c>
      <c r="F286" s="92">
        <f t="shared" si="13"/>
        <v>235.09520000000001</v>
      </c>
      <c r="G286" s="93"/>
      <c r="H286" s="93"/>
      <c r="I286" s="93"/>
    </row>
    <row r="287" spans="1:9" x14ac:dyDescent="0.3">
      <c r="A287" s="9">
        <v>276</v>
      </c>
      <c r="B287">
        <v>8.6999999999999993</v>
      </c>
      <c r="C287" s="90">
        <v>257</v>
      </c>
      <c r="D287" s="90">
        <f t="shared" si="14"/>
        <v>2.84</v>
      </c>
      <c r="E287" s="90">
        <v>82.79</v>
      </c>
      <c r="F287" s="92">
        <f t="shared" ref="F287:F330" si="15">D287*E287</f>
        <v>235.12360000000001</v>
      </c>
      <c r="G287" s="93"/>
      <c r="H287" s="93"/>
      <c r="I287" s="93"/>
    </row>
    <row r="288" spans="1:9" x14ac:dyDescent="0.3">
      <c r="A288" s="9">
        <v>277</v>
      </c>
      <c r="B288">
        <v>8.7200000000000006</v>
      </c>
      <c r="C288" s="90">
        <v>258</v>
      </c>
      <c r="D288" s="90">
        <f t="shared" ref="D288:D330" si="16">D287</f>
        <v>2.84</v>
      </c>
      <c r="E288" s="90">
        <v>82.8</v>
      </c>
      <c r="F288" s="92">
        <f t="shared" si="15"/>
        <v>235.15199999999999</v>
      </c>
      <c r="G288" s="93"/>
      <c r="H288" s="93"/>
      <c r="I288" s="93"/>
    </row>
    <row r="289" spans="1:9" x14ac:dyDescent="0.3">
      <c r="A289" s="9">
        <v>278</v>
      </c>
      <c r="B289">
        <v>8.76</v>
      </c>
      <c r="C289" s="90">
        <v>259</v>
      </c>
      <c r="D289" s="90">
        <f t="shared" si="16"/>
        <v>2.84</v>
      </c>
      <c r="E289" s="90">
        <v>82.81</v>
      </c>
      <c r="F289" s="92">
        <f t="shared" si="15"/>
        <v>235.18039999999999</v>
      </c>
      <c r="G289" s="93"/>
      <c r="H289" s="93"/>
      <c r="I289" s="93"/>
    </row>
    <row r="290" spans="1:9" x14ac:dyDescent="0.3">
      <c r="A290" s="9">
        <v>279</v>
      </c>
      <c r="B290">
        <v>8.7799999999999994</v>
      </c>
      <c r="C290" s="90">
        <v>260</v>
      </c>
      <c r="D290" s="90">
        <f t="shared" si="16"/>
        <v>2.84</v>
      </c>
      <c r="E290" s="90">
        <v>82.820000000000107</v>
      </c>
      <c r="F290" s="92">
        <f t="shared" si="15"/>
        <v>235.20880000000028</v>
      </c>
      <c r="G290" s="93"/>
      <c r="H290" s="93"/>
      <c r="I290" s="93"/>
    </row>
    <row r="291" spans="1:9" x14ac:dyDescent="0.3">
      <c r="A291" s="9">
        <v>280</v>
      </c>
      <c r="B291">
        <v>8.81</v>
      </c>
      <c r="C291" s="90">
        <v>261</v>
      </c>
      <c r="D291" s="90">
        <f t="shared" si="16"/>
        <v>2.84</v>
      </c>
      <c r="E291" s="90">
        <v>82.830000000000098</v>
      </c>
      <c r="F291" s="92">
        <f t="shared" si="15"/>
        <v>235.23720000000026</v>
      </c>
      <c r="G291" s="93"/>
      <c r="H291" s="93"/>
      <c r="I291" s="93"/>
    </row>
    <row r="292" spans="1:9" x14ac:dyDescent="0.3">
      <c r="A292" s="9">
        <v>281</v>
      </c>
      <c r="B292">
        <v>8.84</v>
      </c>
      <c r="C292" s="90">
        <v>262</v>
      </c>
      <c r="D292" s="90">
        <f t="shared" si="16"/>
        <v>2.84</v>
      </c>
      <c r="E292" s="90">
        <v>82.840000000000103</v>
      </c>
      <c r="F292" s="92">
        <f t="shared" si="15"/>
        <v>235.26560000000029</v>
      </c>
      <c r="G292" s="93"/>
      <c r="H292" s="93"/>
      <c r="I292" s="93"/>
    </row>
    <row r="293" spans="1:9" x14ac:dyDescent="0.3">
      <c r="A293" s="9">
        <v>282</v>
      </c>
      <c r="B293">
        <v>8.8699999999999992</v>
      </c>
      <c r="C293" s="90">
        <v>263</v>
      </c>
      <c r="D293" s="90">
        <f t="shared" si="16"/>
        <v>2.84</v>
      </c>
      <c r="E293" s="90">
        <v>82.850000000000094</v>
      </c>
      <c r="F293" s="92">
        <f t="shared" si="15"/>
        <v>235.29400000000027</v>
      </c>
      <c r="G293" s="93"/>
      <c r="H293" s="93"/>
      <c r="I293" s="93"/>
    </row>
    <row r="294" spans="1:9" x14ac:dyDescent="0.3">
      <c r="A294" s="9">
        <v>283</v>
      </c>
      <c r="B294">
        <v>8.89</v>
      </c>
      <c r="C294" s="90">
        <v>264</v>
      </c>
      <c r="D294" s="90">
        <f t="shared" si="16"/>
        <v>2.84</v>
      </c>
      <c r="E294" s="90">
        <v>82.860000000000099</v>
      </c>
      <c r="F294" s="92">
        <f t="shared" si="15"/>
        <v>235.32240000000027</v>
      </c>
      <c r="G294" s="93"/>
      <c r="H294" s="93"/>
      <c r="I294" s="93"/>
    </row>
    <row r="295" spans="1:9" x14ac:dyDescent="0.3">
      <c r="A295" s="9">
        <v>284</v>
      </c>
      <c r="B295">
        <v>8.93</v>
      </c>
      <c r="C295" s="90">
        <v>265</v>
      </c>
      <c r="D295" s="90">
        <f t="shared" si="16"/>
        <v>2.84</v>
      </c>
      <c r="E295" s="90">
        <v>82.870000000000104</v>
      </c>
      <c r="F295" s="92">
        <f t="shared" si="15"/>
        <v>235.35080000000028</v>
      </c>
      <c r="G295" s="93"/>
      <c r="H295" s="93"/>
      <c r="I295" s="93"/>
    </row>
    <row r="296" spans="1:9" x14ac:dyDescent="0.3">
      <c r="A296" s="9">
        <v>285</v>
      </c>
      <c r="B296">
        <v>8.9499999999999993</v>
      </c>
      <c r="C296" s="90">
        <v>266</v>
      </c>
      <c r="D296" s="90">
        <f t="shared" si="16"/>
        <v>2.84</v>
      </c>
      <c r="E296" s="90">
        <v>82.880000000000095</v>
      </c>
      <c r="F296" s="92">
        <f t="shared" si="15"/>
        <v>235.37920000000025</v>
      </c>
      <c r="G296" s="93"/>
      <c r="H296" s="93"/>
      <c r="I296" s="93"/>
    </row>
    <row r="297" spans="1:9" x14ac:dyDescent="0.3">
      <c r="A297" s="9">
        <v>286</v>
      </c>
      <c r="B297">
        <v>8.99</v>
      </c>
      <c r="C297" s="90">
        <v>267</v>
      </c>
      <c r="D297" s="90">
        <f t="shared" si="16"/>
        <v>2.84</v>
      </c>
      <c r="E297" s="90">
        <v>82.8900000000001</v>
      </c>
      <c r="F297" s="92">
        <f t="shared" si="15"/>
        <v>235.40760000000029</v>
      </c>
      <c r="G297" s="93"/>
      <c r="H297" s="93"/>
      <c r="I297" s="93"/>
    </row>
    <row r="298" spans="1:9" x14ac:dyDescent="0.3">
      <c r="A298" s="9">
        <v>287</v>
      </c>
      <c r="B298">
        <v>9.01</v>
      </c>
      <c r="C298" s="90">
        <v>268</v>
      </c>
      <c r="D298" s="90">
        <f t="shared" si="16"/>
        <v>2.84</v>
      </c>
      <c r="E298" s="90">
        <v>82.900000000000105</v>
      </c>
      <c r="F298" s="92">
        <f t="shared" si="15"/>
        <v>235.43600000000029</v>
      </c>
      <c r="G298" s="93"/>
      <c r="H298" s="93"/>
      <c r="I298" s="93"/>
    </row>
    <row r="299" spans="1:9" x14ac:dyDescent="0.3">
      <c r="A299" s="9">
        <v>288</v>
      </c>
      <c r="B299">
        <v>9.0399999999999991</v>
      </c>
      <c r="C299" s="90">
        <v>269</v>
      </c>
      <c r="D299" s="90">
        <f t="shared" si="16"/>
        <v>2.84</v>
      </c>
      <c r="E299" s="90">
        <v>82.910000000000096</v>
      </c>
      <c r="F299" s="92">
        <f t="shared" si="15"/>
        <v>235.46440000000027</v>
      </c>
      <c r="G299" s="93"/>
      <c r="H299" s="93"/>
      <c r="I299" s="93"/>
    </row>
    <row r="300" spans="1:9" x14ac:dyDescent="0.3">
      <c r="A300" s="9">
        <v>289</v>
      </c>
      <c r="B300">
        <v>9.07</v>
      </c>
      <c r="C300" s="90">
        <v>270</v>
      </c>
      <c r="D300" s="90">
        <f t="shared" si="16"/>
        <v>2.84</v>
      </c>
      <c r="E300" s="90">
        <v>82.920000000000101</v>
      </c>
      <c r="F300" s="92">
        <f t="shared" si="15"/>
        <v>235.49280000000027</v>
      </c>
      <c r="G300" s="93"/>
      <c r="H300" s="93"/>
      <c r="I300" s="93"/>
    </row>
    <row r="301" spans="1:9" x14ac:dyDescent="0.3">
      <c r="A301" s="9">
        <v>290</v>
      </c>
      <c r="B301">
        <v>9.1</v>
      </c>
      <c r="C301" s="90">
        <v>271</v>
      </c>
      <c r="D301" s="90">
        <f t="shared" si="16"/>
        <v>2.84</v>
      </c>
      <c r="E301" s="90">
        <v>82.930000000000106</v>
      </c>
      <c r="F301" s="92">
        <f t="shared" si="15"/>
        <v>235.52120000000028</v>
      </c>
      <c r="G301" s="93"/>
      <c r="H301" s="93"/>
      <c r="I301" s="93"/>
    </row>
    <row r="302" spans="1:9" x14ac:dyDescent="0.3">
      <c r="A302" s="9">
        <v>291</v>
      </c>
      <c r="B302">
        <v>9.1199999999999992</v>
      </c>
      <c r="C302" s="90">
        <v>272</v>
      </c>
      <c r="D302" s="90">
        <f t="shared" si="16"/>
        <v>2.84</v>
      </c>
      <c r="E302" s="90">
        <v>82.940000000000097</v>
      </c>
      <c r="F302" s="92">
        <f t="shared" si="15"/>
        <v>235.54960000000025</v>
      </c>
      <c r="G302" s="93"/>
      <c r="H302" s="93"/>
      <c r="I302" s="93"/>
    </row>
    <row r="303" spans="1:9" x14ac:dyDescent="0.3">
      <c r="A303" s="9">
        <v>292</v>
      </c>
      <c r="B303">
        <v>9.16</v>
      </c>
      <c r="C303" s="90">
        <v>273</v>
      </c>
      <c r="D303" s="90">
        <f t="shared" si="16"/>
        <v>2.84</v>
      </c>
      <c r="E303" s="90">
        <v>82.950000000000102</v>
      </c>
      <c r="F303" s="92">
        <f t="shared" si="15"/>
        <v>235.57800000000029</v>
      </c>
      <c r="G303" s="93"/>
      <c r="H303" s="93"/>
      <c r="I303" s="93"/>
    </row>
    <row r="304" spans="1:9" x14ac:dyDescent="0.3">
      <c r="A304" s="9">
        <v>293</v>
      </c>
      <c r="B304">
        <v>9.18</v>
      </c>
      <c r="C304" s="90">
        <v>274</v>
      </c>
      <c r="D304" s="90">
        <f t="shared" si="16"/>
        <v>2.84</v>
      </c>
      <c r="E304" s="90">
        <v>82.960000000000093</v>
      </c>
      <c r="F304" s="92">
        <f t="shared" si="15"/>
        <v>235.60640000000026</v>
      </c>
      <c r="G304" s="93"/>
      <c r="H304" s="93"/>
      <c r="I304" s="93"/>
    </row>
    <row r="305" spans="1:9" x14ac:dyDescent="0.3">
      <c r="A305" s="9">
        <v>294</v>
      </c>
      <c r="B305">
        <v>9.1999999999999993</v>
      </c>
      <c r="C305" s="90">
        <v>275</v>
      </c>
      <c r="D305" s="90">
        <f t="shared" si="16"/>
        <v>2.84</v>
      </c>
      <c r="E305" s="90">
        <v>82.970000000000098</v>
      </c>
      <c r="F305" s="92">
        <f t="shared" si="15"/>
        <v>235.63480000000027</v>
      </c>
      <c r="G305" s="93"/>
      <c r="H305" s="93"/>
      <c r="I305" s="93"/>
    </row>
    <row r="306" spans="1:9" x14ac:dyDescent="0.3">
      <c r="A306" s="9">
        <v>295</v>
      </c>
      <c r="B306">
        <v>9.24</v>
      </c>
      <c r="C306" s="90">
        <v>276</v>
      </c>
      <c r="D306" s="90">
        <f t="shared" si="16"/>
        <v>2.84</v>
      </c>
      <c r="E306" s="90">
        <v>82.980000000000103</v>
      </c>
      <c r="F306" s="92">
        <f t="shared" si="15"/>
        <v>235.66320000000027</v>
      </c>
      <c r="G306" s="93"/>
      <c r="H306" s="93"/>
      <c r="I306" s="93"/>
    </row>
    <row r="307" spans="1:9" x14ac:dyDescent="0.3">
      <c r="A307" s="9">
        <v>296</v>
      </c>
      <c r="B307">
        <v>9.26</v>
      </c>
      <c r="C307" s="90">
        <v>277</v>
      </c>
      <c r="D307" s="90">
        <f t="shared" si="16"/>
        <v>2.84</v>
      </c>
      <c r="E307" s="90">
        <v>82.990000000000094</v>
      </c>
      <c r="F307" s="92">
        <f t="shared" si="15"/>
        <v>235.69160000000025</v>
      </c>
      <c r="G307" s="93"/>
      <c r="H307" s="93"/>
      <c r="I307" s="93"/>
    </row>
    <row r="308" spans="1:9" x14ac:dyDescent="0.3">
      <c r="A308" s="9">
        <v>297</v>
      </c>
      <c r="B308">
        <v>9.2899999999999991</v>
      </c>
      <c r="C308" s="90">
        <v>278</v>
      </c>
      <c r="D308" s="90">
        <f t="shared" si="16"/>
        <v>2.84</v>
      </c>
      <c r="E308" s="90">
        <v>83</v>
      </c>
      <c r="F308" s="92">
        <f t="shared" si="15"/>
        <v>235.72</v>
      </c>
      <c r="G308" s="93"/>
      <c r="H308" s="93"/>
      <c r="I308" s="93"/>
    </row>
    <row r="309" spans="1:9" x14ac:dyDescent="0.3">
      <c r="A309" s="9">
        <v>298</v>
      </c>
      <c r="B309">
        <v>9.32</v>
      </c>
      <c r="C309" s="90">
        <v>279</v>
      </c>
      <c r="D309" s="90">
        <f t="shared" si="16"/>
        <v>2.84</v>
      </c>
      <c r="E309" s="90">
        <v>83</v>
      </c>
      <c r="F309" s="92">
        <f t="shared" si="15"/>
        <v>235.72</v>
      </c>
      <c r="G309" s="93"/>
      <c r="H309" s="93"/>
      <c r="I309" s="93"/>
    </row>
    <row r="310" spans="1:9" x14ac:dyDescent="0.3">
      <c r="A310" s="9">
        <v>299</v>
      </c>
      <c r="B310">
        <v>9.35</v>
      </c>
      <c r="C310" s="90">
        <v>280</v>
      </c>
      <c r="D310" s="90">
        <f t="shared" si="16"/>
        <v>2.84</v>
      </c>
      <c r="E310" s="90">
        <v>83</v>
      </c>
      <c r="F310" s="92">
        <f t="shared" si="15"/>
        <v>235.72</v>
      </c>
      <c r="G310" s="93"/>
      <c r="H310" s="93"/>
      <c r="I310" s="93"/>
    </row>
    <row r="311" spans="1:9" x14ac:dyDescent="0.3">
      <c r="A311" s="9">
        <v>300</v>
      </c>
      <c r="B311">
        <v>9.3699999999999992</v>
      </c>
      <c r="C311" s="90">
        <v>281</v>
      </c>
      <c r="D311" s="90">
        <f t="shared" si="16"/>
        <v>2.84</v>
      </c>
      <c r="E311" s="90">
        <v>83</v>
      </c>
      <c r="F311" s="92">
        <f t="shared" si="15"/>
        <v>235.72</v>
      </c>
      <c r="G311" s="93"/>
      <c r="H311" s="93"/>
      <c r="I311" s="93"/>
    </row>
    <row r="312" spans="1:9" x14ac:dyDescent="0.3">
      <c r="A312" s="9">
        <v>301</v>
      </c>
      <c r="B312">
        <v>9.41</v>
      </c>
      <c r="C312" s="90">
        <v>282</v>
      </c>
      <c r="D312" s="90">
        <f t="shared" si="16"/>
        <v>2.84</v>
      </c>
      <c r="E312" s="90">
        <v>83</v>
      </c>
      <c r="F312" s="92">
        <f t="shared" si="15"/>
        <v>235.72</v>
      </c>
      <c r="G312" s="93"/>
      <c r="H312" s="93"/>
      <c r="I312" s="93"/>
    </row>
    <row r="313" spans="1:9" x14ac:dyDescent="0.3">
      <c r="A313" s="9">
        <v>302</v>
      </c>
      <c r="B313">
        <v>9.43</v>
      </c>
      <c r="C313" s="90">
        <v>283</v>
      </c>
      <c r="D313" s="90">
        <f t="shared" si="16"/>
        <v>2.84</v>
      </c>
      <c r="E313" s="90">
        <v>83</v>
      </c>
      <c r="F313" s="92">
        <f t="shared" si="15"/>
        <v>235.72</v>
      </c>
      <c r="G313" s="93"/>
      <c r="H313" s="93"/>
      <c r="I313" s="93"/>
    </row>
    <row r="314" spans="1:9" x14ac:dyDescent="0.3">
      <c r="A314" s="9">
        <v>303</v>
      </c>
      <c r="B314">
        <v>9.4600000000000009</v>
      </c>
      <c r="C314" s="90">
        <v>284</v>
      </c>
      <c r="D314" s="90">
        <f t="shared" si="16"/>
        <v>2.84</v>
      </c>
      <c r="E314" s="90">
        <v>83</v>
      </c>
      <c r="F314" s="92">
        <f t="shared" si="15"/>
        <v>235.72</v>
      </c>
      <c r="G314" s="93"/>
      <c r="H314" s="93"/>
      <c r="I314" s="93"/>
    </row>
    <row r="315" spans="1:9" x14ac:dyDescent="0.3">
      <c r="A315" s="9">
        <v>304</v>
      </c>
      <c r="B315">
        <v>9.49</v>
      </c>
      <c r="C315" s="90">
        <v>285</v>
      </c>
      <c r="D315" s="90">
        <f t="shared" si="16"/>
        <v>2.84</v>
      </c>
      <c r="E315" s="90">
        <v>83</v>
      </c>
      <c r="F315" s="92">
        <f t="shared" si="15"/>
        <v>235.72</v>
      </c>
      <c r="G315" s="93"/>
      <c r="H315" s="93"/>
      <c r="I315" s="93"/>
    </row>
    <row r="316" spans="1:9" x14ac:dyDescent="0.3">
      <c r="A316" s="9">
        <v>305</v>
      </c>
      <c r="B316">
        <v>9.52</v>
      </c>
      <c r="C316" s="90">
        <v>286</v>
      </c>
      <c r="D316" s="90">
        <f t="shared" si="16"/>
        <v>2.84</v>
      </c>
      <c r="E316" s="90">
        <v>83</v>
      </c>
      <c r="F316" s="92">
        <f t="shared" si="15"/>
        <v>235.72</v>
      </c>
      <c r="G316" s="93"/>
      <c r="H316" s="93"/>
      <c r="I316" s="93"/>
    </row>
    <row r="317" spans="1:9" x14ac:dyDescent="0.3">
      <c r="A317" s="9">
        <v>306</v>
      </c>
      <c r="B317">
        <v>9.5399999999999991</v>
      </c>
      <c r="C317" s="90">
        <v>287</v>
      </c>
      <c r="D317" s="90">
        <f t="shared" si="16"/>
        <v>2.84</v>
      </c>
      <c r="E317" s="90">
        <v>83</v>
      </c>
      <c r="F317" s="92">
        <f t="shared" si="15"/>
        <v>235.72</v>
      </c>
      <c r="G317" s="93"/>
      <c r="H317" s="93"/>
      <c r="I317" s="93"/>
    </row>
    <row r="318" spans="1:9" x14ac:dyDescent="0.3">
      <c r="A318" s="9">
        <v>307</v>
      </c>
      <c r="B318">
        <v>9.58</v>
      </c>
      <c r="C318" s="90">
        <v>288</v>
      </c>
      <c r="D318" s="90">
        <f t="shared" si="16"/>
        <v>2.84</v>
      </c>
      <c r="E318" s="90">
        <v>83</v>
      </c>
      <c r="F318" s="92">
        <f t="shared" si="15"/>
        <v>235.72</v>
      </c>
      <c r="G318" s="93"/>
      <c r="H318" s="93"/>
      <c r="I318" s="93"/>
    </row>
    <row r="319" spans="1:9" x14ac:dyDescent="0.3">
      <c r="A319" s="9">
        <v>308</v>
      </c>
      <c r="B319">
        <v>9.6</v>
      </c>
      <c r="C319" s="90">
        <v>289</v>
      </c>
      <c r="D319" s="90">
        <f t="shared" si="16"/>
        <v>2.84</v>
      </c>
      <c r="E319" s="90">
        <v>83</v>
      </c>
      <c r="F319" s="92">
        <f t="shared" si="15"/>
        <v>235.72</v>
      </c>
      <c r="G319" s="93"/>
      <c r="H319" s="93"/>
      <c r="I319" s="93"/>
    </row>
    <row r="320" spans="1:9" x14ac:dyDescent="0.3">
      <c r="A320" s="9">
        <v>309</v>
      </c>
      <c r="B320">
        <v>9.6199999999999992</v>
      </c>
      <c r="C320" s="90">
        <v>290</v>
      </c>
      <c r="D320" s="90">
        <f t="shared" si="16"/>
        <v>2.84</v>
      </c>
      <c r="E320" s="90">
        <v>83</v>
      </c>
      <c r="F320" s="92">
        <f t="shared" si="15"/>
        <v>235.72</v>
      </c>
      <c r="G320" s="93"/>
      <c r="H320" s="93"/>
      <c r="I320" s="93"/>
    </row>
    <row r="321" spans="1:9" x14ac:dyDescent="0.3">
      <c r="A321" s="9">
        <v>310</v>
      </c>
      <c r="B321">
        <v>9.65</v>
      </c>
      <c r="C321" s="90">
        <v>291</v>
      </c>
      <c r="D321" s="90">
        <f t="shared" si="16"/>
        <v>2.84</v>
      </c>
      <c r="E321" s="90">
        <v>83</v>
      </c>
      <c r="F321" s="92">
        <f t="shared" si="15"/>
        <v>235.72</v>
      </c>
      <c r="G321" s="93"/>
      <c r="H321" s="93"/>
      <c r="I321" s="93"/>
    </row>
    <row r="322" spans="1:9" x14ac:dyDescent="0.3">
      <c r="A322" s="9">
        <v>311</v>
      </c>
      <c r="B322">
        <v>9.68</v>
      </c>
      <c r="C322" s="90">
        <v>292</v>
      </c>
      <c r="D322" s="90">
        <f t="shared" si="16"/>
        <v>2.84</v>
      </c>
      <c r="E322" s="90">
        <v>83</v>
      </c>
      <c r="F322" s="92">
        <f t="shared" si="15"/>
        <v>235.72</v>
      </c>
      <c r="G322" s="93"/>
      <c r="H322" s="93"/>
      <c r="I322" s="93"/>
    </row>
    <row r="323" spans="1:9" x14ac:dyDescent="0.3">
      <c r="A323" s="9">
        <v>312</v>
      </c>
      <c r="B323">
        <v>9.7100000000000009</v>
      </c>
      <c r="C323" s="90">
        <v>293</v>
      </c>
      <c r="D323" s="90">
        <f t="shared" si="16"/>
        <v>2.84</v>
      </c>
      <c r="E323" s="90">
        <v>83</v>
      </c>
      <c r="F323" s="92">
        <f t="shared" si="15"/>
        <v>235.72</v>
      </c>
      <c r="G323" s="93"/>
      <c r="H323" s="93"/>
      <c r="I323" s="93"/>
    </row>
    <row r="324" spans="1:9" x14ac:dyDescent="0.3">
      <c r="A324" s="9">
        <v>313</v>
      </c>
      <c r="B324">
        <v>9.73</v>
      </c>
      <c r="C324" s="90">
        <v>294</v>
      </c>
      <c r="D324" s="90">
        <f t="shared" si="16"/>
        <v>2.84</v>
      </c>
      <c r="E324" s="90">
        <v>83</v>
      </c>
      <c r="F324" s="92">
        <f t="shared" si="15"/>
        <v>235.72</v>
      </c>
      <c r="G324" s="93"/>
      <c r="H324" s="93"/>
      <c r="I324" s="93"/>
    </row>
    <row r="325" spans="1:9" x14ac:dyDescent="0.3">
      <c r="A325" s="9">
        <v>314</v>
      </c>
      <c r="B325">
        <v>9.77</v>
      </c>
      <c r="C325" s="90">
        <v>295</v>
      </c>
      <c r="D325" s="90">
        <f t="shared" si="16"/>
        <v>2.84</v>
      </c>
      <c r="E325" s="90">
        <v>83</v>
      </c>
      <c r="F325" s="92">
        <f t="shared" si="15"/>
        <v>235.72</v>
      </c>
      <c r="G325" s="93"/>
      <c r="H325" s="93"/>
      <c r="I325" s="93"/>
    </row>
    <row r="326" spans="1:9" x14ac:dyDescent="0.3">
      <c r="A326" s="9">
        <v>315</v>
      </c>
      <c r="B326">
        <v>9.7899999999999991</v>
      </c>
      <c r="C326" s="90">
        <v>296</v>
      </c>
      <c r="D326" s="90">
        <f t="shared" si="16"/>
        <v>2.84</v>
      </c>
      <c r="E326" s="90">
        <v>83</v>
      </c>
      <c r="F326" s="92">
        <f t="shared" si="15"/>
        <v>235.72</v>
      </c>
      <c r="G326" s="93"/>
      <c r="H326" s="93"/>
      <c r="I326" s="93"/>
    </row>
    <row r="327" spans="1:9" x14ac:dyDescent="0.3">
      <c r="A327" s="9">
        <v>316</v>
      </c>
      <c r="B327">
        <v>9.82</v>
      </c>
      <c r="C327" s="90">
        <v>297</v>
      </c>
      <c r="D327" s="90">
        <f t="shared" si="16"/>
        <v>2.84</v>
      </c>
      <c r="E327" s="90">
        <v>83</v>
      </c>
      <c r="F327" s="92">
        <f t="shared" si="15"/>
        <v>235.72</v>
      </c>
      <c r="G327" s="93"/>
      <c r="H327" s="93"/>
      <c r="I327" s="93"/>
    </row>
    <row r="328" spans="1:9" x14ac:dyDescent="0.3">
      <c r="A328" s="9">
        <v>317</v>
      </c>
      <c r="B328">
        <v>9.85</v>
      </c>
      <c r="C328" s="90">
        <v>298</v>
      </c>
      <c r="D328" s="90">
        <f t="shared" si="16"/>
        <v>2.84</v>
      </c>
      <c r="E328" s="90">
        <v>83</v>
      </c>
      <c r="F328" s="92">
        <f t="shared" si="15"/>
        <v>235.72</v>
      </c>
      <c r="G328" s="93"/>
      <c r="H328" s="93"/>
      <c r="I328" s="93"/>
    </row>
    <row r="329" spans="1:9" x14ac:dyDescent="0.3">
      <c r="A329" s="9">
        <v>318</v>
      </c>
      <c r="B329">
        <v>9.8800000000000008</v>
      </c>
      <c r="C329" s="90">
        <v>299</v>
      </c>
      <c r="D329" s="90">
        <f t="shared" si="16"/>
        <v>2.84</v>
      </c>
      <c r="E329" s="90">
        <v>83</v>
      </c>
      <c r="F329" s="92">
        <f t="shared" si="15"/>
        <v>235.72</v>
      </c>
      <c r="G329" s="93"/>
      <c r="H329" s="93"/>
      <c r="I329" s="93"/>
    </row>
    <row r="330" spans="1:9" x14ac:dyDescent="0.3">
      <c r="A330" s="9">
        <v>319</v>
      </c>
      <c r="B330">
        <v>9.9</v>
      </c>
      <c r="C330" s="90">
        <v>300</v>
      </c>
      <c r="D330" s="90">
        <f t="shared" si="16"/>
        <v>2.84</v>
      </c>
      <c r="E330" s="90">
        <v>83</v>
      </c>
      <c r="F330" s="92">
        <f t="shared" si="15"/>
        <v>235.72</v>
      </c>
      <c r="G330" s="93"/>
      <c r="H330" s="93"/>
      <c r="I330" s="93"/>
    </row>
    <row r="331" spans="1:9" x14ac:dyDescent="0.3">
      <c r="A331" s="9">
        <v>320</v>
      </c>
      <c r="B331">
        <v>9.94</v>
      </c>
    </row>
    <row r="332" spans="1:9" x14ac:dyDescent="0.3">
      <c r="A332" s="9">
        <v>321</v>
      </c>
      <c r="B332">
        <v>9.9600000000000009</v>
      </c>
    </row>
    <row r="333" spans="1:9" x14ac:dyDescent="0.3">
      <c r="A333" s="9">
        <v>322</v>
      </c>
      <c r="B333">
        <v>9.98</v>
      </c>
    </row>
    <row r="334" spans="1:9" x14ac:dyDescent="0.3">
      <c r="A334" s="9">
        <v>323</v>
      </c>
      <c r="B334">
        <v>10.02</v>
      </c>
    </row>
    <row r="335" spans="1:9" x14ac:dyDescent="0.3">
      <c r="A335" s="9">
        <v>324</v>
      </c>
      <c r="B335">
        <v>10.039999999999999</v>
      </c>
    </row>
    <row r="336" spans="1:9" x14ac:dyDescent="0.3">
      <c r="A336" s="9">
        <v>325</v>
      </c>
      <c r="B336">
        <v>10.07</v>
      </c>
    </row>
    <row r="337" spans="1:2" x14ac:dyDescent="0.3">
      <c r="A337" s="9">
        <v>326</v>
      </c>
      <c r="B337">
        <v>10.1</v>
      </c>
    </row>
    <row r="338" spans="1:2" x14ac:dyDescent="0.3">
      <c r="A338" s="9">
        <v>327</v>
      </c>
      <c r="B338">
        <v>10.130000000000001</v>
      </c>
    </row>
    <row r="339" spans="1:2" x14ac:dyDescent="0.3">
      <c r="A339" s="9">
        <v>328</v>
      </c>
      <c r="B339">
        <v>10.15</v>
      </c>
    </row>
    <row r="340" spans="1:2" x14ac:dyDescent="0.3">
      <c r="A340" s="9">
        <v>329</v>
      </c>
      <c r="B340">
        <v>10.18</v>
      </c>
    </row>
    <row r="341" spans="1:2" x14ac:dyDescent="0.3">
      <c r="A341" s="9">
        <v>330</v>
      </c>
      <c r="B341">
        <v>10.210000000000001</v>
      </c>
    </row>
    <row r="342" spans="1:2" x14ac:dyDescent="0.3">
      <c r="A342" s="9">
        <v>331</v>
      </c>
      <c r="B342">
        <v>10.24</v>
      </c>
    </row>
    <row r="343" spans="1:2" x14ac:dyDescent="0.3">
      <c r="A343" s="9">
        <v>332</v>
      </c>
      <c r="B343">
        <v>10.26</v>
      </c>
    </row>
    <row r="344" spans="1:2" x14ac:dyDescent="0.3">
      <c r="A344" s="9">
        <v>333</v>
      </c>
      <c r="B344">
        <v>10.3</v>
      </c>
    </row>
    <row r="345" spans="1:2" x14ac:dyDescent="0.3">
      <c r="A345" s="9">
        <v>334</v>
      </c>
      <c r="B345">
        <v>10.32</v>
      </c>
    </row>
    <row r="346" spans="1:2" x14ac:dyDescent="0.3">
      <c r="A346" s="9">
        <v>335</v>
      </c>
      <c r="B346">
        <v>10.34</v>
      </c>
    </row>
    <row r="347" spans="1:2" x14ac:dyDescent="0.3">
      <c r="A347" s="9">
        <v>336</v>
      </c>
      <c r="B347">
        <v>10.38</v>
      </c>
    </row>
    <row r="348" spans="1:2" x14ac:dyDescent="0.3">
      <c r="A348" s="9">
        <v>337</v>
      </c>
      <c r="B348">
        <v>10.4</v>
      </c>
    </row>
    <row r="349" spans="1:2" x14ac:dyDescent="0.3">
      <c r="A349" s="9">
        <v>338</v>
      </c>
      <c r="B349">
        <v>10.43</v>
      </c>
    </row>
    <row r="350" spans="1:2" x14ac:dyDescent="0.3">
      <c r="A350" s="9">
        <v>339</v>
      </c>
      <c r="B350">
        <v>10.46</v>
      </c>
    </row>
    <row r="351" spans="1:2" x14ac:dyDescent="0.3">
      <c r="A351" s="9">
        <v>340</v>
      </c>
      <c r="B351">
        <v>10.49</v>
      </c>
    </row>
    <row r="352" spans="1:2" x14ac:dyDescent="0.3">
      <c r="A352" s="9">
        <v>341</v>
      </c>
      <c r="B352">
        <v>10.51</v>
      </c>
    </row>
    <row r="353" spans="1:2" x14ac:dyDescent="0.3">
      <c r="A353" s="9">
        <v>342</v>
      </c>
      <c r="B353">
        <v>10.54</v>
      </c>
    </row>
    <row r="354" spans="1:2" x14ac:dyDescent="0.3">
      <c r="A354" s="9">
        <v>343</v>
      </c>
      <c r="B354">
        <v>10.57</v>
      </c>
    </row>
    <row r="355" spans="1:2" x14ac:dyDescent="0.3">
      <c r="A355" s="9">
        <v>344</v>
      </c>
      <c r="B355">
        <v>10.6</v>
      </c>
    </row>
    <row r="356" spans="1:2" x14ac:dyDescent="0.3">
      <c r="A356" s="9">
        <v>345</v>
      </c>
      <c r="B356">
        <v>10.62</v>
      </c>
    </row>
    <row r="357" spans="1:2" x14ac:dyDescent="0.3">
      <c r="A357" s="9">
        <v>346</v>
      </c>
      <c r="B357">
        <v>10.66</v>
      </c>
    </row>
    <row r="358" spans="1:2" x14ac:dyDescent="0.3">
      <c r="A358" s="9">
        <v>347</v>
      </c>
      <c r="B358">
        <v>10.68</v>
      </c>
    </row>
    <row r="359" spans="1:2" x14ac:dyDescent="0.3">
      <c r="A359" s="9">
        <v>348</v>
      </c>
      <c r="B359">
        <v>10.7</v>
      </c>
    </row>
    <row r="360" spans="1:2" x14ac:dyDescent="0.3">
      <c r="A360" s="9">
        <v>349</v>
      </c>
      <c r="B360">
        <v>10.74</v>
      </c>
    </row>
    <row r="361" spans="1:2" x14ac:dyDescent="0.3">
      <c r="A361" s="9">
        <v>350</v>
      </c>
      <c r="B361">
        <v>10.76</v>
      </c>
    </row>
    <row r="362" spans="1:2" x14ac:dyDescent="0.3">
      <c r="A362" s="9">
        <v>351</v>
      </c>
      <c r="B362">
        <v>10.79</v>
      </c>
    </row>
    <row r="363" spans="1:2" x14ac:dyDescent="0.3">
      <c r="A363" s="9">
        <v>352</v>
      </c>
      <c r="B363">
        <v>10.81</v>
      </c>
    </row>
    <row r="364" spans="1:2" x14ac:dyDescent="0.3">
      <c r="A364" s="9">
        <v>353</v>
      </c>
      <c r="B364">
        <v>10.85</v>
      </c>
    </row>
    <row r="365" spans="1:2" x14ac:dyDescent="0.3">
      <c r="A365" s="9">
        <v>354</v>
      </c>
      <c r="B365">
        <v>10.87</v>
      </c>
    </row>
    <row r="366" spans="1:2" x14ac:dyDescent="0.3">
      <c r="A366" s="9">
        <v>355</v>
      </c>
      <c r="B366">
        <v>10.9</v>
      </c>
    </row>
    <row r="367" spans="1:2" x14ac:dyDescent="0.3">
      <c r="A367" s="9">
        <v>356</v>
      </c>
      <c r="B367">
        <v>10.93</v>
      </c>
    </row>
    <row r="368" spans="1:2" x14ac:dyDescent="0.3">
      <c r="A368" s="9">
        <v>357</v>
      </c>
      <c r="B368">
        <v>10.96</v>
      </c>
    </row>
    <row r="369" spans="1:2" x14ac:dyDescent="0.3">
      <c r="A369" s="9">
        <v>358</v>
      </c>
      <c r="B369">
        <v>10.98</v>
      </c>
    </row>
    <row r="370" spans="1:2" x14ac:dyDescent="0.3">
      <c r="A370" s="9">
        <v>359</v>
      </c>
      <c r="B370">
        <v>11</v>
      </c>
    </row>
    <row r="371" spans="1:2" x14ac:dyDescent="0.3">
      <c r="A371" s="9">
        <v>360</v>
      </c>
      <c r="B371">
        <v>11.04</v>
      </c>
    </row>
    <row r="372" spans="1:2" x14ac:dyDescent="0.3">
      <c r="A372" s="9">
        <v>361</v>
      </c>
      <c r="B372">
        <v>11.06</v>
      </c>
    </row>
    <row r="373" spans="1:2" x14ac:dyDescent="0.3">
      <c r="A373" s="9">
        <v>362</v>
      </c>
      <c r="B373">
        <v>11.09</v>
      </c>
    </row>
    <row r="374" spans="1:2" x14ac:dyDescent="0.3">
      <c r="A374" s="9">
        <v>363</v>
      </c>
      <c r="B374">
        <v>11.12</v>
      </c>
    </row>
    <row r="375" spans="1:2" x14ac:dyDescent="0.3">
      <c r="A375" s="9">
        <v>364</v>
      </c>
      <c r="B375">
        <v>11.15</v>
      </c>
    </row>
    <row r="376" spans="1:2" x14ac:dyDescent="0.3">
      <c r="A376" s="9">
        <v>365</v>
      </c>
      <c r="B376">
        <v>11.17</v>
      </c>
    </row>
    <row r="377" spans="1:2" x14ac:dyDescent="0.3">
      <c r="A377" s="9">
        <v>366</v>
      </c>
      <c r="B377">
        <v>11.2</v>
      </c>
    </row>
    <row r="378" spans="1:2" x14ac:dyDescent="0.3">
      <c r="A378" s="9">
        <v>367</v>
      </c>
      <c r="B378">
        <v>11.23</v>
      </c>
    </row>
    <row r="379" spans="1:2" x14ac:dyDescent="0.3">
      <c r="A379" s="9">
        <v>368</v>
      </c>
      <c r="B379">
        <v>11.26</v>
      </c>
    </row>
    <row r="380" spans="1:2" x14ac:dyDescent="0.3">
      <c r="A380" s="9">
        <v>369</v>
      </c>
      <c r="B380">
        <v>11.28</v>
      </c>
    </row>
    <row r="381" spans="1:2" x14ac:dyDescent="0.3">
      <c r="A381" s="9">
        <v>370</v>
      </c>
      <c r="B381">
        <v>11.32</v>
      </c>
    </row>
    <row r="382" spans="1:2" x14ac:dyDescent="0.3">
      <c r="A382" s="9">
        <v>371</v>
      </c>
      <c r="B382">
        <v>11.34</v>
      </c>
    </row>
    <row r="383" spans="1:2" x14ac:dyDescent="0.3">
      <c r="A383" s="9">
        <v>372</v>
      </c>
      <c r="B383">
        <v>11.36</v>
      </c>
    </row>
    <row r="384" spans="1:2" x14ac:dyDescent="0.3">
      <c r="A384" s="9">
        <v>373</v>
      </c>
      <c r="B384">
        <v>11.39</v>
      </c>
    </row>
    <row r="385" spans="1:2" x14ac:dyDescent="0.3">
      <c r="A385" s="9">
        <v>374</v>
      </c>
      <c r="B385">
        <v>11.42</v>
      </c>
    </row>
    <row r="386" spans="1:2" x14ac:dyDescent="0.3">
      <c r="A386" s="9">
        <v>375</v>
      </c>
      <c r="B386">
        <v>11.45</v>
      </c>
    </row>
    <row r="387" spans="1:2" x14ac:dyDescent="0.3">
      <c r="A387" s="9">
        <v>376</v>
      </c>
      <c r="B387">
        <v>11.47</v>
      </c>
    </row>
    <row r="388" spans="1:2" x14ac:dyDescent="0.3">
      <c r="A388" s="9">
        <v>377</v>
      </c>
      <c r="B388">
        <v>11.5</v>
      </c>
    </row>
    <row r="389" spans="1:2" x14ac:dyDescent="0.3">
      <c r="A389" s="9">
        <v>378</v>
      </c>
      <c r="B389">
        <v>11.53</v>
      </c>
    </row>
    <row r="390" spans="1:2" x14ac:dyDescent="0.3">
      <c r="A390" s="9">
        <v>379</v>
      </c>
      <c r="B390">
        <v>11.56</v>
      </c>
    </row>
    <row r="391" spans="1:2" x14ac:dyDescent="0.3">
      <c r="A391" s="9">
        <v>380</v>
      </c>
      <c r="B391">
        <v>11.58</v>
      </c>
    </row>
    <row r="392" spans="1:2" x14ac:dyDescent="0.3">
      <c r="A392" s="9">
        <v>381</v>
      </c>
      <c r="B392">
        <v>11.62</v>
      </c>
    </row>
    <row r="393" spans="1:2" x14ac:dyDescent="0.3">
      <c r="A393" s="9">
        <v>382</v>
      </c>
      <c r="B393">
        <v>11.64</v>
      </c>
    </row>
    <row r="394" spans="1:2" x14ac:dyDescent="0.3">
      <c r="A394" s="9">
        <v>383</v>
      </c>
      <c r="B394">
        <v>11.66</v>
      </c>
    </row>
    <row r="395" spans="1:2" x14ac:dyDescent="0.3">
      <c r="A395" s="9">
        <v>384</v>
      </c>
      <c r="B395">
        <v>11.69</v>
      </c>
    </row>
    <row r="396" spans="1:2" x14ac:dyDescent="0.3">
      <c r="A396" s="9">
        <v>385</v>
      </c>
      <c r="B396">
        <v>11.72</v>
      </c>
    </row>
    <row r="397" spans="1:2" x14ac:dyDescent="0.3">
      <c r="A397" s="9">
        <v>386</v>
      </c>
      <c r="B397">
        <v>11.75</v>
      </c>
    </row>
    <row r="398" spans="1:2" x14ac:dyDescent="0.3">
      <c r="A398" s="9">
        <v>387</v>
      </c>
      <c r="B398">
        <v>11.77</v>
      </c>
    </row>
    <row r="399" spans="1:2" x14ac:dyDescent="0.3">
      <c r="A399" s="9">
        <v>388</v>
      </c>
      <c r="B399">
        <v>11.8</v>
      </c>
    </row>
    <row r="400" spans="1:2" x14ac:dyDescent="0.3">
      <c r="A400" s="9">
        <v>389</v>
      </c>
      <c r="B400">
        <v>11.83</v>
      </c>
    </row>
    <row r="401" spans="1:2" x14ac:dyDescent="0.3">
      <c r="A401" s="9">
        <v>390</v>
      </c>
      <c r="B401">
        <v>11.86</v>
      </c>
    </row>
    <row r="402" spans="1:2" x14ac:dyDescent="0.3">
      <c r="A402" s="9">
        <v>391</v>
      </c>
      <c r="B402">
        <v>11.88</v>
      </c>
    </row>
    <row r="403" spans="1:2" x14ac:dyDescent="0.3">
      <c r="A403" s="9">
        <v>392</v>
      </c>
      <c r="B403">
        <v>11.92</v>
      </c>
    </row>
    <row r="404" spans="1:2" x14ac:dyDescent="0.3">
      <c r="A404" s="9">
        <v>393</v>
      </c>
      <c r="B404">
        <v>11.94</v>
      </c>
    </row>
    <row r="405" spans="1:2" x14ac:dyDescent="0.3">
      <c r="A405" s="9">
        <v>394</v>
      </c>
      <c r="B405">
        <v>11.96</v>
      </c>
    </row>
    <row r="406" spans="1:2" x14ac:dyDescent="0.3">
      <c r="A406" s="9">
        <v>395</v>
      </c>
      <c r="B406">
        <v>11.99</v>
      </c>
    </row>
    <row r="407" spans="1:2" x14ac:dyDescent="0.3">
      <c r="A407" s="9">
        <v>396</v>
      </c>
      <c r="B407">
        <v>12.02</v>
      </c>
    </row>
    <row r="408" spans="1:2" x14ac:dyDescent="0.3">
      <c r="A408" s="9">
        <v>397</v>
      </c>
      <c r="B408">
        <v>12.05</v>
      </c>
    </row>
    <row r="409" spans="1:2" x14ac:dyDescent="0.3">
      <c r="A409" s="9">
        <v>398</v>
      </c>
      <c r="B409">
        <v>12.07</v>
      </c>
    </row>
    <row r="410" spans="1:2" x14ac:dyDescent="0.3">
      <c r="A410" s="9">
        <v>399</v>
      </c>
      <c r="B410">
        <v>12.1</v>
      </c>
    </row>
    <row r="411" spans="1:2" x14ac:dyDescent="0.3">
      <c r="A411" s="9">
        <v>400</v>
      </c>
      <c r="B411">
        <v>12.13</v>
      </c>
    </row>
  </sheetData>
  <dataValidations count="2">
    <dataValidation type="whole" allowBlank="1" showInputMessage="1" showErrorMessage="1" errorTitle="Valor inválido" error="fator_potencia deve estar entre 0 e 1." sqref="K2" xr:uid="{00000000-0002-0000-0000-000000000000}">
      <formula1>0</formula1>
      <formula2>1</formula2>
    </dataValidation>
    <dataValidation type="whole" operator="equal" allowBlank="1" showInputMessage="1" showErrorMessage="1" errorTitle="DIVISOR_R inválido" error="DIVISOR_R deve ser maior que zero." sqref="F2:I26" xr:uid="{00000000-0002-0000-0000-000001000000}">
      <formula1>0</formula1>
    </dataValidation>
  </dataValidations>
  <pageMargins left="0.511811024" right="0.511811024" top="0.78740157499999996" bottom="0.78740157499999996" header="0.31496062000000002" footer="0.31496062000000002"/>
  <legacyDrawing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H63"/>
  <sheetViews>
    <sheetView workbookViewId="0">
      <selection activeCell="H3" sqref="H3"/>
    </sheetView>
  </sheetViews>
  <sheetFormatPr defaultRowHeight="14.4" x14ac:dyDescent="0.3"/>
  <cols>
    <col min="3" max="3" width="11.33203125" bestFit="1" customWidth="1"/>
    <col min="4" max="5" width="10.88671875" customWidth="1"/>
  </cols>
  <sheetData>
    <row r="2" spans="3:8" x14ac:dyDescent="0.3">
      <c r="C2" s="9" t="s">
        <v>4</v>
      </c>
      <c r="D2" s="9" t="s">
        <v>3</v>
      </c>
      <c r="E2" s="9" t="s">
        <v>18</v>
      </c>
    </row>
    <row r="3" spans="3:8" x14ac:dyDescent="0.3">
      <c r="C3" s="54">
        <v>1</v>
      </c>
      <c r="D3" s="166">
        <v>635806</v>
      </c>
      <c r="E3" s="166">
        <v>7462003</v>
      </c>
      <c r="H3" t="s">
        <v>260</v>
      </c>
    </row>
    <row r="4" spans="3:8" x14ac:dyDescent="0.3">
      <c r="C4" s="54">
        <v>2</v>
      </c>
      <c r="D4" s="166">
        <v>635842</v>
      </c>
      <c r="E4" s="166">
        <v>7466204</v>
      </c>
    </row>
    <row r="5" spans="3:8" x14ac:dyDescent="0.3">
      <c r="C5" s="54">
        <v>3</v>
      </c>
      <c r="D5" s="166">
        <v>635871</v>
      </c>
      <c r="E5" s="166">
        <v>7462013</v>
      </c>
    </row>
    <row r="6" spans="3:8" x14ac:dyDescent="0.3">
      <c r="C6" s="54">
        <v>4</v>
      </c>
      <c r="D6" s="166">
        <v>635902</v>
      </c>
      <c r="E6" s="166">
        <v>746233</v>
      </c>
    </row>
    <row r="7" spans="3:8" x14ac:dyDescent="0.3">
      <c r="C7" s="54">
        <v>5</v>
      </c>
      <c r="D7" s="166">
        <v>635921</v>
      </c>
      <c r="E7" s="166">
        <v>7462020</v>
      </c>
    </row>
    <row r="8" spans="3:8" x14ac:dyDescent="0.3">
      <c r="C8" s="54">
        <v>6</v>
      </c>
      <c r="D8" s="166">
        <v>635940</v>
      </c>
      <c r="E8" s="166">
        <v>7462012</v>
      </c>
    </row>
    <row r="9" spans="3:8" x14ac:dyDescent="0.3">
      <c r="C9" s="54">
        <v>7</v>
      </c>
      <c r="D9" s="166">
        <v>635958</v>
      </c>
      <c r="E9" s="166">
        <v>7462020</v>
      </c>
    </row>
    <row r="10" spans="3:8" x14ac:dyDescent="0.3">
      <c r="C10" s="54">
        <v>8</v>
      </c>
      <c r="D10" s="166">
        <v>635985</v>
      </c>
      <c r="E10" s="166">
        <v>7462040</v>
      </c>
    </row>
    <row r="11" spans="3:8" x14ac:dyDescent="0.3">
      <c r="C11" s="54">
        <v>9</v>
      </c>
      <c r="D11" s="166">
        <v>63613</v>
      </c>
      <c r="E11" s="166">
        <v>7462062</v>
      </c>
    </row>
    <row r="12" spans="3:8" x14ac:dyDescent="0.3">
      <c r="C12" s="54">
        <v>10</v>
      </c>
      <c r="D12" s="166">
        <v>635924</v>
      </c>
      <c r="E12" s="166">
        <v>7462060</v>
      </c>
    </row>
    <row r="13" spans="3:8" x14ac:dyDescent="0.3">
      <c r="C13" s="54">
        <v>11</v>
      </c>
      <c r="D13" s="166">
        <v>635957</v>
      </c>
      <c r="E13" s="166">
        <v>7462079</v>
      </c>
    </row>
    <row r="14" spans="3:8" x14ac:dyDescent="0.3">
      <c r="C14" s="54">
        <v>12</v>
      </c>
      <c r="D14" s="166">
        <v>635986</v>
      </c>
      <c r="E14" s="166">
        <v>7462112</v>
      </c>
    </row>
    <row r="15" spans="3:8" x14ac:dyDescent="0.3">
      <c r="C15" s="54">
        <v>13</v>
      </c>
      <c r="D15" s="166">
        <v>636017</v>
      </c>
      <c r="E15" s="166">
        <v>7462129</v>
      </c>
    </row>
    <row r="16" spans="3:8" x14ac:dyDescent="0.3">
      <c r="C16" s="54">
        <v>14</v>
      </c>
      <c r="D16" s="166">
        <v>63645</v>
      </c>
      <c r="E16" s="166">
        <v>7462154</v>
      </c>
    </row>
    <row r="17" spans="3:5" x14ac:dyDescent="0.3">
      <c r="C17" s="54">
        <v>15</v>
      </c>
      <c r="D17" s="166">
        <v>636075</v>
      </c>
      <c r="E17" s="166">
        <v>7462174</v>
      </c>
    </row>
    <row r="18" spans="3:5" x14ac:dyDescent="0.3">
      <c r="C18" s="54">
        <v>16</v>
      </c>
      <c r="D18" s="167"/>
      <c r="E18" s="167"/>
    </row>
    <row r="19" spans="3:5" x14ac:dyDescent="0.3">
      <c r="C19" s="54">
        <v>17</v>
      </c>
      <c r="D19" s="167"/>
      <c r="E19" s="167"/>
    </row>
    <row r="20" spans="3:5" x14ac:dyDescent="0.3">
      <c r="C20" s="54">
        <v>18</v>
      </c>
      <c r="D20" s="167"/>
      <c r="E20" s="167"/>
    </row>
    <row r="21" spans="3:5" x14ac:dyDescent="0.3">
      <c r="C21" s="54">
        <v>19</v>
      </c>
      <c r="D21" s="167"/>
      <c r="E21" s="167"/>
    </row>
    <row r="22" spans="3:5" x14ac:dyDescent="0.3">
      <c r="C22" s="54">
        <v>20</v>
      </c>
      <c r="D22" s="167"/>
      <c r="E22" s="167"/>
    </row>
    <row r="23" spans="3:5" x14ac:dyDescent="0.3">
      <c r="C23" s="54">
        <v>21</v>
      </c>
      <c r="D23" s="167"/>
      <c r="E23" s="167"/>
    </row>
    <row r="24" spans="3:5" x14ac:dyDescent="0.3">
      <c r="C24" s="54">
        <v>22</v>
      </c>
      <c r="D24" s="167"/>
      <c r="E24" s="167"/>
    </row>
    <row r="25" spans="3:5" x14ac:dyDescent="0.3">
      <c r="C25" s="54">
        <v>23</v>
      </c>
      <c r="D25" s="167"/>
      <c r="E25" s="167"/>
    </row>
    <row r="26" spans="3:5" x14ac:dyDescent="0.3">
      <c r="C26" s="54">
        <v>24</v>
      </c>
      <c r="D26" s="167"/>
      <c r="E26" s="167"/>
    </row>
    <row r="27" spans="3:5" x14ac:dyDescent="0.3">
      <c r="C27" s="54">
        <v>25</v>
      </c>
      <c r="D27" s="167"/>
      <c r="E27" s="167"/>
    </row>
    <row r="28" spans="3:5" x14ac:dyDescent="0.3">
      <c r="C28" s="54">
        <v>26</v>
      </c>
      <c r="D28" s="167"/>
      <c r="E28" s="167"/>
    </row>
    <row r="29" spans="3:5" x14ac:dyDescent="0.3">
      <c r="C29" s="54">
        <v>27</v>
      </c>
      <c r="D29" s="167"/>
      <c r="E29" s="167"/>
    </row>
    <row r="30" spans="3:5" x14ac:dyDescent="0.3">
      <c r="C30" s="54">
        <v>28</v>
      </c>
      <c r="D30" s="167"/>
      <c r="E30" s="167"/>
    </row>
    <row r="31" spans="3:5" x14ac:dyDescent="0.3">
      <c r="C31" s="54">
        <v>29</v>
      </c>
      <c r="D31" s="167"/>
      <c r="E31" s="167"/>
    </row>
    <row r="32" spans="3:5" x14ac:dyDescent="0.3">
      <c r="C32" s="54">
        <v>30</v>
      </c>
      <c r="D32" s="167"/>
      <c r="E32" s="167"/>
    </row>
    <row r="33" spans="3:5" x14ac:dyDescent="0.3">
      <c r="C33" s="54">
        <v>31</v>
      </c>
      <c r="D33" s="167"/>
      <c r="E33" s="167"/>
    </row>
    <row r="34" spans="3:5" x14ac:dyDescent="0.3">
      <c r="C34" s="54">
        <v>32</v>
      </c>
      <c r="D34" s="167"/>
      <c r="E34" s="167"/>
    </row>
    <row r="35" spans="3:5" x14ac:dyDescent="0.3">
      <c r="C35" s="54">
        <v>33</v>
      </c>
      <c r="D35" s="167"/>
      <c r="E35" s="167"/>
    </row>
    <row r="36" spans="3:5" x14ac:dyDescent="0.3">
      <c r="C36" s="54">
        <v>34</v>
      </c>
      <c r="D36" s="167"/>
      <c r="E36" s="167"/>
    </row>
    <row r="37" spans="3:5" x14ac:dyDescent="0.3">
      <c r="C37" s="54">
        <v>35</v>
      </c>
      <c r="D37" s="167"/>
      <c r="E37" s="167"/>
    </row>
    <row r="38" spans="3:5" x14ac:dyDescent="0.3">
      <c r="C38" s="54">
        <v>36</v>
      </c>
      <c r="D38" s="167"/>
      <c r="E38" s="167"/>
    </row>
    <row r="39" spans="3:5" x14ac:dyDescent="0.3">
      <c r="C39" s="54">
        <v>37</v>
      </c>
      <c r="D39" s="167"/>
      <c r="E39" s="167"/>
    </row>
    <row r="40" spans="3:5" x14ac:dyDescent="0.3">
      <c r="C40" s="54">
        <v>38</v>
      </c>
      <c r="D40" s="167"/>
      <c r="E40" s="167"/>
    </row>
    <row r="41" spans="3:5" x14ac:dyDescent="0.3">
      <c r="C41" s="54">
        <v>38</v>
      </c>
      <c r="D41" s="167"/>
      <c r="E41" s="167"/>
    </row>
    <row r="42" spans="3:5" x14ac:dyDescent="0.3">
      <c r="C42" s="54">
        <v>39</v>
      </c>
      <c r="D42" s="167"/>
      <c r="E42" s="167"/>
    </row>
    <row r="43" spans="3:5" x14ac:dyDescent="0.3">
      <c r="C43" s="54">
        <v>40</v>
      </c>
      <c r="D43" s="167"/>
      <c r="E43" s="167"/>
    </row>
    <row r="44" spans="3:5" x14ac:dyDescent="0.3">
      <c r="C44" s="54">
        <v>41</v>
      </c>
      <c r="D44" s="167"/>
      <c r="E44" s="167"/>
    </row>
    <row r="45" spans="3:5" x14ac:dyDescent="0.3">
      <c r="C45" s="54">
        <v>42</v>
      </c>
      <c r="D45" s="167"/>
      <c r="E45" s="167"/>
    </row>
    <row r="46" spans="3:5" x14ac:dyDescent="0.3">
      <c r="C46" s="54">
        <v>43</v>
      </c>
      <c r="D46" s="167"/>
      <c r="E46" s="167"/>
    </row>
    <row r="47" spans="3:5" x14ac:dyDescent="0.3">
      <c r="C47" s="54">
        <v>44</v>
      </c>
      <c r="D47" s="167"/>
      <c r="E47" s="167"/>
    </row>
    <row r="48" spans="3:5" x14ac:dyDescent="0.3">
      <c r="C48" s="54">
        <v>45</v>
      </c>
      <c r="D48" s="167"/>
      <c r="E48" s="167"/>
    </row>
    <row r="49" spans="3:5" x14ac:dyDescent="0.3">
      <c r="C49" s="54">
        <v>46</v>
      </c>
      <c r="D49" s="167"/>
      <c r="E49" s="167"/>
    </row>
    <row r="50" spans="3:5" x14ac:dyDescent="0.3">
      <c r="C50" s="124">
        <v>47</v>
      </c>
      <c r="D50" s="167"/>
      <c r="E50" s="167"/>
    </row>
    <row r="51" spans="3:5" x14ac:dyDescent="0.3">
      <c r="C51" s="54">
        <v>48</v>
      </c>
      <c r="D51" s="167"/>
      <c r="E51" s="167"/>
    </row>
    <row r="52" spans="3:5" x14ac:dyDescent="0.3">
      <c r="C52" s="54">
        <v>49</v>
      </c>
      <c r="D52" s="167"/>
      <c r="E52" s="167"/>
    </row>
    <row r="53" spans="3:5" x14ac:dyDescent="0.3">
      <c r="C53" s="54">
        <v>50</v>
      </c>
      <c r="D53" s="167"/>
      <c r="E53" s="167"/>
    </row>
    <row r="54" spans="3:5" x14ac:dyDescent="0.3">
      <c r="C54" s="54">
        <v>51</v>
      </c>
      <c r="D54" s="167"/>
      <c r="E54" s="167"/>
    </row>
    <row r="55" spans="3:5" x14ac:dyDescent="0.3">
      <c r="C55" s="54">
        <v>52</v>
      </c>
      <c r="D55" s="167"/>
      <c r="E55" s="167"/>
    </row>
    <row r="56" spans="3:5" x14ac:dyDescent="0.3">
      <c r="C56" s="54">
        <v>53</v>
      </c>
      <c r="D56" s="167"/>
      <c r="E56" s="167"/>
    </row>
    <row r="57" spans="3:5" x14ac:dyDescent="0.3">
      <c r="C57" s="54">
        <v>54</v>
      </c>
      <c r="D57" s="167"/>
      <c r="E57" s="167"/>
    </row>
    <row r="58" spans="3:5" x14ac:dyDescent="0.3">
      <c r="C58" s="54">
        <v>55</v>
      </c>
      <c r="D58" s="167"/>
      <c r="E58" s="167"/>
    </row>
    <row r="59" spans="3:5" x14ac:dyDescent="0.3">
      <c r="C59" s="54">
        <v>56</v>
      </c>
      <c r="D59" s="167"/>
      <c r="E59" s="167"/>
    </row>
    <row r="60" spans="3:5" x14ac:dyDescent="0.3">
      <c r="C60" s="54">
        <v>57</v>
      </c>
      <c r="D60" s="167"/>
      <c r="E60" s="167"/>
    </row>
    <row r="61" spans="3:5" x14ac:dyDescent="0.3">
      <c r="C61" s="54">
        <v>58</v>
      </c>
      <c r="D61" s="167"/>
      <c r="E61" s="167"/>
    </row>
    <row r="62" spans="3:5" x14ac:dyDescent="0.3">
      <c r="C62" s="54">
        <v>59</v>
      </c>
      <c r="D62" s="167"/>
      <c r="E62" s="167"/>
    </row>
    <row r="63" spans="3:5" x14ac:dyDescent="0.3">
      <c r="C63" s="54">
        <v>60</v>
      </c>
      <c r="D63" s="167"/>
      <c r="E63" s="167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220"/>
  <sheetViews>
    <sheetView workbookViewId="0">
      <pane ySplit="13" topLeftCell="A32" activePane="bottomLeft" state="frozen"/>
      <selection pane="bottomLeft" activeCell="B34" sqref="B34"/>
    </sheetView>
  </sheetViews>
  <sheetFormatPr defaultRowHeight="14.4" x14ac:dyDescent="0.3"/>
  <cols>
    <col min="1" max="1" width="45.77734375" bestFit="1" customWidth="1"/>
    <col min="2" max="3" width="12" customWidth="1"/>
    <col min="4" max="4" width="14.109375" customWidth="1"/>
    <col min="5" max="7" width="12" customWidth="1"/>
    <col min="8" max="8" width="10" customWidth="1"/>
    <col min="9" max="9" width="12" customWidth="1"/>
    <col min="10" max="10" width="10" customWidth="1"/>
    <col min="11" max="11" width="21.88671875" bestFit="1" customWidth="1"/>
    <col min="13" max="22" width="13" hidden="1" customWidth="1"/>
    <col min="24" max="33" width="13" hidden="1" customWidth="1"/>
  </cols>
  <sheetData>
    <row r="1" spans="1:22" x14ac:dyDescent="0.3">
      <c r="A1" s="111" t="s">
        <v>134</v>
      </c>
      <c r="K1" s="118" t="s">
        <v>135</v>
      </c>
    </row>
    <row r="2" spans="1:22" x14ac:dyDescent="0.3">
      <c r="K2" s="119" t="s">
        <v>136</v>
      </c>
      <c r="L2" s="59">
        <v>0.4</v>
      </c>
    </row>
    <row r="3" spans="1:22" x14ac:dyDescent="0.3">
      <c r="A3" s="112" t="s">
        <v>137</v>
      </c>
      <c r="D3" s="112" t="s">
        <v>138</v>
      </c>
      <c r="K3" s="119" t="s">
        <v>139</v>
      </c>
      <c r="L3" s="59">
        <v>0.35</v>
      </c>
    </row>
    <row r="4" spans="1:22" x14ac:dyDescent="0.3">
      <c r="A4" s="112" t="s">
        <v>140</v>
      </c>
      <c r="D4" s="112" t="s">
        <v>141</v>
      </c>
      <c r="E4" s="114">
        <f>SUMIFS(GERAL[TOTAL DO TRECHO],GERAL[LADO],"ESQUERDO")</f>
        <v>54.982399999999998</v>
      </c>
      <c r="F4">
        <f>IF(E4*1.15&lt;=30,30,IF(E4*1.15&lt;=45,45,IF(E4*1.15&lt;=75,75,IF(E4*1.15&lt;=112.5,112.5,IF(E4*1.15&lt;=150,150,IF(E4*1.15&lt;=225,225,300))))))</f>
        <v>75</v>
      </c>
      <c r="G4" s="115">
        <f>IFERROR(E4/F4,0)</f>
        <v>0.73309866666666668</v>
      </c>
      <c r="K4" s="119" t="s">
        <v>142</v>
      </c>
      <c r="L4" s="59">
        <v>0.2</v>
      </c>
    </row>
    <row r="5" spans="1:22" x14ac:dyDescent="0.3">
      <c r="A5" s="112" t="s">
        <v>143</v>
      </c>
      <c r="B5">
        <f>DB!K7</f>
        <v>101.95599999999999</v>
      </c>
      <c r="D5" s="112" t="s">
        <v>144</v>
      </c>
      <c r="E5" s="114">
        <f>SUMIFS(GERAL[TOTAL DO TRECHO],GERAL[LADO],"DIREITO")</f>
        <v>96.332800000000006</v>
      </c>
      <c r="F5">
        <f>IF(E5*1.15&lt;=30,30,IF(E5*1.15&lt;=45,45,IF(E5*1.15&lt;=75,75,IF(E5*1.15&lt;=112.5,112.5,IF(E5*1.15&lt;=150,150,IF(E5*1.15&lt;=225,225,300))))))</f>
        <v>112.5</v>
      </c>
      <c r="G5" s="115">
        <f>IFERROR(E5/F5,0)</f>
        <v>0.85629155555555558</v>
      </c>
      <c r="K5" s="119" t="s">
        <v>145</v>
      </c>
      <c r="L5" s="59">
        <v>0.05</v>
      </c>
    </row>
    <row r="6" spans="1:22" x14ac:dyDescent="0.3">
      <c r="A6" s="112" t="s">
        <v>146</v>
      </c>
      <c r="B6">
        <f>DB!K6</f>
        <v>225</v>
      </c>
      <c r="D6" s="112" t="s">
        <v>147</v>
      </c>
      <c r="E6" t="str">
        <f>IF(AND(G4&lt;=0.85,G5&lt;=0.85),"OK","SPLIT_MAIOR_LADO")</f>
        <v>SPLIT_MAIOR_LADO</v>
      </c>
      <c r="K6" s="119" t="s">
        <v>148</v>
      </c>
      <c r="L6" s="59">
        <v>0.3</v>
      </c>
    </row>
    <row r="7" spans="1:22" x14ac:dyDescent="0.3">
      <c r="A7" s="112" t="s">
        <v>149</v>
      </c>
      <c r="B7" s="115">
        <f>IFERROR(B5/B6,0)</f>
        <v>0.45313777777777775</v>
      </c>
      <c r="K7" s="119" t="s">
        <v>150</v>
      </c>
      <c r="L7" s="59">
        <v>0.85</v>
      </c>
    </row>
    <row r="8" spans="1:22" x14ac:dyDescent="0.3">
      <c r="B8">
        <f ca="1">IFERROR(MINIFS(GERAL[SNAP],GERAL[LADO],"ESQUERDO"),0)</f>
        <v>0</v>
      </c>
      <c r="E8">
        <f ca="1">IFERROR(MINIFS(GERAL[SNAP],GERAL[LADO],"DIREITO"),0)</f>
        <v>0</v>
      </c>
      <c r="K8" s="119" t="s">
        <v>151</v>
      </c>
      <c r="L8" s="59">
        <f>L2+L3+L4</f>
        <v>0.95</v>
      </c>
    </row>
    <row r="9" spans="1:22" x14ac:dyDescent="0.3">
      <c r="B9">
        <f ca="1">IFERROR(MAXIFS(GERAL[SNAP],GERAL[LADO],"ESQUERDO"),1)</f>
        <v>1</v>
      </c>
      <c r="E9">
        <f ca="1">IFERROR(MAXIFS(GERAL[SNAP],GERAL[LADO],"DIREITO"),1)</f>
        <v>1</v>
      </c>
    </row>
    <row r="10" spans="1:22" x14ac:dyDescent="0.3">
      <c r="A10" s="111" t="s">
        <v>152</v>
      </c>
    </row>
    <row r="11" spans="1:22" x14ac:dyDescent="0.3">
      <c r="A11" t="s">
        <v>153</v>
      </c>
      <c r="B11" s="59">
        <f>E4</f>
        <v>54.982399999999998</v>
      </c>
      <c r="C11" t="s">
        <v>154</v>
      </c>
      <c r="D11">
        <f ca="1">IFERROR(MAX(Tabela7[QT %]),0)</f>
        <v>9.6787541100164437E-2</v>
      </c>
    </row>
    <row r="13" spans="1:22" x14ac:dyDescent="0.3">
      <c r="A13" s="113" t="s">
        <v>155</v>
      </c>
      <c r="B13" s="113" t="s">
        <v>4</v>
      </c>
      <c r="C13" s="113" t="s">
        <v>156</v>
      </c>
      <c r="D13" s="113" t="s">
        <v>157</v>
      </c>
      <c r="E13" s="113" t="s">
        <v>158</v>
      </c>
      <c r="F13" s="113" t="s">
        <v>159</v>
      </c>
      <c r="G13" s="113" t="s">
        <v>160</v>
      </c>
      <c r="H13" s="113" t="s">
        <v>161</v>
      </c>
      <c r="I13" s="113" t="s">
        <v>162</v>
      </c>
      <c r="J13" s="113" t="s">
        <v>163</v>
      </c>
    </row>
    <row r="14" spans="1:22" x14ac:dyDescent="0.3">
      <c r="A14" s="9">
        <v>1</v>
      </c>
      <c r="B14" s="9">
        <f t="shared" ref="B14:B25" ca="1" si="0">IF($J14="","",INDEX($M$14:$M$200,MATCH($J14,$U$14:$U$200,0)))</f>
        <v>12</v>
      </c>
      <c r="C14" s="93">
        <f t="shared" ref="C14:C25" ca="1" si="1">IF($J14="","",INDEX($N$14:$N$200,MATCH($J14,$U$14:$U$200,0)))</f>
        <v>42.884</v>
      </c>
      <c r="D14" s="116">
        <f t="shared" ref="D14:D25" ca="1" si="2">IF($J14="","",INDEX($O$14:$O$200,MATCH($J14,$U$14:$U$200,0)))</f>
        <v>12.098399999999998</v>
      </c>
      <c r="E14" s="9">
        <f t="shared" ref="E14:E25" ca="1" si="3">IF($J14="","",INDEX($P$14:$P$200,MATCH($J14,$U$14:$U$200,0)))</f>
        <v>75</v>
      </c>
      <c r="F14" s="117">
        <f t="shared" ref="F14:F25" ca="1" si="4">IF($J14="","",INDEX($Q$14:$Q$200,MATCH($J14,$U$14:$U$200,0)))</f>
        <v>0.57178666666666667</v>
      </c>
      <c r="G14" s="59">
        <f t="shared" ref="G14:G25" ca="1" si="5">IF($J14="","",INDEX($R$14:$R$200,MATCH($J14,$U$14:$U$200,0)))</f>
        <v>7.0173553136923708E-2</v>
      </c>
      <c r="H14" s="59">
        <f t="shared" ref="H14:H25" ca="1" si="6">IF($J14="","",INDEX($S$14:$S$200,MATCH($J14,$U$14:$U$200,0)))</f>
        <v>0.4400826446280991</v>
      </c>
      <c r="I14" s="59">
        <f t="shared" ref="I14:I25" ca="1" si="7">IF($J14="","",INDEX($T$14:$T$200,MATCH($J14,$U$14:$U$200,0)))</f>
        <v>480675.39612450317</v>
      </c>
      <c r="J14" s="120">
        <f ca="1">IFERROR(LARGE($U$14:$U$200,1),"")</f>
        <v>-24033.116031874328</v>
      </c>
      <c r="M14">
        <f>IFERROR(INDEX(GERAL[PONTO],1),"")</f>
        <v>11</v>
      </c>
      <c r="N14">
        <f>IF(M14="","",IFERROR(INDEX(GERAL[ACUMULADA],1),0))</f>
        <v>101.95599999999999</v>
      </c>
      <c r="O14">
        <f t="shared" ref="O14:O45" si="8">IF(N14="","",$B$11-N14)</f>
        <v>-46.97359999999999</v>
      </c>
      <c r="P14">
        <f t="shared" ref="P14:P45" si="9">IF(N14="","",IF(N14*1.15&lt;=30,30,IF(N14*1.15&lt;=45,45,IF(N14*1.15&lt;=75,75,IF(N14*1.15&lt;=112.5,112.5,IF(N14*1.15&lt;=150,150,IF(N14*1.15&lt;=225,225,300)))))))</f>
        <v>150</v>
      </c>
      <c r="Q14">
        <f t="shared" ref="Q14:Q45" si="10">IF(P14="","",IFERROR(N14/P14,0))</f>
        <v>0.67970666666666657</v>
      </c>
      <c r="R14">
        <f>IF(M14="","",IFERROR(INDEX(Tabela7[QT %],MATCH(M14,Tabela7[PONTO],0)),0))</f>
        <v>3.5651090958408183E-2</v>
      </c>
      <c r="S14">
        <f t="shared" ref="S14:S45" si="11">IF(N14="","",IFERROR(1-ABS(N14-O14)/$B$11,0))</f>
        <v>-1.7086776859504131</v>
      </c>
      <c r="T14">
        <f ca="1">IF(M14="","",IF($B$9&gt;$B$8,IFERROR((INDEX(GERAL[SNAP],1)-$B$8)/($B$9-$B$8),0),0))</f>
        <v>449073.93599131366</v>
      </c>
      <c r="U14" t="str">
        <f t="shared" ref="U14:U45" si="12">IF(OR(M14="",V14&lt;&gt;"ESQUERDO"),"",$L$2*IFERROR(N14/$B$11,0)+$L$3*IF($D$11&gt;0,IFERROR(R14/$D$11,0),0)+$L$4*IFERROR(S14,0)-$L$5*IFERROR(T14,0)-$L$6*MAX(0,IFERROR(Q14,0)-$L$7)+ROW()/1000000)</f>
        <v/>
      </c>
      <c r="V14" t="str">
        <f>IFERROR(INDEX(GERAL[LADO],1),"")</f>
        <v>TRAFO</v>
      </c>
    </row>
    <row r="15" spans="1:22" x14ac:dyDescent="0.3">
      <c r="A15" s="9">
        <v>2</v>
      </c>
      <c r="B15" s="9">
        <f t="shared" ca="1" si="0"/>
        <v>13</v>
      </c>
      <c r="C15" s="93">
        <f t="shared" ca="1" si="1"/>
        <v>27.377600000000001</v>
      </c>
      <c r="D15" s="116">
        <f t="shared" ca="1" si="2"/>
        <v>27.604799999999997</v>
      </c>
      <c r="E15" s="9">
        <f t="shared" ca="1" si="3"/>
        <v>45</v>
      </c>
      <c r="F15" s="117">
        <f t="shared" ca="1" si="4"/>
        <v>0.6083911111111111</v>
      </c>
      <c r="G15" s="59">
        <f t="shared" ca="1" si="5"/>
        <v>8.0682941637855263E-2</v>
      </c>
      <c r="H15" s="59">
        <f t="shared" ca="1" si="6"/>
        <v>0.99586776859504134</v>
      </c>
      <c r="I15" s="59">
        <f t="shared" ca="1" si="7"/>
        <v>480697.92564074148</v>
      </c>
      <c r="J15" s="120">
        <f ca="1">IFERROR(LARGE($U$14:$U$200,2),"")</f>
        <v>-24034.20615586538</v>
      </c>
      <c r="M15">
        <f>IFERROR(INDEX(GERAL[PONTO],2),"")</f>
        <v>12</v>
      </c>
      <c r="N15">
        <f>IF(M15="","",IFERROR(INDEX(GERAL[ACUMULADA],2),0))</f>
        <v>42.884</v>
      </c>
      <c r="O15">
        <f t="shared" si="8"/>
        <v>12.098399999999998</v>
      </c>
      <c r="P15">
        <f t="shared" si="9"/>
        <v>75</v>
      </c>
      <c r="Q15">
        <f t="shared" si="10"/>
        <v>0.57178666666666667</v>
      </c>
      <c r="R15">
        <f>IF(M15="","",IFERROR(INDEX(Tabela7[QT %],MATCH(M15,Tabela7[PONTO],0)),0))</f>
        <v>4.1523188595338711E-2</v>
      </c>
      <c r="S15">
        <f t="shared" si="11"/>
        <v>0.4400826446280991</v>
      </c>
      <c r="T15">
        <f ca="1">IF(M15="","",IF($B$9&gt;$B$8,IFERROR((INDEX(GERAL[SNAP],2)-$B$8)/($B$9-$B$8),0),0))</f>
        <v>449111.80234742834</v>
      </c>
      <c r="U15">
        <f t="shared" ca="1" si="12"/>
        <v>-24033.116031874328</v>
      </c>
      <c r="V15" t="str">
        <f>IFERROR(INDEX(GERAL[LADO],2),"")</f>
        <v>ESQUERDO</v>
      </c>
    </row>
    <row r="16" spans="1:22" x14ac:dyDescent="0.3">
      <c r="A16" s="9">
        <v>3</v>
      </c>
      <c r="B16" s="9">
        <f t="shared" ca="1" si="0"/>
        <v>15</v>
      </c>
      <c r="C16" s="93">
        <f t="shared" ca="1" si="1"/>
        <v>11.0192</v>
      </c>
      <c r="D16" s="116">
        <f t="shared" ca="1" si="2"/>
        <v>43.963200000000001</v>
      </c>
      <c r="E16" s="9">
        <f t="shared" ca="1" si="3"/>
        <v>30</v>
      </c>
      <c r="F16" s="117">
        <f t="shared" ca="1" si="4"/>
        <v>0.36730666666666667</v>
      </c>
      <c r="G16" s="59">
        <f t="shared" ca="1" si="5"/>
        <v>9.2168221433132511E-2</v>
      </c>
      <c r="H16" s="59">
        <f t="shared" ca="1" si="6"/>
        <v>0.40082644628099162</v>
      </c>
      <c r="I16" s="59">
        <f t="shared" ca="1" si="7"/>
        <v>480753.03933102294</v>
      </c>
      <c r="J16" s="120">
        <f ca="1">IFERROR(LARGE($U$14:$U$200,3),"")</f>
        <v>-24037.158322208172</v>
      </c>
      <c r="M16">
        <f>IFERROR(INDEX(GERAL[PONTO],3),"")</f>
        <v>13</v>
      </c>
      <c r="N16">
        <f>IF(M16="","",IFERROR(INDEX(GERAL[ACUMULADA],3),0))</f>
        <v>27.377600000000001</v>
      </c>
      <c r="O16">
        <f t="shared" si="8"/>
        <v>27.604799999999997</v>
      </c>
      <c r="P16">
        <f t="shared" si="9"/>
        <v>45</v>
      </c>
      <c r="Q16">
        <f t="shared" si="10"/>
        <v>0.6083911111111111</v>
      </c>
      <c r="R16">
        <f>IF(M16="","",IFERROR(INDEX(Tabela7[QT %],MATCH(M16,Tabela7[PONTO],0)),0))</f>
        <v>5.2032577096270266E-2</v>
      </c>
      <c r="S16">
        <f t="shared" si="11"/>
        <v>0.99586776859504134</v>
      </c>
      <c r="T16">
        <f ca="1">IF(M16="","",IF($B$9&gt;$B$8,IFERROR((INDEX(GERAL[SNAP],3)-$B$8)/($B$9-$B$8),0),0))</f>
        <v>449134.33212157339</v>
      </c>
      <c r="U16">
        <f t="shared" ca="1" si="12"/>
        <v>-24034.20615586538</v>
      </c>
      <c r="V16" t="str">
        <f>IFERROR(INDEX(GERAL[LADO],3),"")</f>
        <v>ESQUERDO</v>
      </c>
    </row>
    <row r="17" spans="1:22" x14ac:dyDescent="0.3">
      <c r="A17" s="9">
        <v>4</v>
      </c>
      <c r="B17" s="9">
        <f t="shared" ca="1" si="0"/>
        <v>14</v>
      </c>
      <c r="C17" s="93">
        <f t="shared" ca="1" si="1"/>
        <v>19.198399999999999</v>
      </c>
      <c r="D17" s="116">
        <f t="shared" ca="1" si="2"/>
        <v>35.783999999999999</v>
      </c>
      <c r="E17" s="9">
        <f t="shared" ca="1" si="3"/>
        <v>30</v>
      </c>
      <c r="F17" s="117">
        <f t="shared" ca="1" si="4"/>
        <v>0.63994666666666666</v>
      </c>
      <c r="G17" s="59">
        <f t="shared" ca="1" si="5"/>
        <v>8.7894604949307273E-2</v>
      </c>
      <c r="H17" s="59">
        <f t="shared" ca="1" si="6"/>
        <v>0.69834710743801653</v>
      </c>
      <c r="I17" s="59">
        <f t="shared" ca="1" si="7"/>
        <v>674643.98563731054</v>
      </c>
      <c r="J17" s="120">
        <f ca="1">IFERROR(LARGE($U$14:$U$200,4),"")</f>
        <v>-33731.602084372869</v>
      </c>
      <c r="M17">
        <f>IFERROR(INDEX(GERAL[PONTO],4),"")</f>
        <v>14</v>
      </c>
      <c r="N17">
        <f>IF(M17="","",IFERROR(INDEX(GERAL[ACUMULADA],4),0))</f>
        <v>19.198399999999999</v>
      </c>
      <c r="O17">
        <f t="shared" si="8"/>
        <v>35.783999999999999</v>
      </c>
      <c r="P17">
        <f t="shared" si="9"/>
        <v>30</v>
      </c>
      <c r="Q17">
        <f t="shared" si="10"/>
        <v>0.63994666666666666</v>
      </c>
      <c r="R17">
        <f>IF(M17="","",IFERROR(INDEX(Tabela7[QT %],MATCH(M17,Tabela7[PONTO],0)),0))</f>
        <v>5.9244240407722276E-2</v>
      </c>
      <c r="S17">
        <f t="shared" si="11"/>
        <v>0.69834710743801653</v>
      </c>
      <c r="T17">
        <f ca="1">IF(M17="","",IF($B$9&gt;$B$8,IFERROR((INDEX(GERAL[SNAP],4)-$B$8)/($B$9-$B$8),0),0))</f>
        <v>657714.40368155029</v>
      </c>
      <c r="U17">
        <f t="shared" ca="1" si="12"/>
        <v>-33731.602084372869</v>
      </c>
      <c r="V17" t="str">
        <f>IFERROR(INDEX(GERAL[LADO],4),"")</f>
        <v>ESQUERDO</v>
      </c>
    </row>
    <row r="18" spans="1:22" x14ac:dyDescent="0.3">
      <c r="A18" s="9">
        <v>5</v>
      </c>
      <c r="B18" s="9" t="str">
        <f t="shared" ca="1" si="0"/>
        <v/>
      </c>
      <c r="C18" s="93" t="str">
        <f t="shared" ca="1" si="1"/>
        <v/>
      </c>
      <c r="D18" s="116" t="str">
        <f t="shared" ca="1" si="2"/>
        <v/>
      </c>
      <c r="E18" s="9" t="str">
        <f t="shared" ca="1" si="3"/>
        <v/>
      </c>
      <c r="F18" s="117" t="str">
        <f t="shared" ca="1" si="4"/>
        <v/>
      </c>
      <c r="G18" s="59" t="str">
        <f t="shared" ca="1" si="5"/>
        <v/>
      </c>
      <c r="H18" s="59" t="str">
        <f t="shared" ca="1" si="6"/>
        <v/>
      </c>
      <c r="I18" s="59" t="str">
        <f t="shared" ca="1" si="7"/>
        <v/>
      </c>
      <c r="J18" s="120" t="str">
        <f ca="1">IFERROR(LARGE($U$14:$U$200,5),"")</f>
        <v/>
      </c>
      <c r="M18">
        <f>IFERROR(INDEX(GERAL[PONTO],5),"")</f>
        <v>15</v>
      </c>
      <c r="N18">
        <f>IF(M18="","",IFERROR(INDEX(GERAL[ACUMULADA],5),0))</f>
        <v>11.0192</v>
      </c>
      <c r="O18">
        <f t="shared" si="8"/>
        <v>43.963200000000001</v>
      </c>
      <c r="P18">
        <f t="shared" si="9"/>
        <v>30</v>
      </c>
      <c r="Q18">
        <f t="shared" si="10"/>
        <v>0.36730666666666667</v>
      </c>
      <c r="R18">
        <f>IF(M18="","",IFERROR(INDEX(Tabela7[QT %],MATCH(M18,Tabela7[PONTO],0)),0))</f>
        <v>6.3517856891547514E-2</v>
      </c>
      <c r="S18">
        <f t="shared" si="11"/>
        <v>0.40082644628099162</v>
      </c>
      <c r="T18">
        <f ca="1">IF(M18="","",IF($B$9&gt;$B$8,IFERROR((INDEX(GERAL[SNAP],5)-$B$8)/($B$9-$B$8),0),0))</f>
        <v>449189.44653925515</v>
      </c>
      <c r="U18">
        <f t="shared" ca="1" si="12"/>
        <v>-24037.158322208172</v>
      </c>
      <c r="V18" t="str">
        <f>IFERROR(INDEX(GERAL[LADO],5),"")</f>
        <v>ESQUERDO</v>
      </c>
    </row>
    <row r="19" spans="1:22" x14ac:dyDescent="0.3">
      <c r="A19" s="9">
        <v>6</v>
      </c>
      <c r="B19" s="9" t="str">
        <f t="shared" ca="1" si="0"/>
        <v/>
      </c>
      <c r="C19" s="93" t="str">
        <f t="shared" ca="1" si="1"/>
        <v/>
      </c>
      <c r="D19" s="116" t="str">
        <f t="shared" ca="1" si="2"/>
        <v/>
      </c>
      <c r="E19" s="9" t="str">
        <f t="shared" ca="1" si="3"/>
        <v/>
      </c>
      <c r="F19" s="117" t="str">
        <f t="shared" ca="1" si="4"/>
        <v/>
      </c>
      <c r="G19" s="59" t="str">
        <f t="shared" ca="1" si="5"/>
        <v/>
      </c>
      <c r="H19" s="59" t="str">
        <f t="shared" ca="1" si="6"/>
        <v/>
      </c>
      <c r="I19" s="59" t="str">
        <f t="shared" ca="1" si="7"/>
        <v/>
      </c>
      <c r="J19" s="120" t="str">
        <f ca="1">IFERROR(LARGE($U$14:$U$200,6),"")</f>
        <v/>
      </c>
      <c r="M19">
        <f>IFERROR(INDEX(GERAL[PONTO],6),"")</f>
        <v>10</v>
      </c>
      <c r="N19">
        <f>IF(M19="","",IFERROR(INDEX(GERAL[ACUMULADA],6),0))</f>
        <v>63.388799999999996</v>
      </c>
      <c r="O19">
        <f t="shared" si="8"/>
        <v>-8.4063999999999979</v>
      </c>
      <c r="P19">
        <f t="shared" si="9"/>
        <v>75</v>
      </c>
      <c r="Q19">
        <f t="shared" si="10"/>
        <v>0.84518399999999994</v>
      </c>
      <c r="R19">
        <f>IF(M19="","",IFERROR(INDEX(Tabela7[QT %],MATCH(M19,Tabela7[PONTO],0)),0))</f>
        <v>0</v>
      </c>
      <c r="S19">
        <f t="shared" si="11"/>
        <v>-0.30578512396694202</v>
      </c>
      <c r="T19">
        <f ca="1">IF(M19="","",IF($B$9&gt;$B$8,IFERROR((INDEX(GERAL[SNAP],6)-$B$8)/($B$9-$B$8),0),0))</f>
        <v>449049.06882436178</v>
      </c>
      <c r="U19" t="str">
        <f t="shared" si="12"/>
        <v/>
      </c>
      <c r="V19" t="str">
        <f>IFERROR(INDEX(GERAL[LADO],6),"")</f>
        <v>DIREITO</v>
      </c>
    </row>
    <row r="20" spans="1:22" x14ac:dyDescent="0.3">
      <c r="A20" s="9">
        <v>7</v>
      </c>
      <c r="B20" s="9" t="str">
        <f t="shared" ca="1" si="0"/>
        <v/>
      </c>
      <c r="C20" s="93" t="str">
        <f t="shared" ca="1" si="1"/>
        <v/>
      </c>
      <c r="D20" s="116" t="str">
        <f t="shared" ca="1" si="2"/>
        <v/>
      </c>
      <c r="E20" s="9" t="str">
        <f t="shared" ca="1" si="3"/>
        <v/>
      </c>
      <c r="F20" s="117" t="str">
        <f t="shared" ca="1" si="4"/>
        <v/>
      </c>
      <c r="G20" s="59" t="str">
        <f t="shared" ca="1" si="5"/>
        <v/>
      </c>
      <c r="H20" s="59" t="str">
        <f t="shared" ca="1" si="6"/>
        <v/>
      </c>
      <c r="I20" s="59" t="str">
        <f t="shared" ca="1" si="7"/>
        <v/>
      </c>
      <c r="J20" s="120" t="str">
        <f ca="1">IFERROR(LARGE($U$14:$U$200,7),"")</f>
        <v/>
      </c>
      <c r="M20">
        <f>IFERROR(INDEX(GERAL[PONTO],7),"")</f>
        <v>4</v>
      </c>
      <c r="N20">
        <f>IF(M20="","",IFERROR(INDEX(GERAL[ACUMULADA],7),0))</f>
        <v>56.459199999999996</v>
      </c>
      <c r="O20">
        <f t="shared" si="8"/>
        <v>-1.4767999999999972</v>
      </c>
      <c r="P20">
        <f t="shared" si="9"/>
        <v>75</v>
      </c>
      <c r="Q20">
        <f t="shared" si="10"/>
        <v>0.75278933333333331</v>
      </c>
      <c r="R20">
        <f>IF(M20="","",IFERROR(INDEX(Tabela7[QT %],MATCH(M20,Tabela7[PONTO],0)),0))</f>
        <v>0</v>
      </c>
      <c r="S20">
        <f t="shared" si="11"/>
        <v>-5.3719008264462742E-2</v>
      </c>
      <c r="T20">
        <f ca="1">IF(M20="","",IF($B$9&gt;$B$8,IFERROR((INDEX(GERAL[SNAP],7)-$B$8)/($B$9-$B$8),0),0))</f>
        <v>6275355.7194520859</v>
      </c>
      <c r="U20" t="str">
        <f t="shared" si="12"/>
        <v/>
      </c>
      <c r="V20" t="str">
        <f>IFERROR(INDEX(GERAL[LADO],7),"")</f>
        <v>DIREITO</v>
      </c>
    </row>
    <row r="21" spans="1:22" x14ac:dyDescent="0.3">
      <c r="A21" s="9">
        <v>8</v>
      </c>
      <c r="B21" s="9" t="str">
        <f t="shared" ca="1" si="0"/>
        <v/>
      </c>
      <c r="C21" s="93" t="str">
        <f t="shared" ca="1" si="1"/>
        <v/>
      </c>
      <c r="D21" s="116" t="str">
        <f t="shared" ca="1" si="2"/>
        <v/>
      </c>
      <c r="E21" s="9" t="str">
        <f t="shared" ca="1" si="3"/>
        <v/>
      </c>
      <c r="F21" s="117" t="str">
        <f t="shared" ca="1" si="4"/>
        <v/>
      </c>
      <c r="G21" s="59" t="str">
        <f t="shared" ca="1" si="5"/>
        <v/>
      </c>
      <c r="H21" s="59" t="str">
        <f t="shared" ca="1" si="6"/>
        <v/>
      </c>
      <c r="I21" s="59" t="str">
        <f t="shared" ca="1" si="7"/>
        <v/>
      </c>
      <c r="J21" s="120" t="str">
        <f ca="1">IFERROR(LARGE($U$14:$U$200,8),"")</f>
        <v/>
      </c>
      <c r="M21">
        <f>IFERROR(INDEX(GERAL[PONTO],8),"")</f>
        <v>5</v>
      </c>
      <c r="N21">
        <f>IF(M21="","",IFERROR(INDEX(GERAL[ACUMULADA],8),0))</f>
        <v>45.099200000000003</v>
      </c>
      <c r="O21">
        <f t="shared" si="8"/>
        <v>9.8831999999999951</v>
      </c>
      <c r="P21">
        <f t="shared" si="9"/>
        <v>75</v>
      </c>
      <c r="Q21">
        <f t="shared" si="10"/>
        <v>0.60132266666666667</v>
      </c>
      <c r="R21">
        <f>IF(M21="","",IFERROR(INDEX(Tabela7[QT %],MATCH(M21,Tabela7[PONTO],0)),0))</f>
        <v>0</v>
      </c>
      <c r="S21">
        <f t="shared" si="11"/>
        <v>0.35950413223140476</v>
      </c>
      <c r="T21">
        <f ca="1">IF(M21="","",IF($B$9&gt;$B$8,IFERROR((INDEX(GERAL[SNAP],8)-$B$8)/($B$9-$B$8),0),0))</f>
        <v>449009.21824981883</v>
      </c>
      <c r="U21" t="str">
        <f t="shared" si="12"/>
        <v/>
      </c>
      <c r="V21" t="str">
        <f>IFERROR(INDEX(GERAL[LADO],8),"")</f>
        <v>DIREITO</v>
      </c>
    </row>
    <row r="22" spans="1:22" x14ac:dyDescent="0.3">
      <c r="A22" s="9">
        <v>9</v>
      </c>
      <c r="B22" s="9" t="str">
        <f t="shared" ca="1" si="0"/>
        <v/>
      </c>
      <c r="C22" s="93" t="str">
        <f t="shared" ca="1" si="1"/>
        <v/>
      </c>
      <c r="D22" s="116" t="str">
        <f t="shared" ca="1" si="2"/>
        <v/>
      </c>
      <c r="E22" s="9" t="str">
        <f t="shared" ca="1" si="3"/>
        <v/>
      </c>
      <c r="F22" s="117" t="str">
        <f t="shared" ca="1" si="4"/>
        <v/>
      </c>
      <c r="G22" s="59" t="str">
        <f t="shared" ca="1" si="5"/>
        <v/>
      </c>
      <c r="H22" s="59" t="str">
        <f t="shared" ca="1" si="6"/>
        <v/>
      </c>
      <c r="I22" s="59" t="str">
        <f t="shared" ca="1" si="7"/>
        <v/>
      </c>
      <c r="J22" s="120" t="str">
        <f ca="1">IFERROR(LARGE($U$14:$U$200,9),"")</f>
        <v/>
      </c>
      <c r="M22">
        <f>IFERROR(INDEX(GERAL[PONTO],9),"")</f>
        <v>3</v>
      </c>
      <c r="N22">
        <f>IF(M22="","",IFERROR(INDEX(GERAL[ACUMULADA],9),0))</f>
        <v>11.0192</v>
      </c>
      <c r="O22">
        <f t="shared" si="8"/>
        <v>43.963200000000001</v>
      </c>
      <c r="P22">
        <f t="shared" si="9"/>
        <v>30</v>
      </c>
      <c r="Q22">
        <f t="shared" si="10"/>
        <v>0.36730666666666667</v>
      </c>
      <c r="R22">
        <f>IF(M22="","",IFERROR(INDEX(Tabela7[QT %],MATCH(M22,Tabela7[PONTO],0)),0))</f>
        <v>0</v>
      </c>
      <c r="S22">
        <f t="shared" si="11"/>
        <v>0.40082644628099162</v>
      </c>
      <c r="T22">
        <f ca="1">IF(M22="","",IF($B$9&gt;$B$8,IFERROR((INDEX(GERAL[SNAP],9)-$B$8)/($B$9-$B$8),0),0))</f>
        <v>448992.94341722387</v>
      </c>
      <c r="U22" t="str">
        <f t="shared" si="12"/>
        <v/>
      </c>
      <c r="V22" t="str">
        <f>IFERROR(INDEX(GERAL[LADO],9),"")</f>
        <v>DIREITO</v>
      </c>
    </row>
    <row r="23" spans="1:22" x14ac:dyDescent="0.3">
      <c r="A23" s="9">
        <v>10</v>
      </c>
      <c r="B23" s="9" t="str">
        <f t="shared" ca="1" si="0"/>
        <v/>
      </c>
      <c r="C23" s="93" t="str">
        <f t="shared" ca="1" si="1"/>
        <v/>
      </c>
      <c r="D23" s="116" t="str">
        <f t="shared" ca="1" si="2"/>
        <v/>
      </c>
      <c r="E23" s="9" t="str">
        <f t="shared" ca="1" si="3"/>
        <v/>
      </c>
      <c r="F23" s="117" t="str">
        <f t="shared" ca="1" si="4"/>
        <v/>
      </c>
      <c r="G23" s="59" t="str">
        <f t="shared" ca="1" si="5"/>
        <v/>
      </c>
      <c r="H23" s="59" t="str">
        <f t="shared" ca="1" si="6"/>
        <v/>
      </c>
      <c r="I23" s="59" t="str">
        <f t="shared" ca="1" si="7"/>
        <v/>
      </c>
      <c r="J23" s="120" t="str">
        <f ca="1">IFERROR(LARGE($U$14:$U$200,10),"")</f>
        <v/>
      </c>
      <c r="M23">
        <f>IFERROR(INDEX(GERAL[PONTO],10),"")</f>
        <v>6</v>
      </c>
      <c r="N23">
        <f>IF(M23="","",IFERROR(INDEX(GERAL[ACUMULADA],10),0))</f>
        <v>38.453599999999994</v>
      </c>
      <c r="O23">
        <f t="shared" si="8"/>
        <v>16.528800000000004</v>
      </c>
      <c r="P23">
        <f t="shared" si="9"/>
        <v>45</v>
      </c>
      <c r="Q23">
        <f t="shared" si="10"/>
        <v>0.85452444444444431</v>
      </c>
      <c r="R23">
        <f>IF(M23="","",IFERROR(INDEX(Tabela7[QT %],MATCH(M23,Tabela7[PONTO],0)),0))</f>
        <v>0</v>
      </c>
      <c r="S23">
        <f t="shared" si="11"/>
        <v>0.60123966942148777</v>
      </c>
      <c r="T23">
        <f ca="1">IF(M23="","",IF($B$9&gt;$B$8,IFERROR((INDEX(GERAL[SNAP],10)-$B$8)/($B$9-$B$8),0),0))</f>
        <v>449004.93427569757</v>
      </c>
      <c r="U23" t="str">
        <f t="shared" si="12"/>
        <v/>
      </c>
      <c r="V23" t="str">
        <f>IFERROR(INDEX(GERAL[LADO],10),"")</f>
        <v>DIREITO</v>
      </c>
    </row>
    <row r="24" spans="1:22" x14ac:dyDescent="0.3">
      <c r="A24" s="9">
        <v>11</v>
      </c>
      <c r="B24" s="9" t="str">
        <f t="shared" ca="1" si="0"/>
        <v/>
      </c>
      <c r="C24" s="93" t="str">
        <f t="shared" ca="1" si="1"/>
        <v/>
      </c>
      <c r="D24" s="116" t="str">
        <f t="shared" ca="1" si="2"/>
        <v/>
      </c>
      <c r="E24" s="9" t="str">
        <f t="shared" ca="1" si="3"/>
        <v/>
      </c>
      <c r="F24" s="117" t="str">
        <f t="shared" ca="1" si="4"/>
        <v/>
      </c>
      <c r="G24" s="59" t="str">
        <f t="shared" ca="1" si="5"/>
        <v/>
      </c>
      <c r="H24" s="59" t="str">
        <f t="shared" ca="1" si="6"/>
        <v/>
      </c>
      <c r="I24" s="59" t="str">
        <f t="shared" ca="1" si="7"/>
        <v/>
      </c>
      <c r="J24" s="120" t="str">
        <f ca="1">IFERROR(LARGE($U$14:$U$200,11),"")</f>
        <v/>
      </c>
      <c r="M24">
        <f>IFERROR(INDEX(GERAL[PONTO],11),"")</f>
        <v>7</v>
      </c>
      <c r="N24">
        <f>IF(M24="","",IFERROR(INDEX(GERAL[ACUMULADA],11),0))</f>
        <v>36.238399999999999</v>
      </c>
      <c r="O24">
        <f t="shared" si="8"/>
        <v>18.744</v>
      </c>
      <c r="P24">
        <f t="shared" si="9"/>
        <v>45</v>
      </c>
      <c r="Q24">
        <f t="shared" si="10"/>
        <v>0.80529777777777778</v>
      </c>
      <c r="R24">
        <f>IF(M24="","",IFERROR(INDEX(Tabela7[QT %],MATCH(M24,Tabela7[PONTO],0)),0))</f>
        <v>0</v>
      </c>
      <c r="S24">
        <f t="shared" si="11"/>
        <v>0.68181818181818188</v>
      </c>
      <c r="T24">
        <f ca="1">IF(M24="","",IF($B$9&gt;$B$8,IFERROR((INDEX(GERAL[SNAP],11)-$B$8)/($B$9-$B$8),0),0))</f>
        <v>449016.17738780711</v>
      </c>
      <c r="U24" t="str">
        <f t="shared" si="12"/>
        <v/>
      </c>
      <c r="V24" t="str">
        <f>IFERROR(INDEX(GERAL[LADO],11),"")</f>
        <v>DIREITO</v>
      </c>
    </row>
    <row r="25" spans="1:22" x14ac:dyDescent="0.3">
      <c r="A25" s="9">
        <v>12</v>
      </c>
      <c r="B25" s="9" t="str">
        <f t="shared" ca="1" si="0"/>
        <v/>
      </c>
      <c r="C25" s="93" t="str">
        <f t="shared" ca="1" si="1"/>
        <v/>
      </c>
      <c r="D25" s="116" t="str">
        <f t="shared" ca="1" si="2"/>
        <v/>
      </c>
      <c r="E25" s="9" t="str">
        <f t="shared" ca="1" si="3"/>
        <v/>
      </c>
      <c r="F25" s="117" t="str">
        <f t="shared" ca="1" si="4"/>
        <v/>
      </c>
      <c r="G25" s="59" t="str">
        <f t="shared" ca="1" si="5"/>
        <v/>
      </c>
      <c r="H25" s="59" t="str">
        <f t="shared" ca="1" si="6"/>
        <v/>
      </c>
      <c r="I25" s="59" t="str">
        <f t="shared" ca="1" si="7"/>
        <v/>
      </c>
      <c r="J25" s="120" t="str">
        <f ca="1">IFERROR(LARGE($U$14:$U$200,12),"")</f>
        <v/>
      </c>
      <c r="M25">
        <f>IFERROR(INDEX(GERAL[PONTO],12),"")</f>
        <v>8</v>
      </c>
      <c r="N25">
        <f>IF(M25="","",IFERROR(INDEX(GERAL[ACUMULADA],12),0))</f>
        <v>29.592799999999997</v>
      </c>
      <c r="O25">
        <f t="shared" si="8"/>
        <v>25.389600000000002</v>
      </c>
      <c r="P25">
        <f t="shared" si="9"/>
        <v>45</v>
      </c>
      <c r="Q25">
        <f t="shared" si="10"/>
        <v>0.65761777777777775</v>
      </c>
      <c r="R25">
        <f>IF(M25="","",IFERROR(INDEX(Tabela7[QT %],MATCH(M25,Tabela7[PONTO],0)),0))</f>
        <v>0</v>
      </c>
      <c r="S25">
        <f t="shared" si="11"/>
        <v>0.92355371900826455</v>
      </c>
      <c r="T25">
        <f ca="1">IF(M25="","",IF($B$9&gt;$B$8,IFERROR((INDEX(GERAL[SNAP],12)-$B$8)/($B$9-$B$8),0),0))</f>
        <v>449040.90023091692</v>
      </c>
      <c r="U25" t="str">
        <f t="shared" si="12"/>
        <v/>
      </c>
      <c r="V25" t="str">
        <f>IFERROR(INDEX(GERAL[LADO],12),"")</f>
        <v>DIREITO</v>
      </c>
    </row>
    <row r="26" spans="1:22" x14ac:dyDescent="0.3">
      <c r="M26">
        <f>IFERROR(INDEX(GERAL[PONTO],13),"")</f>
        <v>9</v>
      </c>
      <c r="N26">
        <f>IF(M26="","",IFERROR(INDEX(GERAL[ACUMULADA],13),0))</f>
        <v>11.0192</v>
      </c>
      <c r="O26">
        <f t="shared" si="8"/>
        <v>43.963200000000001</v>
      </c>
      <c r="P26">
        <f t="shared" si="9"/>
        <v>30</v>
      </c>
      <c r="Q26">
        <f t="shared" si="10"/>
        <v>0.36730666666666667</v>
      </c>
      <c r="R26">
        <f>IF(M26="","",IFERROR(INDEX(Tabela7[QT %],MATCH(M26,Tabela7[PONTO],0)),0))</f>
        <v>0</v>
      </c>
      <c r="S26">
        <f t="shared" si="11"/>
        <v>0.40082644628099162</v>
      </c>
      <c r="T26">
        <f ca="1">IF(M26="","",IF($B$9&gt;$B$8,IFERROR((INDEX(GERAL[SNAP],13)-$B$8)/($B$9-$B$8),0),0))</f>
        <v>657676.43997837952</v>
      </c>
      <c r="U26" t="str">
        <f t="shared" si="12"/>
        <v/>
      </c>
      <c r="V26" t="str">
        <f>IFERROR(INDEX(GERAL[LADO],13),"")</f>
        <v>DIREITO</v>
      </c>
    </row>
    <row r="27" spans="1:22" x14ac:dyDescent="0.3">
      <c r="M27">
        <f>IFERROR(INDEX(GERAL[PONTO],14),"")</f>
        <v>0</v>
      </c>
      <c r="N27" t="str">
        <f>IF(M27="","",IFERROR(INDEX(GERAL[ACUMULADA],14),0))</f>
        <v/>
      </c>
      <c r="O27" t="str">
        <f t="shared" si="8"/>
        <v/>
      </c>
      <c r="P27" t="str">
        <f t="shared" si="9"/>
        <v/>
      </c>
      <c r="Q27" t="str">
        <f t="shared" si="10"/>
        <v/>
      </c>
      <c r="R27">
        <f>IF(M27="","",IFERROR(INDEX(Tabela7[QT %],MATCH(M27,Tabela7[PONTO],0)),0))</f>
        <v>0</v>
      </c>
      <c r="S27" t="str">
        <f t="shared" si="11"/>
        <v/>
      </c>
      <c r="T27">
        <f ca="1">IF(M27="","",IF($B$9&gt;$B$8,IFERROR((INDEX(GERAL[SNAP],14)-$B$8)/($B$9-$B$8),0),0))</f>
        <v>0</v>
      </c>
      <c r="U27" t="str">
        <f t="shared" si="12"/>
        <v/>
      </c>
      <c r="V27">
        <f>IFERROR(INDEX(GERAL[LADO],14),"")</f>
        <v>0</v>
      </c>
    </row>
    <row r="28" spans="1:22" x14ac:dyDescent="0.3">
      <c r="M28">
        <f>IFERROR(INDEX(GERAL[PONTO],15),"")</f>
        <v>0</v>
      </c>
      <c r="N28" t="str">
        <f>IF(M28="","",IFERROR(INDEX(GERAL[ACUMULADA],15),0))</f>
        <v/>
      </c>
      <c r="O28" t="str">
        <f t="shared" si="8"/>
        <v/>
      </c>
      <c r="P28" t="str">
        <f t="shared" si="9"/>
        <v/>
      </c>
      <c r="Q28" t="str">
        <f t="shared" si="10"/>
        <v/>
      </c>
      <c r="R28">
        <f>IF(M28="","",IFERROR(INDEX(Tabela7[QT %],MATCH(M28,Tabela7[PONTO],0)),0))</f>
        <v>0</v>
      </c>
      <c r="S28" t="str">
        <f t="shared" si="11"/>
        <v/>
      </c>
      <c r="T28">
        <f ca="1">IF(M28="","",IF($B$9&gt;$B$8,IFERROR((INDEX(GERAL[SNAP],15)-$B$8)/($B$9-$B$8),0),0))</f>
        <v>0</v>
      </c>
      <c r="U28" t="str">
        <f t="shared" si="12"/>
        <v/>
      </c>
      <c r="V28">
        <f>IFERROR(INDEX(GERAL[LADO],15),"")</f>
        <v>0</v>
      </c>
    </row>
    <row r="29" spans="1:22" x14ac:dyDescent="0.3">
      <c r="M29">
        <f>IFERROR(INDEX(GERAL[PONTO],16),"")</f>
        <v>0</v>
      </c>
      <c r="N29" t="str">
        <f>IF(M29="","",IFERROR(INDEX(GERAL[ACUMULADA],16),0))</f>
        <v/>
      </c>
      <c r="O29" t="str">
        <f t="shared" si="8"/>
        <v/>
      </c>
      <c r="P29" t="str">
        <f t="shared" si="9"/>
        <v/>
      </c>
      <c r="Q29" t="str">
        <f t="shared" si="10"/>
        <v/>
      </c>
      <c r="R29">
        <f>IF(M29="","",IFERROR(INDEX(Tabela7[QT %],MATCH(M29,Tabela7[PONTO],0)),0))</f>
        <v>0</v>
      </c>
      <c r="S29" t="str">
        <f t="shared" si="11"/>
        <v/>
      </c>
      <c r="T29">
        <f ca="1">IF(M29="","",IF($B$9&gt;$B$8,IFERROR((INDEX(GERAL[SNAP],16)-$B$8)/($B$9-$B$8),0),0))</f>
        <v>0</v>
      </c>
      <c r="U29" t="str">
        <f t="shared" si="12"/>
        <v/>
      </c>
      <c r="V29">
        <f>IFERROR(INDEX(GERAL[LADO],16),"")</f>
        <v>0</v>
      </c>
    </row>
    <row r="30" spans="1:22" x14ac:dyDescent="0.3">
      <c r="A30" s="111" t="s">
        <v>164</v>
      </c>
      <c r="M30">
        <f>IFERROR(INDEX(GERAL[PONTO],17),"")</f>
        <v>0</v>
      </c>
      <c r="N30" t="str">
        <f>IF(M30="","",IFERROR(INDEX(GERAL[ACUMULADA],17),0))</f>
        <v/>
      </c>
      <c r="O30" t="str">
        <f t="shared" si="8"/>
        <v/>
      </c>
      <c r="P30" t="str">
        <f t="shared" si="9"/>
        <v/>
      </c>
      <c r="Q30" t="str">
        <f t="shared" si="10"/>
        <v/>
      </c>
      <c r="R30">
        <f>IF(M30="","",IFERROR(INDEX(Tabela7[QT %],MATCH(M30,Tabela7[PONTO],0)),0))</f>
        <v>0</v>
      </c>
      <c r="S30" t="str">
        <f t="shared" si="11"/>
        <v/>
      </c>
      <c r="T30">
        <f ca="1">IF(M30="","",IF($B$9&gt;$B$8,IFERROR((INDEX(GERAL[SNAP],17)-$B$8)/($B$9-$B$8),0),0))</f>
        <v>0</v>
      </c>
      <c r="U30" t="str">
        <f t="shared" si="12"/>
        <v/>
      </c>
      <c r="V30">
        <f>IFERROR(INDEX(GERAL[LADO],17),"")</f>
        <v>0</v>
      </c>
    </row>
    <row r="31" spans="1:22" x14ac:dyDescent="0.3">
      <c r="A31" t="s">
        <v>153</v>
      </c>
      <c r="B31" s="59">
        <f>E5</f>
        <v>96.332800000000006</v>
      </c>
      <c r="C31" t="s">
        <v>154</v>
      </c>
      <c r="D31" s="115">
        <f ca="1">IFERROR(MAX(DIR_ATUAL[QT %]),0)</f>
        <v>6.4301455499993193E-2</v>
      </c>
      <c r="M31">
        <f>IFERROR(INDEX(GERAL[PONTO],18),"")</f>
        <v>0</v>
      </c>
      <c r="N31" t="str">
        <f>IF(M31="","",IFERROR(INDEX(GERAL[ACUMULADA],18),0))</f>
        <v/>
      </c>
      <c r="O31" t="str">
        <f t="shared" si="8"/>
        <v/>
      </c>
      <c r="P31" t="str">
        <f t="shared" si="9"/>
        <v/>
      </c>
      <c r="Q31" t="str">
        <f t="shared" si="10"/>
        <v/>
      </c>
      <c r="R31">
        <f>IF(M31="","",IFERROR(INDEX(Tabela7[QT %],MATCH(M31,Tabela7[PONTO],0)),0))</f>
        <v>0</v>
      </c>
      <c r="S31" t="str">
        <f t="shared" si="11"/>
        <v/>
      </c>
      <c r="T31">
        <f ca="1">IF(M31="","",IF($B$9&gt;$B$8,IFERROR((INDEX(GERAL[SNAP],18)-$B$8)/($B$9-$B$8),0),0))</f>
        <v>0</v>
      </c>
      <c r="U31" t="str">
        <f t="shared" si="12"/>
        <v/>
      </c>
      <c r="V31">
        <f>IFERROR(INDEX(GERAL[LADO],18),"")</f>
        <v>0</v>
      </c>
    </row>
    <row r="32" spans="1:22" x14ac:dyDescent="0.3">
      <c r="M32">
        <f>IFERROR(INDEX(GERAL[PONTO],19),"")</f>
        <v>0</v>
      </c>
      <c r="N32" t="str">
        <f>IF(M32="","",IFERROR(INDEX(GERAL[ACUMULADA],19),0))</f>
        <v/>
      </c>
      <c r="O32" t="str">
        <f t="shared" si="8"/>
        <v/>
      </c>
      <c r="P32" t="str">
        <f t="shared" si="9"/>
        <v/>
      </c>
      <c r="Q32" t="str">
        <f t="shared" si="10"/>
        <v/>
      </c>
      <c r="R32">
        <f>IF(M32="","",IFERROR(INDEX(Tabela7[QT %],MATCH(M32,Tabela7[PONTO],0)),0))</f>
        <v>0</v>
      </c>
      <c r="S32" t="str">
        <f t="shared" si="11"/>
        <v/>
      </c>
      <c r="T32">
        <f ca="1">IF(M32="","",IF($B$9&gt;$B$8,IFERROR((INDEX(GERAL[SNAP],19)-$B$8)/($B$9-$B$8),0),0))</f>
        <v>0</v>
      </c>
      <c r="U32" t="str">
        <f t="shared" si="12"/>
        <v/>
      </c>
      <c r="V32">
        <f>IFERROR(INDEX(GERAL[LADO],19),"")</f>
        <v>0</v>
      </c>
    </row>
    <row r="33" spans="1:33" x14ac:dyDescent="0.3">
      <c r="A33" s="113" t="s">
        <v>155</v>
      </c>
      <c r="B33" s="113" t="s">
        <v>4</v>
      </c>
      <c r="C33" s="113" t="s">
        <v>156</v>
      </c>
      <c r="D33" s="113" t="s">
        <v>157</v>
      </c>
      <c r="E33" s="113" t="s">
        <v>158</v>
      </c>
      <c r="F33" s="113" t="s">
        <v>159</v>
      </c>
      <c r="G33" s="113" t="s">
        <v>160</v>
      </c>
      <c r="H33" s="113" t="s">
        <v>161</v>
      </c>
      <c r="I33" s="113" t="s">
        <v>162</v>
      </c>
      <c r="J33" s="113" t="s">
        <v>163</v>
      </c>
      <c r="M33">
        <f>IFERROR(INDEX(GERAL[PONTO],20),"")</f>
        <v>0</v>
      </c>
      <c r="N33" t="str">
        <f>IF(M33="","",IFERROR(INDEX(GERAL[ACUMULADA],20),0))</f>
        <v/>
      </c>
      <c r="O33" t="str">
        <f t="shared" si="8"/>
        <v/>
      </c>
      <c r="P33" t="str">
        <f t="shared" si="9"/>
        <v/>
      </c>
      <c r="Q33" t="str">
        <f t="shared" si="10"/>
        <v/>
      </c>
      <c r="R33">
        <f>IF(M33="","",IFERROR(INDEX(Tabela7[QT %],MATCH(M33,Tabela7[PONTO],0)),0))</f>
        <v>0</v>
      </c>
      <c r="S33" t="str">
        <f t="shared" si="11"/>
        <v/>
      </c>
      <c r="T33">
        <f ca="1">IF(M33="","",IF($B$9&gt;$B$8,IFERROR((INDEX(GERAL[SNAP],20)-$B$8)/($B$9-$B$8),0),0))</f>
        <v>0</v>
      </c>
      <c r="U33" t="str">
        <f t="shared" si="12"/>
        <v/>
      </c>
      <c r="V33">
        <f>IFERROR(INDEX(GERAL[LADO],20),"")</f>
        <v>0</v>
      </c>
    </row>
    <row r="34" spans="1:33" x14ac:dyDescent="0.3">
      <c r="A34">
        <v>1</v>
      </c>
      <c r="B34">
        <f t="shared" ref="B34:B45" ca="1" si="13">IF($J34="","",INDEX($X$34:$X$220,MATCH($J34,$AF$34:$AF$220,0)))</f>
        <v>3</v>
      </c>
      <c r="C34" s="93">
        <f t="shared" ref="C34:C45" ca="1" si="14">IF($J34="","",INDEX($Y$34:$Y$220,MATCH($J34,$AF$34:$AF$220,0)))</f>
        <v>11.0192</v>
      </c>
      <c r="D34" s="93">
        <f t="shared" ref="D34:D45" ca="1" si="15">IF($J34="","",INDEX($Z$34:$Z$220,MATCH($J34,$AF$34:$AF$220,0)))</f>
        <v>74.294399999999996</v>
      </c>
      <c r="E34" s="93">
        <f t="shared" ref="E34:E45" ca="1" si="16">IF($J34="","",INDEX($AA$34:$AA$220,MATCH($J34,$AF$34:$AF$220,0)))</f>
        <v>30</v>
      </c>
      <c r="F34" s="93">
        <f t="shared" ref="F34:F45" ca="1" si="17">IF($J34="","",INDEX($AB$34:$AB$220,MATCH($J34,$AF$34:$AF$220,0)))</f>
        <v>0.36730666666666667</v>
      </c>
      <c r="G34" s="93">
        <f t="shared" ref="G34:G45" ca="1" si="18">IF($J34="","",INDEX($AC$34:$AC$220,MATCH($J34,$AF$34:$AF$220,0)))</f>
        <v>0</v>
      </c>
      <c r="H34" s="93">
        <f t="shared" ref="H34:H45" ca="1" si="19">IF($J34="","",INDEX($AD$34:$AD$220,MATCH($J34,$AF$34:$AF$220,0)))</f>
        <v>0.25832223701731027</v>
      </c>
      <c r="I34" s="93">
        <f t="shared" ref="I34:I45" ca="1" si="20">IF($J34="","",INDEX($AE$34:$AE$220,MATCH($J34,$AF$34:$AF$220,0)))</f>
        <v>480556.53724870435</v>
      </c>
      <c r="J34" s="93">
        <f ca="1">IFERROR(LARGE($AF$34:$AF$220,1),"")</f>
        <v>-24027.723493540416</v>
      </c>
      <c r="M34">
        <f>IFERROR(INDEX(GERAL[PONTO],21),"")</f>
        <v>0</v>
      </c>
      <c r="N34" t="str">
        <f>IF(M34="","",IFERROR(INDEX(GERAL[ACUMULADA],21),0))</f>
        <v/>
      </c>
      <c r="O34" t="str">
        <f t="shared" si="8"/>
        <v/>
      </c>
      <c r="P34" t="str">
        <f t="shared" si="9"/>
        <v/>
      </c>
      <c r="Q34" t="str">
        <f t="shared" si="10"/>
        <v/>
      </c>
      <c r="R34">
        <f>IF(M34="","",IFERROR(INDEX(Tabela7[QT %],MATCH(M34,Tabela7[PONTO],0)),0))</f>
        <v>0</v>
      </c>
      <c r="S34" t="str">
        <f t="shared" si="11"/>
        <v/>
      </c>
      <c r="T34">
        <f ca="1">IF(M34="","",IF($B$9&gt;$B$8,IFERROR((INDEX(GERAL[SNAP],21)-$B$8)/($B$9-$B$8),0),0))</f>
        <v>0</v>
      </c>
      <c r="U34" t="str">
        <f t="shared" si="12"/>
        <v/>
      </c>
      <c r="V34">
        <f>IFERROR(INDEX(GERAL[LADO],21),"")</f>
        <v>0</v>
      </c>
      <c r="X34">
        <f>IFERROR(INDEX(GERAL[PONTO],1),"")</f>
        <v>11</v>
      </c>
      <c r="Y34">
        <f>IF(X34="","",IFERROR(INDEX(GERAL[ACUMULADA],1),0))</f>
        <v>101.95599999999999</v>
      </c>
      <c r="Z34">
        <f t="shared" ref="Z34:Z65" si="21">IF(Y34="","",$B$31-Y34)</f>
        <v>-5.6231999999999829</v>
      </c>
      <c r="AA34">
        <f t="shared" ref="AA34:AA65" si="22">IF(Y34="","",IF(Y34*1.15&lt;=30,30,IF(Y34*1.15&lt;=45,45,IF(Y34*1.15&lt;=75,75,IF(Y34*1.15&lt;=112.5,112.5,IF(Y34*1.15&lt;=150,150,IF(Y34*1.15&lt;=225,225,300)))))))</f>
        <v>150</v>
      </c>
      <c r="AB34">
        <f t="shared" ref="AB34:AB65" si="23">IF(AA34="","",IFERROR(Y34/AA34,0))</f>
        <v>0.67970666666666657</v>
      </c>
      <c r="AC34">
        <f>IF(X34="","",IFERROR(INDEX(DIR_ATUAL[QT %],MATCH(X34,DIR_ATUAL[PONTO],0)),0))</f>
        <v>3.5651090958408183E-2</v>
      </c>
      <c r="AD34">
        <f t="shared" ref="AD34:AD65" si="24">IF(Y34="","",IFERROR(1-ABS(Y34-Z34)/$B$31,0))</f>
        <v>-0.11674528301886755</v>
      </c>
      <c r="AE34">
        <f ca="1">IF(X34="","",IF($E$9&gt;$E$8,IFERROR((INDEX(GERAL[SNAP],1)-$E$8)/($E$9-$E$8),0),0))</f>
        <v>449073.93599131366</v>
      </c>
      <c r="AF34" t="str">
        <f t="shared" ref="AF34:AF65" si="25">IF(OR(X34="",AG34&lt;&gt;"DIREITO"),"",$L$2*IFERROR(Y34/$B$31,0)+$L$3*IF($D$31&gt;0,IFERROR(AC34/$D$31,0),0)+$L$4*IFERROR(AD34,0)-$L$5*IFERROR(AE34,0)-$L$6*MAX(0,IFERROR(AB34,0)-$L$7)+ROW()/1000000)</f>
        <v/>
      </c>
      <c r="AG34" t="str">
        <f>IFERROR(INDEX(GERAL[LADO],1),"")</f>
        <v>TRAFO</v>
      </c>
    </row>
    <row r="35" spans="1:33" x14ac:dyDescent="0.3">
      <c r="A35">
        <v>2</v>
      </c>
      <c r="B35">
        <f t="shared" ca="1" si="13"/>
        <v>6</v>
      </c>
      <c r="C35" s="93">
        <f t="shared" ca="1" si="14"/>
        <v>38.453599999999994</v>
      </c>
      <c r="D35" s="93">
        <f t="shared" ca="1" si="15"/>
        <v>46.86</v>
      </c>
      <c r="E35" s="93">
        <f t="shared" ca="1" si="16"/>
        <v>45</v>
      </c>
      <c r="F35" s="93">
        <f t="shared" ca="1" si="17"/>
        <v>0.85452444444444431</v>
      </c>
      <c r="G35" s="93">
        <f t="shared" ca="1" si="18"/>
        <v>0</v>
      </c>
      <c r="H35" s="93">
        <f t="shared" ca="1" si="19"/>
        <v>0.90146471371504655</v>
      </c>
      <c r="I35" s="93">
        <f t="shared" ca="1" si="20"/>
        <v>480568.52819902037</v>
      </c>
      <c r="J35" s="93">
        <f ca="1">IFERROR(LARGE($AF$34:$AF$220,2),"")</f>
        <v>-24028.067139398867</v>
      </c>
      <c r="M35">
        <f>IFERROR(INDEX(GERAL[PONTO],22),"")</f>
        <v>0</v>
      </c>
      <c r="N35" t="str">
        <f>IF(M35="","",IFERROR(INDEX(GERAL[ACUMULADA],22),0))</f>
        <v/>
      </c>
      <c r="O35" t="str">
        <f t="shared" si="8"/>
        <v/>
      </c>
      <c r="P35" t="str">
        <f t="shared" si="9"/>
        <v/>
      </c>
      <c r="Q35" t="str">
        <f t="shared" si="10"/>
        <v/>
      </c>
      <c r="R35">
        <f>IF(M35="","",IFERROR(INDEX(Tabela7[QT %],MATCH(M35,Tabela7[PONTO],0)),0))</f>
        <v>0</v>
      </c>
      <c r="S35" t="str">
        <f t="shared" si="11"/>
        <v/>
      </c>
      <c r="T35">
        <f ca="1">IF(M35="","",IF($B$9&gt;$B$8,IFERROR((INDEX(GERAL[SNAP],22)-$B$8)/($B$9-$B$8),0),0))</f>
        <v>0</v>
      </c>
      <c r="U35" t="str">
        <f t="shared" si="12"/>
        <v/>
      </c>
      <c r="V35">
        <f>IFERROR(INDEX(GERAL[LADO],22),"")</f>
        <v>0</v>
      </c>
      <c r="X35">
        <f>IFERROR(INDEX(GERAL[PONTO],2),"")</f>
        <v>12</v>
      </c>
      <c r="Y35">
        <f>IF(X35="","",IFERROR(INDEX(GERAL[ACUMULADA],2),0))</f>
        <v>42.884</v>
      </c>
      <c r="Z35">
        <f t="shared" si="21"/>
        <v>53.448800000000006</v>
      </c>
      <c r="AA35">
        <f t="shared" si="22"/>
        <v>75</v>
      </c>
      <c r="AB35">
        <f t="shared" si="23"/>
        <v>0.57178666666666667</v>
      </c>
      <c r="AC35">
        <f>IF(X35="","",IFERROR(INDEX(DIR_ATUAL[QT %],MATCH(X35,DIR_ATUAL[PONTO],0)),0))</f>
        <v>0</v>
      </c>
      <c r="AD35">
        <f t="shared" si="24"/>
        <v>0.89033018867924518</v>
      </c>
      <c r="AE35">
        <f ca="1">IF(X35="","",IF($E$9&gt;$E$8,IFERROR((INDEX(GERAL[SNAP],2)-$E$8)/($E$9-$E$8),0),0))</f>
        <v>449111.80234742834</v>
      </c>
      <c r="AF35" t="str">
        <f t="shared" si="25"/>
        <v/>
      </c>
      <c r="AG35" t="str">
        <f>IFERROR(INDEX(GERAL[LADO],2),"")</f>
        <v>ESQUERDO</v>
      </c>
    </row>
    <row r="36" spans="1:33" x14ac:dyDescent="0.3">
      <c r="A36">
        <v>3</v>
      </c>
      <c r="B36">
        <f t="shared" ca="1" si="13"/>
        <v>5</v>
      </c>
      <c r="C36" s="93">
        <f t="shared" ca="1" si="14"/>
        <v>45.099200000000003</v>
      </c>
      <c r="D36" s="93">
        <f t="shared" ca="1" si="15"/>
        <v>40.214399999999991</v>
      </c>
      <c r="E36" s="93">
        <f t="shared" ca="1" si="16"/>
        <v>75</v>
      </c>
      <c r="F36" s="93">
        <f t="shared" ca="1" si="17"/>
        <v>0.60132266666666667</v>
      </c>
      <c r="G36" s="93">
        <f t="shared" ca="1" si="18"/>
        <v>0</v>
      </c>
      <c r="H36" s="93">
        <f t="shared" ca="1" si="19"/>
        <v>0.94274300932090527</v>
      </c>
      <c r="I36" s="93">
        <f t="shared" ca="1" si="20"/>
        <v>480572.81221637805</v>
      </c>
      <c r="J36" s="93">
        <f ca="1">IFERROR(LARGE($AF$34:$AF$220,3),"")</f>
        <v>-24028.240569818903</v>
      </c>
      <c r="M36">
        <f>IFERROR(INDEX(GERAL[PONTO],23),"")</f>
        <v>0</v>
      </c>
      <c r="N36" t="str">
        <f>IF(M36="","",IFERROR(INDEX(GERAL[ACUMULADA],23),0))</f>
        <v/>
      </c>
      <c r="O36" t="str">
        <f t="shared" si="8"/>
        <v/>
      </c>
      <c r="P36" t="str">
        <f t="shared" si="9"/>
        <v/>
      </c>
      <c r="Q36" t="str">
        <f t="shared" si="10"/>
        <v/>
      </c>
      <c r="R36">
        <f>IF(M36="","",IFERROR(INDEX(Tabela7[QT %],MATCH(M36,Tabela7[PONTO],0)),0))</f>
        <v>0</v>
      </c>
      <c r="S36" t="str">
        <f t="shared" si="11"/>
        <v/>
      </c>
      <c r="T36">
        <f ca="1">IF(M36="","",IF($B$9&gt;$B$8,IFERROR((INDEX(GERAL[SNAP],23)-$B$8)/($B$9-$B$8),0),0))</f>
        <v>0</v>
      </c>
      <c r="U36" t="str">
        <f t="shared" si="12"/>
        <v/>
      </c>
      <c r="V36">
        <f>IFERROR(INDEX(GERAL[LADO],23),"")</f>
        <v>0</v>
      </c>
      <c r="X36">
        <f>IFERROR(INDEX(GERAL[PONTO],3),"")</f>
        <v>13</v>
      </c>
      <c r="Y36">
        <f>IF(X36="","",IFERROR(INDEX(GERAL[ACUMULADA],3),0))</f>
        <v>27.377600000000001</v>
      </c>
      <c r="Z36">
        <f t="shared" si="21"/>
        <v>68.955200000000005</v>
      </c>
      <c r="AA36">
        <f t="shared" si="22"/>
        <v>45</v>
      </c>
      <c r="AB36">
        <f t="shared" si="23"/>
        <v>0.6083911111111111</v>
      </c>
      <c r="AC36">
        <f>IF(X36="","",IFERROR(INDEX(DIR_ATUAL[QT %],MATCH(X36,DIR_ATUAL[PONTO],0)),0))</f>
        <v>0</v>
      </c>
      <c r="AD36">
        <f t="shared" si="24"/>
        <v>0.56839622641509435</v>
      </c>
      <c r="AE36">
        <f ca="1">IF(X36="","",IF($E$9&gt;$E$8,IFERROR((INDEX(GERAL[SNAP],3)-$E$8)/($E$9-$E$8),0),0))</f>
        <v>449134.33212157339</v>
      </c>
      <c r="AF36" t="str">
        <f t="shared" si="25"/>
        <v/>
      </c>
      <c r="AG36" t="str">
        <f>IFERROR(INDEX(GERAL[LADO],3),"")</f>
        <v>ESQUERDO</v>
      </c>
    </row>
    <row r="37" spans="1:33" x14ac:dyDescent="0.3">
      <c r="A37">
        <v>4</v>
      </c>
      <c r="B37">
        <f t="shared" ca="1" si="13"/>
        <v>7</v>
      </c>
      <c r="C37" s="93">
        <f t="shared" ca="1" si="14"/>
        <v>36.238399999999999</v>
      </c>
      <c r="D37" s="93">
        <f t="shared" ca="1" si="15"/>
        <v>49.075199999999995</v>
      </c>
      <c r="E37" s="93">
        <f t="shared" ca="1" si="16"/>
        <v>45</v>
      </c>
      <c r="F37" s="93">
        <f t="shared" ca="1" si="17"/>
        <v>0.80529777777777778</v>
      </c>
      <c r="G37" s="93">
        <f t="shared" ca="1" si="18"/>
        <v>0</v>
      </c>
      <c r="H37" s="93">
        <f t="shared" ca="1" si="19"/>
        <v>0.84953395472703064</v>
      </c>
      <c r="I37" s="93">
        <f t="shared" ca="1" si="20"/>
        <v>480579.77123346581</v>
      </c>
      <c r="J37" s="93">
        <f ca="1">IFERROR(LARGE($AF$34:$AF$220,4),"")</f>
        <v>-24028.648705091404</v>
      </c>
      <c r="M37">
        <f>IFERROR(INDEX(GERAL[PONTO],24),"")</f>
        <v>0</v>
      </c>
      <c r="N37" t="str">
        <f>IF(M37="","",IFERROR(INDEX(GERAL[ACUMULADA],24),0))</f>
        <v/>
      </c>
      <c r="O37" t="str">
        <f t="shared" si="8"/>
        <v/>
      </c>
      <c r="P37" t="str">
        <f t="shared" si="9"/>
        <v/>
      </c>
      <c r="Q37" t="str">
        <f t="shared" si="10"/>
        <v/>
      </c>
      <c r="R37">
        <f>IF(M37="","",IFERROR(INDEX(Tabela7[QT %],MATCH(M37,Tabela7[PONTO],0)),0))</f>
        <v>0</v>
      </c>
      <c r="S37" t="str">
        <f t="shared" si="11"/>
        <v/>
      </c>
      <c r="T37">
        <f ca="1">IF(M37="","",IF($B$9&gt;$B$8,IFERROR((INDEX(GERAL[SNAP],24)-$B$8)/($B$9-$B$8),0),0))</f>
        <v>0</v>
      </c>
      <c r="U37" t="str">
        <f t="shared" si="12"/>
        <v/>
      </c>
      <c r="V37">
        <f>IFERROR(INDEX(GERAL[LADO],24),"")</f>
        <v>0</v>
      </c>
      <c r="X37">
        <f>IFERROR(INDEX(GERAL[PONTO],4),"")</f>
        <v>14</v>
      </c>
      <c r="Y37">
        <f>IF(X37="","",IFERROR(INDEX(GERAL[ACUMULADA],4),0))</f>
        <v>19.198399999999999</v>
      </c>
      <c r="Z37">
        <f t="shared" si="21"/>
        <v>77.134399999999999</v>
      </c>
      <c r="AA37">
        <f t="shared" si="22"/>
        <v>30</v>
      </c>
      <c r="AB37">
        <f t="shared" si="23"/>
        <v>0.63994666666666666</v>
      </c>
      <c r="AC37">
        <f>IF(X37="","",IFERROR(INDEX(DIR_ATUAL[QT %],MATCH(X37,DIR_ATUAL[PONTO],0)),0))</f>
        <v>0</v>
      </c>
      <c r="AD37">
        <f t="shared" si="24"/>
        <v>0.39858490566037741</v>
      </c>
      <c r="AE37">
        <f ca="1">IF(X37="","",IF($E$9&gt;$E$8,IFERROR((INDEX(GERAL[SNAP],4)-$E$8)/($E$9-$E$8),0),0))</f>
        <v>657714.40368155029</v>
      </c>
      <c r="AF37" t="str">
        <f t="shared" si="25"/>
        <v/>
      </c>
      <c r="AG37" t="str">
        <f>IFERROR(INDEX(GERAL[LADO],4),"")</f>
        <v>ESQUERDO</v>
      </c>
    </row>
    <row r="38" spans="1:33" x14ac:dyDescent="0.3">
      <c r="A38">
        <v>5</v>
      </c>
      <c r="B38">
        <f t="shared" ca="1" si="13"/>
        <v>8</v>
      </c>
      <c r="C38" s="93">
        <f t="shared" ca="1" si="14"/>
        <v>29.592799999999997</v>
      </c>
      <c r="D38" s="93">
        <f t="shared" ca="1" si="15"/>
        <v>55.720799999999997</v>
      </c>
      <c r="E38" s="93">
        <f t="shared" ca="1" si="16"/>
        <v>45</v>
      </c>
      <c r="F38" s="93">
        <f t="shared" ca="1" si="17"/>
        <v>0.65761777777777775</v>
      </c>
      <c r="G38" s="93">
        <f t="shared" ca="1" si="18"/>
        <v>1.0156219801657977E-2</v>
      </c>
      <c r="H38" s="93">
        <f t="shared" ca="1" si="19"/>
        <v>0.69374167776298268</v>
      </c>
      <c r="I38" s="93">
        <f t="shared" ca="1" si="20"/>
        <v>480604.49390253198</v>
      </c>
      <c r="J38" s="93">
        <f ca="1">IFERROR(LARGE($AF$34:$AF$220,5),"")</f>
        <v>-24029.891873017415</v>
      </c>
      <c r="M38">
        <f>IFERROR(INDEX(GERAL[PONTO],25),"")</f>
        <v>0</v>
      </c>
      <c r="N38" t="str">
        <f>IF(M38="","",IFERROR(INDEX(GERAL[ACUMULADA],25),0))</f>
        <v/>
      </c>
      <c r="O38" t="str">
        <f t="shared" si="8"/>
        <v/>
      </c>
      <c r="P38" t="str">
        <f t="shared" si="9"/>
        <v/>
      </c>
      <c r="Q38" t="str">
        <f t="shared" si="10"/>
        <v/>
      </c>
      <c r="R38">
        <f>IF(M38="","",IFERROR(INDEX(Tabela7[QT %],MATCH(M38,Tabela7[PONTO],0)),0))</f>
        <v>0</v>
      </c>
      <c r="S38" t="str">
        <f t="shared" si="11"/>
        <v/>
      </c>
      <c r="T38">
        <f ca="1">IF(M38="","",IF($B$9&gt;$B$8,IFERROR((INDEX(GERAL[SNAP],25)-$B$8)/($B$9-$B$8),0),0))</f>
        <v>0</v>
      </c>
      <c r="U38" t="str">
        <f t="shared" si="12"/>
        <v/>
      </c>
      <c r="V38">
        <f>IFERROR(INDEX(GERAL[LADO],25),"")</f>
        <v>0</v>
      </c>
      <c r="X38">
        <f>IFERROR(INDEX(GERAL[PONTO],5),"")</f>
        <v>15</v>
      </c>
      <c r="Y38">
        <f>IF(X38="","",IFERROR(INDEX(GERAL[ACUMULADA],5),0))</f>
        <v>11.0192</v>
      </c>
      <c r="Z38">
        <f t="shared" si="21"/>
        <v>85.313600000000008</v>
      </c>
      <c r="AA38">
        <f t="shared" si="22"/>
        <v>30</v>
      </c>
      <c r="AB38">
        <f t="shared" si="23"/>
        <v>0.36730666666666667</v>
      </c>
      <c r="AC38">
        <f>IF(X38="","",IFERROR(INDEX(DIR_ATUAL[QT %],MATCH(X38,DIR_ATUAL[PONTO],0)),0))</f>
        <v>0</v>
      </c>
      <c r="AD38">
        <f t="shared" si="24"/>
        <v>0.22877358490566035</v>
      </c>
      <c r="AE38">
        <f ca="1">IF(X38="","",IF($E$9&gt;$E$8,IFERROR((INDEX(GERAL[SNAP],5)-$E$8)/($E$9-$E$8),0),0))</f>
        <v>449189.44653925515</v>
      </c>
      <c r="AF38" t="str">
        <f t="shared" si="25"/>
        <v/>
      </c>
      <c r="AG38" t="str">
        <f>IFERROR(INDEX(GERAL[LADO],5),"")</f>
        <v>ESQUERDO</v>
      </c>
    </row>
    <row r="39" spans="1:33" x14ac:dyDescent="0.3">
      <c r="A39">
        <v>6</v>
      </c>
      <c r="B39">
        <f t="shared" ca="1" si="13"/>
        <v>9</v>
      </c>
      <c r="C39" s="93">
        <f t="shared" ca="1" si="14"/>
        <v>11.0192</v>
      </c>
      <c r="D39" s="93">
        <f t="shared" ca="1" si="15"/>
        <v>74.294399999999996</v>
      </c>
      <c r="E39" s="93">
        <f t="shared" ca="1" si="16"/>
        <v>30</v>
      </c>
      <c r="F39" s="93">
        <f t="shared" ca="1" si="17"/>
        <v>0.36730666666666667</v>
      </c>
      <c r="G39" s="93">
        <f t="shared" ca="1" si="18"/>
        <v>0</v>
      </c>
      <c r="H39" s="93">
        <f t="shared" ca="1" si="19"/>
        <v>0.25832223701731027</v>
      </c>
      <c r="I39" s="93">
        <f t="shared" ca="1" si="20"/>
        <v>674602.46538217936</v>
      </c>
      <c r="J39" s="93">
        <f ca="1">IFERROR(LARGE($AF$34:$AF$220,6),"")</f>
        <v>-33730.019895214158</v>
      </c>
      <c r="M39">
        <f>IFERROR(INDEX(GERAL[PONTO],26),"")</f>
        <v>0</v>
      </c>
      <c r="N39" t="str">
        <f>IF(M39="","",IFERROR(INDEX(GERAL[ACUMULADA],26),0))</f>
        <v/>
      </c>
      <c r="O39" t="str">
        <f t="shared" si="8"/>
        <v/>
      </c>
      <c r="P39" t="str">
        <f t="shared" si="9"/>
        <v/>
      </c>
      <c r="Q39" t="str">
        <f t="shared" si="10"/>
        <v/>
      </c>
      <c r="R39">
        <f>IF(M39="","",IFERROR(INDEX(Tabela7[QT %],MATCH(M39,Tabela7[PONTO],0)),0))</f>
        <v>0</v>
      </c>
      <c r="S39" t="str">
        <f t="shared" si="11"/>
        <v/>
      </c>
      <c r="T39">
        <f ca="1">IF(M39="","",IF($B$9&gt;$B$8,IFERROR((INDEX(GERAL[SNAP],26)-$B$8)/($B$9-$B$8),0),0))</f>
        <v>0</v>
      </c>
      <c r="U39" t="str">
        <f t="shared" si="12"/>
        <v/>
      </c>
      <c r="V39">
        <f>IFERROR(INDEX(GERAL[LADO],26),"")</f>
        <v>0</v>
      </c>
      <c r="X39">
        <f>IFERROR(INDEX(GERAL[PONTO],6),"")</f>
        <v>10</v>
      </c>
      <c r="Y39">
        <f>IF(X39="","",IFERROR(INDEX(GERAL[ACUMULADA],6),0))</f>
        <v>63.388799999999996</v>
      </c>
      <c r="Z39">
        <f t="shared" si="21"/>
        <v>32.94400000000001</v>
      </c>
      <c r="AA39">
        <f t="shared" si="22"/>
        <v>75</v>
      </c>
      <c r="AB39">
        <f t="shared" si="23"/>
        <v>0.84518399999999994</v>
      </c>
      <c r="AC39">
        <f>IF(X39="","",IFERROR(INDEX(DIR_ATUAL[QT %],MATCH(X39,DIR_ATUAL[PONTO],0)),0))</f>
        <v>4.6312586692726747E-2</v>
      </c>
      <c r="AD39">
        <f t="shared" si="24"/>
        <v>0.68396226415094352</v>
      </c>
      <c r="AE39">
        <f ca="1">IF(X39="","",IF($E$9&gt;$E$8,IFERROR((INDEX(GERAL[SNAP],6)-$E$8)/($E$9-$E$8),0),0))</f>
        <v>449049.06882436178</v>
      </c>
      <c r="AF39">
        <f t="shared" ca="1" si="25"/>
        <v>-312221.65093299816</v>
      </c>
      <c r="AG39" t="str">
        <f>IFERROR(INDEX(GERAL[LADO],6),"")</f>
        <v>DIREITO</v>
      </c>
    </row>
    <row r="40" spans="1:33" x14ac:dyDescent="0.3">
      <c r="A40">
        <v>7</v>
      </c>
      <c r="B40">
        <f t="shared" ca="1" si="13"/>
        <v>4</v>
      </c>
      <c r="C40" s="93">
        <f t="shared" ca="1" si="14"/>
        <v>56.459199999999996</v>
      </c>
      <c r="D40" s="93">
        <f t="shared" ca="1" si="15"/>
        <v>28.854399999999998</v>
      </c>
      <c r="E40" s="93">
        <f t="shared" ca="1" si="16"/>
        <v>75</v>
      </c>
      <c r="F40" s="93">
        <f t="shared" ca="1" si="17"/>
        <v>0.75278933333333331</v>
      </c>
      <c r="G40" s="93">
        <f t="shared" ca="1" si="18"/>
        <v>0</v>
      </c>
      <c r="H40" s="93">
        <f t="shared" ca="1" si="19"/>
        <v>0.67643142476697737</v>
      </c>
      <c r="I40" s="93">
        <f t="shared" ca="1" si="20"/>
        <v>6244441.0194399636</v>
      </c>
      <c r="J40" s="93">
        <f ca="1">IFERROR(LARGE($AF$34:$AF$220,7),"")</f>
        <v>-312221.65093299816</v>
      </c>
      <c r="M40">
        <f>IFERROR(INDEX(GERAL[PONTO],27),"")</f>
        <v>0</v>
      </c>
      <c r="N40" t="str">
        <f>IF(M40="","",IFERROR(INDEX(GERAL[ACUMULADA],27),0))</f>
        <v/>
      </c>
      <c r="O40" t="str">
        <f t="shared" si="8"/>
        <v/>
      </c>
      <c r="P40" t="str">
        <f t="shared" si="9"/>
        <v/>
      </c>
      <c r="Q40" t="str">
        <f t="shared" si="10"/>
        <v/>
      </c>
      <c r="R40">
        <f>IF(M40="","",IFERROR(INDEX(Tabela7[QT %],MATCH(M40,Tabela7[PONTO],0)),0))</f>
        <v>0</v>
      </c>
      <c r="S40" t="str">
        <f t="shared" si="11"/>
        <v/>
      </c>
      <c r="T40">
        <f ca="1">IF(M40="","",IF($B$9&gt;$B$8,IFERROR((INDEX(GERAL[SNAP],27)-$B$8)/($B$9-$B$8),0),0))</f>
        <v>0</v>
      </c>
      <c r="U40" t="str">
        <f t="shared" si="12"/>
        <v/>
      </c>
      <c r="V40">
        <f>IFERROR(INDEX(GERAL[LADO],27),"")</f>
        <v>0</v>
      </c>
      <c r="X40">
        <f>IFERROR(INDEX(GERAL[PONTO],7),"")</f>
        <v>4</v>
      </c>
      <c r="Y40">
        <f>IF(X40="","",IFERROR(INDEX(GERAL[ACUMULADA],7),0))</f>
        <v>56.459199999999996</v>
      </c>
      <c r="Z40">
        <f t="shared" si="21"/>
        <v>39.87360000000001</v>
      </c>
      <c r="AA40">
        <f t="shared" si="22"/>
        <v>75</v>
      </c>
      <c r="AB40">
        <f t="shared" si="23"/>
        <v>0.75278933333333331</v>
      </c>
      <c r="AC40">
        <f>IF(X40="","",IFERROR(INDEX(DIR_ATUAL[QT %],MATCH(X40,DIR_ATUAL[PONTO],0)),0))</f>
        <v>5.5210963564551428E-2</v>
      </c>
      <c r="AD40">
        <f t="shared" si="24"/>
        <v>0.8278301886792454</v>
      </c>
      <c r="AE40">
        <f ca="1">IF(X40="","",IF($E$9&gt;$E$8,IFERROR((INDEX(GERAL[SNAP],7)-$E$8)/($E$9-$E$8),0),0))</f>
        <v>6275355.7194520859</v>
      </c>
      <c r="AF40">
        <f t="shared" ca="1" si="25"/>
        <v>-24027.723493540416</v>
      </c>
      <c r="AG40" t="str">
        <f>IFERROR(INDEX(GERAL[LADO],7),"")</f>
        <v>DIREITO</v>
      </c>
    </row>
    <row r="41" spans="1:33" x14ac:dyDescent="0.3">
      <c r="A41">
        <v>8</v>
      </c>
      <c r="B41" t="str">
        <f t="shared" ca="1" si="13"/>
        <v/>
      </c>
      <c r="C41" s="93" t="str">
        <f t="shared" ca="1" si="14"/>
        <v/>
      </c>
      <c r="D41" s="93" t="str">
        <f t="shared" ca="1" si="15"/>
        <v/>
      </c>
      <c r="E41" s="93" t="str">
        <f t="shared" ca="1" si="16"/>
        <v/>
      </c>
      <c r="F41" s="93" t="str">
        <f t="shared" ca="1" si="17"/>
        <v/>
      </c>
      <c r="G41" s="93" t="str">
        <f t="shared" ca="1" si="18"/>
        <v/>
      </c>
      <c r="H41" s="93" t="str">
        <f t="shared" ca="1" si="19"/>
        <v/>
      </c>
      <c r="I41" s="93" t="str">
        <f t="shared" ca="1" si="20"/>
        <v/>
      </c>
      <c r="J41" s="93" t="str">
        <f ca="1">IFERROR(LARGE($AF$34:$AF$220,8),"")</f>
        <v/>
      </c>
      <c r="M41">
        <f>IFERROR(INDEX(GERAL[PONTO],28),"")</f>
        <v>0</v>
      </c>
      <c r="N41" t="str">
        <f>IF(M41="","",IFERROR(INDEX(GERAL[ACUMULADA],28),0))</f>
        <v/>
      </c>
      <c r="O41" t="str">
        <f t="shared" si="8"/>
        <v/>
      </c>
      <c r="P41" t="str">
        <f t="shared" si="9"/>
        <v/>
      </c>
      <c r="Q41" t="str">
        <f t="shared" si="10"/>
        <v/>
      </c>
      <c r="R41">
        <f>IF(M41="","",IFERROR(INDEX(Tabela7[QT %],MATCH(M41,Tabela7[PONTO],0)),0))</f>
        <v>0</v>
      </c>
      <c r="S41" t="str">
        <f t="shared" si="11"/>
        <v/>
      </c>
      <c r="T41">
        <f ca="1">IF(M41="","",IF($B$9&gt;$B$8,IFERROR((INDEX(GERAL[SNAP],28)-$B$8)/($B$9-$B$8),0),0))</f>
        <v>0</v>
      </c>
      <c r="U41" t="str">
        <f t="shared" si="12"/>
        <v/>
      </c>
      <c r="V41">
        <f>IFERROR(INDEX(GERAL[LADO],28),"")</f>
        <v>0</v>
      </c>
      <c r="X41">
        <f>IFERROR(INDEX(GERAL[PONTO],8),"")</f>
        <v>5</v>
      </c>
      <c r="Y41">
        <f>IF(X41="","",IFERROR(INDEX(GERAL[ACUMULADA],8),0))</f>
        <v>45.099200000000003</v>
      </c>
      <c r="Z41">
        <f t="shared" si="21"/>
        <v>51.233600000000003</v>
      </c>
      <c r="AA41">
        <f t="shared" si="22"/>
        <v>75</v>
      </c>
      <c r="AB41">
        <f t="shared" si="23"/>
        <v>0.60132266666666667</v>
      </c>
      <c r="AC41">
        <f>IF(X41="","",IFERROR(INDEX(DIR_ATUAL[QT %],MATCH(X41,DIR_ATUAL[PONTO],0)),0))</f>
        <v>5.9957473287464237E-2</v>
      </c>
      <c r="AD41">
        <f t="shared" si="24"/>
        <v>0.93632075471698117</v>
      </c>
      <c r="AE41">
        <f ca="1">IF(X41="","",IF($E$9&gt;$E$8,IFERROR((INDEX(GERAL[SNAP],8)-$E$8)/($E$9-$E$8),0),0))</f>
        <v>449009.21824981883</v>
      </c>
      <c r="AF41">
        <f t="shared" ca="1" si="25"/>
        <v>-24028.240569818903</v>
      </c>
      <c r="AG41" t="str">
        <f>IFERROR(INDEX(GERAL[LADO],8),"")</f>
        <v>DIREITO</v>
      </c>
    </row>
    <row r="42" spans="1:33" x14ac:dyDescent="0.3">
      <c r="A42">
        <v>9</v>
      </c>
      <c r="B42" t="str">
        <f t="shared" ca="1" si="13"/>
        <v/>
      </c>
      <c r="C42" s="93" t="str">
        <f t="shared" ca="1" si="14"/>
        <v/>
      </c>
      <c r="D42" s="93" t="str">
        <f t="shared" ca="1" si="15"/>
        <v/>
      </c>
      <c r="E42" s="93" t="str">
        <f t="shared" ca="1" si="16"/>
        <v/>
      </c>
      <c r="F42" s="93" t="str">
        <f t="shared" ca="1" si="17"/>
        <v/>
      </c>
      <c r="G42" s="93" t="str">
        <f t="shared" ca="1" si="18"/>
        <v/>
      </c>
      <c r="H42" s="93" t="str">
        <f t="shared" ca="1" si="19"/>
        <v/>
      </c>
      <c r="I42" s="93" t="str">
        <f t="shared" ca="1" si="20"/>
        <v/>
      </c>
      <c r="J42" s="93" t="str">
        <f ca="1">IFERROR(LARGE($AF$34:$AF$220,9),"")</f>
        <v/>
      </c>
      <c r="M42">
        <f>IFERROR(INDEX(GERAL[PONTO],29),"")</f>
        <v>0</v>
      </c>
      <c r="N42" t="str">
        <f>IF(M42="","",IFERROR(INDEX(GERAL[ACUMULADA],29),0))</f>
        <v/>
      </c>
      <c r="O42" t="str">
        <f t="shared" si="8"/>
        <v/>
      </c>
      <c r="P42" t="str">
        <f t="shared" si="9"/>
        <v/>
      </c>
      <c r="Q42" t="str">
        <f t="shared" si="10"/>
        <v/>
      </c>
      <c r="R42">
        <f>IF(M42="","",IFERROR(INDEX(Tabela7[QT %],MATCH(M42,Tabela7[PONTO],0)),0))</f>
        <v>0</v>
      </c>
      <c r="S42" t="str">
        <f t="shared" si="11"/>
        <v/>
      </c>
      <c r="T42">
        <f ca="1">IF(M42="","",IF($B$9&gt;$B$8,IFERROR((INDEX(GERAL[SNAP],29)-$B$8)/($B$9-$B$8),0),0))</f>
        <v>0</v>
      </c>
      <c r="U42" t="str">
        <f t="shared" si="12"/>
        <v/>
      </c>
      <c r="V42">
        <f>IFERROR(INDEX(GERAL[LADO],29),"")</f>
        <v>0</v>
      </c>
      <c r="X42">
        <f>IFERROR(INDEX(GERAL[PONTO],9),"")</f>
        <v>3</v>
      </c>
      <c r="Y42">
        <f>IF(X42="","",IFERROR(INDEX(GERAL[ACUMULADA],9),0))</f>
        <v>11.0192</v>
      </c>
      <c r="Z42">
        <f t="shared" si="21"/>
        <v>85.313600000000008</v>
      </c>
      <c r="AA42">
        <f t="shared" si="22"/>
        <v>30</v>
      </c>
      <c r="AB42">
        <f t="shared" si="23"/>
        <v>0.36730666666666667</v>
      </c>
      <c r="AC42">
        <f>IF(X42="","",IFERROR(INDEX(DIR_ATUAL[QT %],MATCH(X42,DIR_ATUAL[PONTO],0)),0))</f>
        <v>0</v>
      </c>
      <c r="AD42">
        <f t="shared" si="24"/>
        <v>0.22877358490566035</v>
      </c>
      <c r="AE42">
        <f ca="1">IF(X42="","",IF($E$9&gt;$E$8,IFERROR((INDEX(GERAL[SNAP],9)-$E$8)/($E$9-$E$8),0),0))</f>
        <v>448992.94341722387</v>
      </c>
      <c r="AF42">
        <f t="shared" ca="1" si="25"/>
        <v>-24028.067139398867</v>
      </c>
      <c r="AG42" t="str">
        <f>IFERROR(INDEX(GERAL[LADO],9),"")</f>
        <v>DIREITO</v>
      </c>
    </row>
    <row r="43" spans="1:33" x14ac:dyDescent="0.3">
      <c r="A43">
        <v>10</v>
      </c>
      <c r="B43" t="str">
        <f t="shared" ca="1" si="13"/>
        <v/>
      </c>
      <c r="C43" s="93" t="str">
        <f t="shared" ca="1" si="14"/>
        <v/>
      </c>
      <c r="D43" s="93" t="str">
        <f t="shared" ca="1" si="15"/>
        <v/>
      </c>
      <c r="E43" s="93" t="str">
        <f t="shared" ca="1" si="16"/>
        <v/>
      </c>
      <c r="F43" s="93" t="str">
        <f t="shared" ca="1" si="17"/>
        <v/>
      </c>
      <c r="G43" s="93" t="str">
        <f t="shared" ca="1" si="18"/>
        <v/>
      </c>
      <c r="H43" s="93" t="str">
        <f t="shared" ca="1" si="19"/>
        <v/>
      </c>
      <c r="I43" s="93" t="str">
        <f t="shared" ca="1" si="20"/>
        <v/>
      </c>
      <c r="J43" s="93" t="str">
        <f ca="1">IFERROR(LARGE($AF$34:$AF$220,10),"")</f>
        <v/>
      </c>
      <c r="M43">
        <f>IFERROR(INDEX(GERAL[PONTO],30),"")</f>
        <v>0</v>
      </c>
      <c r="N43" t="str">
        <f>IF(M43="","",IFERROR(INDEX(GERAL[ACUMULADA],30),0))</f>
        <v/>
      </c>
      <c r="O43" t="str">
        <f t="shared" si="8"/>
        <v/>
      </c>
      <c r="P43" t="str">
        <f t="shared" si="9"/>
        <v/>
      </c>
      <c r="Q43" t="str">
        <f t="shared" si="10"/>
        <v/>
      </c>
      <c r="R43">
        <f>IF(M43="","",IFERROR(INDEX(Tabela7[QT %],MATCH(M43,Tabela7[PONTO],0)),0))</f>
        <v>0</v>
      </c>
      <c r="S43" t="str">
        <f t="shared" si="11"/>
        <v/>
      </c>
      <c r="T43">
        <f ca="1">IF(M43="","",IF($B$9&gt;$B$8,IFERROR((INDEX(GERAL[SNAP],30)-$B$8)/($B$9-$B$8),0),0))</f>
        <v>0</v>
      </c>
      <c r="U43" t="str">
        <f t="shared" si="12"/>
        <v/>
      </c>
      <c r="V43">
        <f>IFERROR(INDEX(GERAL[LADO],30),"")</f>
        <v>0</v>
      </c>
      <c r="X43">
        <f>IFERROR(INDEX(GERAL[PONTO],10),"")</f>
        <v>6</v>
      </c>
      <c r="Y43">
        <f>IF(X43="","",IFERROR(INDEX(GERAL[ACUMULADA],10),0))</f>
        <v>38.453599999999994</v>
      </c>
      <c r="Z43">
        <f t="shared" si="21"/>
        <v>57.879200000000012</v>
      </c>
      <c r="AA43">
        <f t="shared" si="22"/>
        <v>45</v>
      </c>
      <c r="AB43">
        <f t="shared" si="23"/>
        <v>0.85452444444444431</v>
      </c>
      <c r="AC43">
        <f>IF(X43="","",IFERROR(INDEX(DIR_ATUAL[QT %],MATCH(X43,DIR_ATUAL[PONTO],0)),0))</f>
        <v>6.3624600911683024E-2</v>
      </c>
      <c r="AD43">
        <f t="shared" si="24"/>
        <v>0.79834905660377342</v>
      </c>
      <c r="AE43">
        <f ca="1">IF(X43="","",IF($E$9&gt;$E$8,IFERROR((INDEX(GERAL[SNAP],10)-$E$8)/($E$9-$E$8),0),0))</f>
        <v>449004.93427569757</v>
      </c>
      <c r="AF43">
        <f t="shared" ca="1" si="25"/>
        <v>-24028.648705091404</v>
      </c>
      <c r="AG43" t="str">
        <f>IFERROR(INDEX(GERAL[LADO],10),"")</f>
        <v>DIREITO</v>
      </c>
    </row>
    <row r="44" spans="1:33" x14ac:dyDescent="0.3">
      <c r="A44">
        <v>11</v>
      </c>
      <c r="B44" t="str">
        <f t="shared" ca="1" si="13"/>
        <v/>
      </c>
      <c r="C44" s="93" t="str">
        <f t="shared" ca="1" si="14"/>
        <v/>
      </c>
      <c r="D44" s="93" t="str">
        <f t="shared" ca="1" si="15"/>
        <v/>
      </c>
      <c r="E44" s="93" t="str">
        <f t="shared" ca="1" si="16"/>
        <v/>
      </c>
      <c r="F44" s="93" t="str">
        <f t="shared" ca="1" si="17"/>
        <v/>
      </c>
      <c r="G44" s="93" t="str">
        <f t="shared" ca="1" si="18"/>
        <v/>
      </c>
      <c r="H44" s="93" t="str">
        <f t="shared" ca="1" si="19"/>
        <v/>
      </c>
      <c r="I44" s="93" t="str">
        <f t="shared" ca="1" si="20"/>
        <v/>
      </c>
      <c r="J44" s="93" t="str">
        <f ca="1">IFERROR(LARGE($AF$34:$AF$220,11),"")</f>
        <v/>
      </c>
      <c r="M44">
        <f>IFERROR(INDEX(GERAL[PONTO],31),"")</f>
        <v>0</v>
      </c>
      <c r="N44" t="str">
        <f>IF(M44="","",IFERROR(INDEX(GERAL[ACUMULADA],31),0))</f>
        <v/>
      </c>
      <c r="O44" t="str">
        <f t="shared" si="8"/>
        <v/>
      </c>
      <c r="P44" t="str">
        <f t="shared" si="9"/>
        <v/>
      </c>
      <c r="Q44" t="str">
        <f t="shared" si="10"/>
        <v/>
      </c>
      <c r="R44">
        <f>IF(M44="","",IFERROR(INDEX(Tabela7[QT %],MATCH(M44,Tabela7[PONTO],0)),0))</f>
        <v>0</v>
      </c>
      <c r="S44" t="str">
        <f t="shared" si="11"/>
        <v/>
      </c>
      <c r="T44">
        <f ca="1">IF(M44="","",IF($B$9&gt;$B$8,IFERROR((INDEX(GERAL[SNAP],31)-$B$8)/($B$9-$B$8),0),0))</f>
        <v>0</v>
      </c>
      <c r="U44" t="str">
        <f t="shared" si="12"/>
        <v/>
      </c>
      <c r="V44">
        <f>IFERROR(INDEX(GERAL[LADO],31),"")</f>
        <v>0</v>
      </c>
      <c r="X44">
        <f>IFERROR(INDEX(GERAL[PONTO],11),"")</f>
        <v>7</v>
      </c>
      <c r="Y44">
        <f>IF(X44="","",IFERROR(INDEX(GERAL[ACUMULADA],11),0))</f>
        <v>36.238399999999999</v>
      </c>
      <c r="Z44">
        <f t="shared" si="21"/>
        <v>60.094400000000007</v>
      </c>
      <c r="AA44">
        <f t="shared" si="22"/>
        <v>45</v>
      </c>
      <c r="AB44">
        <f t="shared" si="23"/>
        <v>0.80529777777777778</v>
      </c>
      <c r="AC44">
        <f>IF(X44="","",IFERROR(INDEX(DIR_ATUAL[QT %],MATCH(X44,DIR_ATUAL[PONTO],0)),0))</f>
        <v>6.7728273737709149E-2</v>
      </c>
      <c r="AD44">
        <f t="shared" si="24"/>
        <v>0.75235849056603765</v>
      </c>
      <c r="AE44">
        <f ca="1">IF(X44="","",IF($E$9&gt;$E$8,IFERROR((INDEX(GERAL[SNAP],11)-$E$8)/($E$9-$E$8),0),0))</f>
        <v>449016.17738780711</v>
      </c>
      <c r="AF44">
        <f t="shared" ca="1" si="25"/>
        <v>-24029.891873017415</v>
      </c>
      <c r="AG44" t="str">
        <f>IFERROR(INDEX(GERAL[LADO],11),"")</f>
        <v>DIREITO</v>
      </c>
    </row>
    <row r="45" spans="1:33" x14ac:dyDescent="0.3">
      <c r="A45">
        <v>12</v>
      </c>
      <c r="B45" t="str">
        <f t="shared" ca="1" si="13"/>
        <v/>
      </c>
      <c r="C45" s="93" t="str">
        <f t="shared" ca="1" si="14"/>
        <v/>
      </c>
      <c r="D45" s="93" t="str">
        <f t="shared" ca="1" si="15"/>
        <v/>
      </c>
      <c r="E45" s="93" t="str">
        <f t="shared" ca="1" si="16"/>
        <v/>
      </c>
      <c r="F45" s="93" t="str">
        <f t="shared" ca="1" si="17"/>
        <v/>
      </c>
      <c r="G45" s="93" t="str">
        <f t="shared" ca="1" si="18"/>
        <v/>
      </c>
      <c r="H45" s="93" t="str">
        <f t="shared" ca="1" si="19"/>
        <v/>
      </c>
      <c r="I45" s="93" t="str">
        <f t="shared" ca="1" si="20"/>
        <v/>
      </c>
      <c r="J45" s="93" t="str">
        <f ca="1">IFERROR(LARGE($AF$34:$AF$220,12),"")</f>
        <v/>
      </c>
      <c r="M45">
        <f>IFERROR(INDEX(GERAL[PONTO],32),"")</f>
        <v>0</v>
      </c>
      <c r="N45" t="str">
        <f>IF(M45="","",IFERROR(INDEX(GERAL[ACUMULADA],32),0))</f>
        <v/>
      </c>
      <c r="O45" t="str">
        <f t="shared" si="8"/>
        <v/>
      </c>
      <c r="P45" t="str">
        <f t="shared" si="9"/>
        <v/>
      </c>
      <c r="Q45" t="str">
        <f t="shared" si="10"/>
        <v/>
      </c>
      <c r="R45">
        <f>IF(M45="","",IFERROR(INDEX(Tabela7[QT %],MATCH(M45,Tabela7[PONTO],0)),0))</f>
        <v>0</v>
      </c>
      <c r="S45" t="str">
        <f t="shared" si="11"/>
        <v/>
      </c>
      <c r="T45">
        <f ca="1">IF(M45="","",IF($B$9&gt;$B$8,IFERROR((INDEX(GERAL[SNAP],32)-$B$8)/($B$9-$B$8),0),0))</f>
        <v>0</v>
      </c>
      <c r="U45" t="str">
        <f t="shared" si="12"/>
        <v/>
      </c>
      <c r="V45">
        <f>IFERROR(INDEX(GERAL[LADO],32),"")</f>
        <v>0</v>
      </c>
      <c r="X45">
        <f>IFERROR(INDEX(GERAL[PONTO],12),"")</f>
        <v>8</v>
      </c>
      <c r="Y45">
        <f>IF(X45="","",IFERROR(INDEX(GERAL[ACUMULADA],12),0))</f>
        <v>29.592799999999997</v>
      </c>
      <c r="Z45">
        <f t="shared" si="21"/>
        <v>66.740000000000009</v>
      </c>
      <c r="AA45">
        <f t="shared" si="22"/>
        <v>45</v>
      </c>
      <c r="AB45">
        <f t="shared" si="23"/>
        <v>0.65761777777777775</v>
      </c>
      <c r="AC45">
        <f>IF(X45="","",IFERROR(INDEX(DIR_ATUAL[QT %],MATCH(X45,DIR_ATUAL[PONTO],0)),0))</f>
        <v>7.1984959978929924E-2</v>
      </c>
      <c r="AD45">
        <f t="shared" si="24"/>
        <v>0.61438679245283012</v>
      </c>
      <c r="AE45">
        <f ca="1">IF(X45="","",IF($E$9&gt;$E$8,IFERROR((INDEX(GERAL[SNAP],12)-$E$8)/($E$9-$E$8),0),0))</f>
        <v>449040.90023091692</v>
      </c>
      <c r="AF45">
        <f t="shared" ca="1" si="25"/>
        <v>-33730.019895214158</v>
      </c>
      <c r="AG45" t="str">
        <f>IFERROR(INDEX(GERAL[LADO],12),"")</f>
        <v>DIREITO</v>
      </c>
    </row>
    <row r="46" spans="1:33" x14ac:dyDescent="0.3">
      <c r="M46">
        <f>IFERROR(INDEX(GERAL[PONTO],33),"")</f>
        <v>0</v>
      </c>
      <c r="N46" t="str">
        <f>IF(M46="","",IFERROR(INDEX(GERAL[ACUMULADA],33),0))</f>
        <v/>
      </c>
      <c r="O46" t="str">
        <f t="shared" ref="O46:O77" si="26">IF(N46="","",$B$11-N46)</f>
        <v/>
      </c>
      <c r="P46" t="str">
        <f t="shared" ref="P46:P77" si="27">IF(N46="","",IF(N46*1.15&lt;=30,30,IF(N46*1.15&lt;=45,45,IF(N46*1.15&lt;=75,75,IF(N46*1.15&lt;=112.5,112.5,IF(N46*1.15&lt;=150,150,IF(N46*1.15&lt;=225,225,300)))))))</f>
        <v/>
      </c>
      <c r="Q46" t="str">
        <f t="shared" ref="Q46:Q77" si="28">IF(P46="","",IFERROR(N46/P46,0))</f>
        <v/>
      </c>
      <c r="R46">
        <f>IF(M46="","",IFERROR(INDEX(Tabela7[QT %],MATCH(M46,Tabela7[PONTO],0)),0))</f>
        <v>0</v>
      </c>
      <c r="S46" t="str">
        <f t="shared" ref="S46:S77" si="29">IF(N46="","",IFERROR(1-ABS(N46-O46)/$B$11,0))</f>
        <v/>
      </c>
      <c r="T46">
        <f ca="1">IF(M46="","",IF($B$9&gt;$B$8,IFERROR((INDEX(GERAL[SNAP],33)-$B$8)/($B$9-$B$8),0),0))</f>
        <v>0</v>
      </c>
      <c r="U46" t="str">
        <f t="shared" ref="U46:U77" si="30">IF(OR(M46="",V46&lt;&gt;"ESQUERDO"),"",$L$2*IFERROR(N46/$B$11,0)+$L$3*IF($D$11&gt;0,IFERROR(R46/$D$11,0),0)+$L$4*IFERROR(S46,0)-$L$5*IFERROR(T46,0)-$L$6*MAX(0,IFERROR(Q46,0)-$L$7)+ROW()/1000000)</f>
        <v/>
      </c>
      <c r="V46">
        <f>IFERROR(INDEX(GERAL[LADO],33),"")</f>
        <v>0</v>
      </c>
      <c r="X46">
        <f>IFERROR(INDEX(GERAL[PONTO],13),"")</f>
        <v>9</v>
      </c>
      <c r="Y46">
        <f>IF(X46="","",IFERROR(INDEX(GERAL[ACUMULADA],13),0))</f>
        <v>11.0192</v>
      </c>
      <c r="Z46">
        <f t="shared" si="21"/>
        <v>85.313600000000008</v>
      </c>
      <c r="AA46">
        <f t="shared" si="22"/>
        <v>30</v>
      </c>
      <c r="AB46">
        <f t="shared" si="23"/>
        <v>0.36730666666666667</v>
      </c>
      <c r="AC46">
        <f>IF(X46="","",IFERROR(INDEX(DIR_ATUAL[QT %],MATCH(X46,DIR_ATUAL[PONTO],0)),0))</f>
        <v>7.3875428641329469E-2</v>
      </c>
      <c r="AD46">
        <f t="shared" si="24"/>
        <v>0.22877358490566035</v>
      </c>
      <c r="AE46">
        <f ca="1">IF(X46="","",IF($E$9&gt;$E$8,IFERROR((INDEX(GERAL[SNAP],13)-$E$8)/($E$9-$E$8),0),0))</f>
        <v>657676.43997837952</v>
      </c>
      <c r="AF46" t="str">
        <f t="shared" ca="1" si="25"/>
        <v/>
      </c>
      <c r="AG46" t="str">
        <f>IFERROR(INDEX(GERAL[LADO],13),"")</f>
        <v>DIREITO</v>
      </c>
    </row>
    <row r="47" spans="1:33" x14ac:dyDescent="0.3">
      <c r="M47">
        <f>IFERROR(INDEX(GERAL[PONTO],34),"")</f>
        <v>0</v>
      </c>
      <c r="N47" t="str">
        <f>IF(M47="","",IFERROR(INDEX(GERAL[ACUMULADA],34),0))</f>
        <v/>
      </c>
      <c r="O47" t="str">
        <f t="shared" si="26"/>
        <v/>
      </c>
      <c r="P47" t="str">
        <f t="shared" si="27"/>
        <v/>
      </c>
      <c r="Q47" t="str">
        <f t="shared" si="28"/>
        <v/>
      </c>
      <c r="R47">
        <f>IF(M47="","",IFERROR(INDEX(Tabela7[QT %],MATCH(M47,Tabela7[PONTO],0)),0))</f>
        <v>0</v>
      </c>
      <c r="S47" t="str">
        <f t="shared" si="29"/>
        <v/>
      </c>
      <c r="T47">
        <f ca="1">IF(M47="","",IF($B$9&gt;$B$8,IFERROR((INDEX(GERAL[SNAP],34)-$B$8)/($B$9-$B$8),0),0))</f>
        <v>0</v>
      </c>
      <c r="U47" t="str">
        <f t="shared" si="30"/>
        <v/>
      </c>
      <c r="V47">
        <f>IFERROR(INDEX(GERAL[LADO],34),"")</f>
        <v>0</v>
      </c>
      <c r="X47">
        <f>IFERROR(INDEX(GERAL[PONTO],14),"")</f>
        <v>0</v>
      </c>
      <c r="Y47" t="str">
        <f>IF(X47="","",IFERROR(INDEX(GERAL[ACUMULADA],14),0))</f>
        <v/>
      </c>
      <c r="Z47" t="str">
        <f t="shared" si="21"/>
        <v/>
      </c>
      <c r="AA47" t="str">
        <f t="shared" si="22"/>
        <v/>
      </c>
      <c r="AB47" t="str">
        <f t="shared" si="23"/>
        <v/>
      </c>
      <c r="AC47">
        <f>IF(X47="","",IFERROR(INDEX(DIR_ATUAL[QT %],MATCH(X47,DIR_ATUAL[PONTO],0)),0))</f>
        <v>0</v>
      </c>
      <c r="AD47" t="str">
        <f t="shared" si="24"/>
        <v/>
      </c>
      <c r="AE47">
        <f ca="1">IF(X47="","",IF($E$9&gt;$E$8,IFERROR((INDEX(GERAL[SNAP],14)-$E$8)/($E$9-$E$8),0),0))</f>
        <v>0</v>
      </c>
      <c r="AF47" t="str">
        <f t="shared" si="25"/>
        <v/>
      </c>
      <c r="AG47">
        <f>IFERROR(INDEX(GERAL[LADO],14),"")</f>
        <v>0</v>
      </c>
    </row>
    <row r="48" spans="1:33" x14ac:dyDescent="0.3">
      <c r="M48">
        <f>IFERROR(INDEX(GERAL[PONTO],35),"")</f>
        <v>0</v>
      </c>
      <c r="N48" t="str">
        <f>IF(M48="","",IFERROR(INDEX(GERAL[ACUMULADA],35),0))</f>
        <v/>
      </c>
      <c r="O48" t="str">
        <f t="shared" si="26"/>
        <v/>
      </c>
      <c r="P48" t="str">
        <f t="shared" si="27"/>
        <v/>
      </c>
      <c r="Q48" t="str">
        <f t="shared" si="28"/>
        <v/>
      </c>
      <c r="R48">
        <f>IF(M48="","",IFERROR(INDEX(Tabela7[QT %],MATCH(M48,Tabela7[PONTO],0)),0))</f>
        <v>0</v>
      </c>
      <c r="S48" t="str">
        <f t="shared" si="29"/>
        <v/>
      </c>
      <c r="T48">
        <f ca="1">IF(M48="","",IF($B$9&gt;$B$8,IFERROR((INDEX(GERAL[SNAP],35)-$B$8)/($B$9-$B$8),0),0))</f>
        <v>0</v>
      </c>
      <c r="U48" t="str">
        <f t="shared" si="30"/>
        <v/>
      </c>
      <c r="V48">
        <f>IFERROR(INDEX(GERAL[LADO],35),"")</f>
        <v>0</v>
      </c>
      <c r="X48">
        <f>IFERROR(INDEX(GERAL[PONTO],15),"")</f>
        <v>0</v>
      </c>
      <c r="Y48" t="str">
        <f>IF(X48="","",IFERROR(INDEX(GERAL[ACUMULADA],15),0))</f>
        <v/>
      </c>
      <c r="Z48" t="str">
        <f t="shared" si="21"/>
        <v/>
      </c>
      <c r="AA48" t="str">
        <f t="shared" si="22"/>
        <v/>
      </c>
      <c r="AB48" t="str">
        <f t="shared" si="23"/>
        <v/>
      </c>
      <c r="AC48">
        <f>IF(X48="","",IFERROR(INDEX(DIR_ATUAL[QT %],MATCH(X48,DIR_ATUAL[PONTO],0)),0))</f>
        <v>0</v>
      </c>
      <c r="AD48" t="str">
        <f t="shared" si="24"/>
        <v/>
      </c>
      <c r="AE48">
        <f ca="1">IF(X48="","",IF($E$9&gt;$E$8,IFERROR((INDEX(GERAL[SNAP],15)-$E$8)/($E$9-$E$8),0),0))</f>
        <v>0</v>
      </c>
      <c r="AF48" t="str">
        <f t="shared" si="25"/>
        <v/>
      </c>
      <c r="AG48">
        <f>IFERROR(INDEX(GERAL[LADO],15),"")</f>
        <v>0</v>
      </c>
    </row>
    <row r="49" spans="13:33" x14ac:dyDescent="0.3">
      <c r="M49">
        <f>IFERROR(INDEX(GERAL[PONTO],36),"")</f>
        <v>0</v>
      </c>
      <c r="N49" t="str">
        <f>IF(M49="","",IFERROR(INDEX(GERAL[ACUMULADA],36),0))</f>
        <v/>
      </c>
      <c r="O49" t="str">
        <f t="shared" si="26"/>
        <v/>
      </c>
      <c r="P49" t="str">
        <f t="shared" si="27"/>
        <v/>
      </c>
      <c r="Q49" t="str">
        <f t="shared" si="28"/>
        <v/>
      </c>
      <c r="R49">
        <f>IF(M49="","",IFERROR(INDEX(Tabela7[QT %],MATCH(M49,Tabela7[PONTO],0)),0))</f>
        <v>0</v>
      </c>
      <c r="S49" t="str">
        <f t="shared" si="29"/>
        <v/>
      </c>
      <c r="T49">
        <f ca="1">IF(M49="","",IF($B$9&gt;$B$8,IFERROR((INDEX(GERAL[SNAP],36)-$B$8)/($B$9-$B$8),0),0))</f>
        <v>0</v>
      </c>
      <c r="U49" t="str">
        <f t="shared" si="30"/>
        <v/>
      </c>
      <c r="V49">
        <f>IFERROR(INDEX(GERAL[LADO],36),"")</f>
        <v>0</v>
      </c>
      <c r="X49">
        <f>IFERROR(INDEX(GERAL[PONTO],16),"")</f>
        <v>0</v>
      </c>
      <c r="Y49" t="str">
        <f>IF(X49="","",IFERROR(INDEX(GERAL[ACUMULADA],16),0))</f>
        <v/>
      </c>
      <c r="Z49" t="str">
        <f t="shared" si="21"/>
        <v/>
      </c>
      <c r="AA49" t="str">
        <f t="shared" si="22"/>
        <v/>
      </c>
      <c r="AB49" t="str">
        <f t="shared" si="23"/>
        <v/>
      </c>
      <c r="AC49">
        <f>IF(X49="","",IFERROR(INDEX(DIR_ATUAL[QT %],MATCH(X49,DIR_ATUAL[PONTO],0)),0))</f>
        <v>0</v>
      </c>
      <c r="AD49" t="str">
        <f t="shared" si="24"/>
        <v/>
      </c>
      <c r="AE49">
        <f ca="1">IF(X49="","",IF($E$9&gt;$E$8,IFERROR((INDEX(GERAL[SNAP],16)-$E$8)/($E$9-$E$8),0),0))</f>
        <v>0</v>
      </c>
      <c r="AF49" t="str">
        <f t="shared" si="25"/>
        <v/>
      </c>
      <c r="AG49">
        <f>IFERROR(INDEX(GERAL[LADO],16),"")</f>
        <v>0</v>
      </c>
    </row>
    <row r="50" spans="13:33" x14ac:dyDescent="0.3">
      <c r="M50">
        <f>IFERROR(INDEX(GERAL[PONTO],37),"")</f>
        <v>0</v>
      </c>
      <c r="N50" t="str">
        <f>IF(M50="","",IFERROR(INDEX(GERAL[ACUMULADA],37),0))</f>
        <v/>
      </c>
      <c r="O50" t="str">
        <f t="shared" si="26"/>
        <v/>
      </c>
      <c r="P50" t="str">
        <f t="shared" si="27"/>
        <v/>
      </c>
      <c r="Q50" t="str">
        <f t="shared" si="28"/>
        <v/>
      </c>
      <c r="R50">
        <f>IF(M50="","",IFERROR(INDEX(Tabela7[QT %],MATCH(M50,Tabela7[PONTO],0)),0))</f>
        <v>0</v>
      </c>
      <c r="S50" t="str">
        <f t="shared" si="29"/>
        <v/>
      </c>
      <c r="T50">
        <f ca="1">IF(M50="","",IF($B$9&gt;$B$8,IFERROR((INDEX(GERAL[SNAP],37)-$B$8)/($B$9-$B$8),0),0))</f>
        <v>0</v>
      </c>
      <c r="U50" t="str">
        <f t="shared" si="30"/>
        <v/>
      </c>
      <c r="V50">
        <f>IFERROR(INDEX(GERAL[LADO],37),"")</f>
        <v>0</v>
      </c>
      <c r="X50">
        <f>IFERROR(INDEX(GERAL[PONTO],17),"")</f>
        <v>0</v>
      </c>
      <c r="Y50" t="str">
        <f>IF(X50="","",IFERROR(INDEX(GERAL[ACUMULADA],17),0))</f>
        <v/>
      </c>
      <c r="Z50" t="str">
        <f t="shared" si="21"/>
        <v/>
      </c>
      <c r="AA50" t="str">
        <f t="shared" si="22"/>
        <v/>
      </c>
      <c r="AB50" t="str">
        <f t="shared" si="23"/>
        <v/>
      </c>
      <c r="AC50">
        <f>IF(X50="","",IFERROR(INDEX(DIR_ATUAL[QT %],MATCH(X50,DIR_ATUAL[PONTO],0)),0))</f>
        <v>0</v>
      </c>
      <c r="AD50" t="str">
        <f t="shared" si="24"/>
        <v/>
      </c>
      <c r="AE50">
        <f ca="1">IF(X50="","",IF($E$9&gt;$E$8,IFERROR((INDEX(GERAL[SNAP],17)-$E$8)/($E$9-$E$8),0),0))</f>
        <v>0</v>
      </c>
      <c r="AF50" t="str">
        <f t="shared" si="25"/>
        <v/>
      </c>
      <c r="AG50">
        <f>IFERROR(INDEX(GERAL[LADO],17),"")</f>
        <v>0</v>
      </c>
    </row>
    <row r="51" spans="13:33" x14ac:dyDescent="0.3">
      <c r="M51">
        <f>IFERROR(INDEX(GERAL[PONTO],38),"")</f>
        <v>0</v>
      </c>
      <c r="N51" t="str">
        <f>IF(M51="","",IFERROR(INDEX(GERAL[ACUMULADA],38),0))</f>
        <v/>
      </c>
      <c r="O51" t="str">
        <f t="shared" si="26"/>
        <v/>
      </c>
      <c r="P51" t="str">
        <f t="shared" si="27"/>
        <v/>
      </c>
      <c r="Q51" t="str">
        <f t="shared" si="28"/>
        <v/>
      </c>
      <c r="R51">
        <f>IF(M51="","",IFERROR(INDEX(Tabela7[QT %],MATCH(M51,Tabela7[PONTO],0)),0))</f>
        <v>0</v>
      </c>
      <c r="S51" t="str">
        <f t="shared" si="29"/>
        <v/>
      </c>
      <c r="T51">
        <f ca="1">IF(M51="","",IF($B$9&gt;$B$8,IFERROR((INDEX(GERAL[SNAP],38)-$B$8)/($B$9-$B$8),0),0))</f>
        <v>0</v>
      </c>
      <c r="U51" t="str">
        <f t="shared" si="30"/>
        <v/>
      </c>
      <c r="V51">
        <f>IFERROR(INDEX(GERAL[LADO],38),"")</f>
        <v>0</v>
      </c>
      <c r="X51">
        <f>IFERROR(INDEX(GERAL[PONTO],18),"")</f>
        <v>0</v>
      </c>
      <c r="Y51" t="str">
        <f>IF(X51="","",IFERROR(INDEX(GERAL[ACUMULADA],18),0))</f>
        <v/>
      </c>
      <c r="Z51" t="str">
        <f t="shared" si="21"/>
        <v/>
      </c>
      <c r="AA51" t="str">
        <f t="shared" si="22"/>
        <v/>
      </c>
      <c r="AB51" t="str">
        <f t="shared" si="23"/>
        <v/>
      </c>
      <c r="AC51">
        <f>IF(X51="","",IFERROR(INDEX(DIR_ATUAL[QT %],MATCH(X51,DIR_ATUAL[PONTO],0)),0))</f>
        <v>0</v>
      </c>
      <c r="AD51" t="str">
        <f t="shared" si="24"/>
        <v/>
      </c>
      <c r="AE51">
        <f ca="1">IF(X51="","",IF($E$9&gt;$E$8,IFERROR((INDEX(GERAL[SNAP],18)-$E$8)/($E$9-$E$8),0),0))</f>
        <v>0</v>
      </c>
      <c r="AF51" t="str">
        <f t="shared" si="25"/>
        <v/>
      </c>
      <c r="AG51">
        <f>IFERROR(INDEX(GERAL[LADO],18),"")</f>
        <v>0</v>
      </c>
    </row>
    <row r="52" spans="13:33" x14ac:dyDescent="0.3">
      <c r="M52">
        <f>IFERROR(INDEX(GERAL[PONTO],39),"")</f>
        <v>0</v>
      </c>
      <c r="N52" t="str">
        <f>IF(M52="","",IFERROR(INDEX(GERAL[ACUMULADA],39),0))</f>
        <v/>
      </c>
      <c r="O52" t="str">
        <f t="shared" si="26"/>
        <v/>
      </c>
      <c r="P52" t="str">
        <f t="shared" si="27"/>
        <v/>
      </c>
      <c r="Q52" t="str">
        <f t="shared" si="28"/>
        <v/>
      </c>
      <c r="R52">
        <f>IF(M52="","",IFERROR(INDEX(Tabela7[QT %],MATCH(M52,Tabela7[PONTO],0)),0))</f>
        <v>0</v>
      </c>
      <c r="S52" t="str">
        <f t="shared" si="29"/>
        <v/>
      </c>
      <c r="T52">
        <f ca="1">IF(M52="","",IF($B$9&gt;$B$8,IFERROR((INDEX(GERAL[SNAP],39)-$B$8)/($B$9-$B$8),0),0))</f>
        <v>0</v>
      </c>
      <c r="U52" t="str">
        <f t="shared" si="30"/>
        <v/>
      </c>
      <c r="V52">
        <f>IFERROR(INDEX(GERAL[LADO],39),"")</f>
        <v>0</v>
      </c>
      <c r="X52">
        <f>IFERROR(INDEX(GERAL[PONTO],19),"")</f>
        <v>0</v>
      </c>
      <c r="Y52" t="str">
        <f>IF(X52="","",IFERROR(INDEX(GERAL[ACUMULADA],19),0))</f>
        <v/>
      </c>
      <c r="Z52" t="str">
        <f t="shared" si="21"/>
        <v/>
      </c>
      <c r="AA52" t="str">
        <f t="shared" si="22"/>
        <v/>
      </c>
      <c r="AB52" t="str">
        <f t="shared" si="23"/>
        <v/>
      </c>
      <c r="AC52">
        <f>IF(X52="","",IFERROR(INDEX(DIR_ATUAL[QT %],MATCH(X52,DIR_ATUAL[PONTO],0)),0))</f>
        <v>0</v>
      </c>
      <c r="AD52" t="str">
        <f t="shared" si="24"/>
        <v/>
      </c>
      <c r="AE52">
        <f ca="1">IF(X52="","",IF($E$9&gt;$E$8,IFERROR((INDEX(GERAL[SNAP],19)-$E$8)/($E$9-$E$8),0),0))</f>
        <v>0</v>
      </c>
      <c r="AF52" t="str">
        <f t="shared" si="25"/>
        <v/>
      </c>
      <c r="AG52">
        <f>IFERROR(INDEX(GERAL[LADO],19),"")</f>
        <v>0</v>
      </c>
    </row>
    <row r="53" spans="13:33" x14ac:dyDescent="0.3">
      <c r="M53">
        <f>IFERROR(INDEX(GERAL[PONTO],40),"")</f>
        <v>0</v>
      </c>
      <c r="N53" t="str">
        <f>IF(M53="","",IFERROR(INDEX(GERAL[ACUMULADA],40),0))</f>
        <v/>
      </c>
      <c r="O53" t="str">
        <f t="shared" si="26"/>
        <v/>
      </c>
      <c r="P53" t="str">
        <f t="shared" si="27"/>
        <v/>
      </c>
      <c r="Q53" t="str">
        <f t="shared" si="28"/>
        <v/>
      </c>
      <c r="R53">
        <f>IF(M53="","",IFERROR(INDEX(Tabela7[QT %],MATCH(M53,Tabela7[PONTO],0)),0))</f>
        <v>0</v>
      </c>
      <c r="S53" t="str">
        <f t="shared" si="29"/>
        <v/>
      </c>
      <c r="T53">
        <f ca="1">IF(M53="","",IF($B$9&gt;$B$8,IFERROR((INDEX(GERAL[SNAP],40)-$B$8)/($B$9-$B$8),0),0))</f>
        <v>0</v>
      </c>
      <c r="U53" t="str">
        <f t="shared" si="30"/>
        <v/>
      </c>
      <c r="V53">
        <f>IFERROR(INDEX(GERAL[LADO],40),"")</f>
        <v>0</v>
      </c>
      <c r="X53">
        <f>IFERROR(INDEX(GERAL[PONTO],20),"")</f>
        <v>0</v>
      </c>
      <c r="Y53" t="str">
        <f>IF(X53="","",IFERROR(INDEX(GERAL[ACUMULADA],20),0))</f>
        <v/>
      </c>
      <c r="Z53" t="str">
        <f t="shared" si="21"/>
        <v/>
      </c>
      <c r="AA53" t="str">
        <f t="shared" si="22"/>
        <v/>
      </c>
      <c r="AB53" t="str">
        <f t="shared" si="23"/>
        <v/>
      </c>
      <c r="AC53">
        <f>IF(X53="","",IFERROR(INDEX(DIR_ATUAL[QT %],MATCH(X53,DIR_ATUAL[PONTO],0)),0))</f>
        <v>0</v>
      </c>
      <c r="AD53" t="str">
        <f t="shared" si="24"/>
        <v/>
      </c>
      <c r="AE53">
        <f ca="1">IF(X53="","",IF($E$9&gt;$E$8,IFERROR((INDEX(GERAL[SNAP],20)-$E$8)/($E$9-$E$8),0),0))</f>
        <v>0</v>
      </c>
      <c r="AF53" t="str">
        <f t="shared" si="25"/>
        <v/>
      </c>
      <c r="AG53">
        <f>IFERROR(INDEX(GERAL[LADO],20),"")</f>
        <v>0</v>
      </c>
    </row>
    <row r="54" spans="13:33" x14ac:dyDescent="0.3">
      <c r="M54">
        <f>IFERROR(INDEX(GERAL[PONTO],41),"")</f>
        <v>0</v>
      </c>
      <c r="N54" t="str">
        <f>IF(M54="","",IFERROR(INDEX(GERAL[ACUMULADA],41),0))</f>
        <v/>
      </c>
      <c r="O54" t="str">
        <f t="shared" si="26"/>
        <v/>
      </c>
      <c r="P54" t="str">
        <f t="shared" si="27"/>
        <v/>
      </c>
      <c r="Q54" t="str">
        <f t="shared" si="28"/>
        <v/>
      </c>
      <c r="R54">
        <f>IF(M54="","",IFERROR(INDEX(Tabela7[QT %],MATCH(M54,Tabela7[PONTO],0)),0))</f>
        <v>0</v>
      </c>
      <c r="S54" t="str">
        <f t="shared" si="29"/>
        <v/>
      </c>
      <c r="T54">
        <f ca="1">IF(M54="","",IF($B$9&gt;$B$8,IFERROR((INDEX(GERAL[SNAP],41)-$B$8)/($B$9-$B$8),0),0))</f>
        <v>0</v>
      </c>
      <c r="U54" t="str">
        <f t="shared" si="30"/>
        <v/>
      </c>
      <c r="V54">
        <f>IFERROR(INDEX(GERAL[LADO],41),"")</f>
        <v>0</v>
      </c>
      <c r="X54">
        <f>IFERROR(INDEX(GERAL[PONTO],21),"")</f>
        <v>0</v>
      </c>
      <c r="Y54" t="str">
        <f>IF(X54="","",IFERROR(INDEX(GERAL[ACUMULADA],21),0))</f>
        <v/>
      </c>
      <c r="Z54" t="str">
        <f t="shared" si="21"/>
        <v/>
      </c>
      <c r="AA54" t="str">
        <f t="shared" si="22"/>
        <v/>
      </c>
      <c r="AB54" t="str">
        <f t="shared" si="23"/>
        <v/>
      </c>
      <c r="AC54">
        <f>IF(X54="","",IFERROR(INDEX(DIR_ATUAL[QT %],MATCH(X54,DIR_ATUAL[PONTO],0)),0))</f>
        <v>0</v>
      </c>
      <c r="AD54" t="str">
        <f t="shared" si="24"/>
        <v/>
      </c>
      <c r="AE54">
        <f ca="1">IF(X54="","",IF($E$9&gt;$E$8,IFERROR((INDEX(GERAL[SNAP],21)-$E$8)/($E$9-$E$8),0),0))</f>
        <v>0</v>
      </c>
      <c r="AF54" t="str">
        <f t="shared" si="25"/>
        <v/>
      </c>
      <c r="AG54">
        <f>IFERROR(INDEX(GERAL[LADO],21),"")</f>
        <v>0</v>
      </c>
    </row>
    <row r="55" spans="13:33" x14ac:dyDescent="0.3">
      <c r="M55">
        <f>IFERROR(INDEX(GERAL[PONTO],42),"")</f>
        <v>0</v>
      </c>
      <c r="N55" t="str">
        <f>IF(M55="","",IFERROR(INDEX(GERAL[ACUMULADA],42),0))</f>
        <v/>
      </c>
      <c r="O55" t="str">
        <f t="shared" si="26"/>
        <v/>
      </c>
      <c r="P55" t="str">
        <f t="shared" si="27"/>
        <v/>
      </c>
      <c r="Q55" t="str">
        <f t="shared" si="28"/>
        <v/>
      </c>
      <c r="R55">
        <f>IF(M55="","",IFERROR(INDEX(Tabela7[QT %],MATCH(M55,Tabela7[PONTO],0)),0))</f>
        <v>0</v>
      </c>
      <c r="S55" t="str">
        <f t="shared" si="29"/>
        <v/>
      </c>
      <c r="T55">
        <f ca="1">IF(M55="","",IF($B$9&gt;$B$8,IFERROR((INDEX(GERAL[SNAP],42)-$B$8)/($B$9-$B$8),0),0))</f>
        <v>0</v>
      </c>
      <c r="U55" t="str">
        <f t="shared" si="30"/>
        <v/>
      </c>
      <c r="V55">
        <f>IFERROR(INDEX(GERAL[LADO],42),"")</f>
        <v>0</v>
      </c>
      <c r="X55">
        <f>IFERROR(INDEX(GERAL[PONTO],22),"")</f>
        <v>0</v>
      </c>
      <c r="Y55" t="str">
        <f>IF(X55="","",IFERROR(INDEX(GERAL[ACUMULADA],22),0))</f>
        <v/>
      </c>
      <c r="Z55" t="str">
        <f t="shared" si="21"/>
        <v/>
      </c>
      <c r="AA55" t="str">
        <f t="shared" si="22"/>
        <v/>
      </c>
      <c r="AB55" t="str">
        <f t="shared" si="23"/>
        <v/>
      </c>
      <c r="AC55">
        <f>IF(X55="","",IFERROR(INDEX(DIR_ATUAL[QT %],MATCH(X55,DIR_ATUAL[PONTO],0)),0))</f>
        <v>0</v>
      </c>
      <c r="AD55" t="str">
        <f t="shared" si="24"/>
        <v/>
      </c>
      <c r="AE55">
        <f ca="1">IF(X55="","",IF($E$9&gt;$E$8,IFERROR((INDEX(GERAL[SNAP],22)-$E$8)/($E$9-$E$8),0),0))</f>
        <v>0</v>
      </c>
      <c r="AF55" t="str">
        <f t="shared" si="25"/>
        <v/>
      </c>
      <c r="AG55">
        <f>IFERROR(INDEX(GERAL[LADO],22),"")</f>
        <v>0</v>
      </c>
    </row>
    <row r="56" spans="13:33" x14ac:dyDescent="0.3">
      <c r="M56">
        <f>IFERROR(INDEX(GERAL[PONTO],43),"")</f>
        <v>0</v>
      </c>
      <c r="N56" t="str">
        <f>IF(M56="","",IFERROR(INDEX(GERAL[ACUMULADA],43),0))</f>
        <v/>
      </c>
      <c r="O56" t="str">
        <f t="shared" si="26"/>
        <v/>
      </c>
      <c r="P56" t="str">
        <f t="shared" si="27"/>
        <v/>
      </c>
      <c r="Q56" t="str">
        <f t="shared" si="28"/>
        <v/>
      </c>
      <c r="R56">
        <f>IF(M56="","",IFERROR(INDEX(Tabela7[QT %],MATCH(M56,Tabela7[PONTO],0)),0))</f>
        <v>0</v>
      </c>
      <c r="S56" t="str">
        <f t="shared" si="29"/>
        <v/>
      </c>
      <c r="T56">
        <f ca="1">IF(M56="","",IF($B$9&gt;$B$8,IFERROR((INDEX(GERAL[SNAP],43)-$B$8)/($B$9-$B$8),0),0))</f>
        <v>0</v>
      </c>
      <c r="U56" t="str">
        <f t="shared" si="30"/>
        <v/>
      </c>
      <c r="V56">
        <f>IFERROR(INDEX(GERAL[LADO],43),"")</f>
        <v>0</v>
      </c>
      <c r="X56">
        <f>IFERROR(INDEX(GERAL[PONTO],23),"")</f>
        <v>0</v>
      </c>
      <c r="Y56" t="str">
        <f>IF(X56="","",IFERROR(INDEX(GERAL[ACUMULADA],23),0))</f>
        <v/>
      </c>
      <c r="Z56" t="str">
        <f t="shared" si="21"/>
        <v/>
      </c>
      <c r="AA56" t="str">
        <f t="shared" si="22"/>
        <v/>
      </c>
      <c r="AB56" t="str">
        <f t="shared" si="23"/>
        <v/>
      </c>
      <c r="AC56">
        <f>IF(X56="","",IFERROR(INDEX(DIR_ATUAL[QT %],MATCH(X56,DIR_ATUAL[PONTO],0)),0))</f>
        <v>0</v>
      </c>
      <c r="AD56" t="str">
        <f t="shared" si="24"/>
        <v/>
      </c>
      <c r="AE56">
        <f ca="1">IF(X56="","",IF($E$9&gt;$E$8,IFERROR((INDEX(GERAL[SNAP],23)-$E$8)/($E$9-$E$8),0),0))</f>
        <v>0</v>
      </c>
      <c r="AF56" t="str">
        <f t="shared" si="25"/>
        <v/>
      </c>
      <c r="AG56">
        <f>IFERROR(INDEX(GERAL[LADO],23),"")</f>
        <v>0</v>
      </c>
    </row>
    <row r="57" spans="13:33" x14ac:dyDescent="0.3">
      <c r="M57" t="str">
        <f>IFERROR(INDEX(GERAL[PONTO],44),"")</f>
        <v/>
      </c>
      <c r="N57" t="str">
        <f>IF(M57="","",IFERROR(INDEX(GERAL[ACUMULADA],44),0))</f>
        <v/>
      </c>
      <c r="O57" t="str">
        <f t="shared" si="26"/>
        <v/>
      </c>
      <c r="P57" t="str">
        <f t="shared" si="27"/>
        <v/>
      </c>
      <c r="Q57" t="str">
        <f t="shared" si="28"/>
        <v/>
      </c>
      <c r="R57" t="str">
        <f>IF(M57="","",IFERROR(INDEX(Tabela7[QT %],MATCH(M57,Tabela7[PONTO],0)),0))</f>
        <v/>
      </c>
      <c r="S57" t="str">
        <f t="shared" si="29"/>
        <v/>
      </c>
      <c r="T57" t="str">
        <f>IF(M57="","",IF($B$9&gt;$B$8,IFERROR((INDEX(GERAL[SNAP],44)-$B$8)/($B$9-$B$8),0),0))</f>
        <v/>
      </c>
      <c r="U57" t="str">
        <f t="shared" si="30"/>
        <v/>
      </c>
      <c r="V57" t="str">
        <f>IFERROR(INDEX(GERAL[LADO],44),"")</f>
        <v/>
      </c>
      <c r="X57">
        <f>IFERROR(INDEX(GERAL[PONTO],24),"")</f>
        <v>0</v>
      </c>
      <c r="Y57" t="str">
        <f>IF(X57="","",IFERROR(INDEX(GERAL[ACUMULADA],24),0))</f>
        <v/>
      </c>
      <c r="Z57" t="str">
        <f t="shared" si="21"/>
        <v/>
      </c>
      <c r="AA57" t="str">
        <f t="shared" si="22"/>
        <v/>
      </c>
      <c r="AB57" t="str">
        <f t="shared" si="23"/>
        <v/>
      </c>
      <c r="AC57">
        <f>IF(X57="","",IFERROR(INDEX(DIR_ATUAL[QT %],MATCH(X57,DIR_ATUAL[PONTO],0)),0))</f>
        <v>0</v>
      </c>
      <c r="AD57" t="str">
        <f t="shared" si="24"/>
        <v/>
      </c>
      <c r="AE57">
        <f ca="1">IF(X57="","",IF($E$9&gt;$E$8,IFERROR((INDEX(GERAL[SNAP],24)-$E$8)/($E$9-$E$8),0),0))</f>
        <v>0</v>
      </c>
      <c r="AF57" t="str">
        <f t="shared" si="25"/>
        <v/>
      </c>
      <c r="AG57">
        <f>IFERROR(INDEX(GERAL[LADO],24),"")</f>
        <v>0</v>
      </c>
    </row>
    <row r="58" spans="13:33" x14ac:dyDescent="0.3">
      <c r="M58" t="str">
        <f>IFERROR(INDEX(GERAL[PONTO],45),"")</f>
        <v/>
      </c>
      <c r="N58" t="str">
        <f>IF(M58="","",IFERROR(INDEX(GERAL[ACUMULADA],45),0))</f>
        <v/>
      </c>
      <c r="O58" t="str">
        <f t="shared" si="26"/>
        <v/>
      </c>
      <c r="P58" t="str">
        <f t="shared" si="27"/>
        <v/>
      </c>
      <c r="Q58" t="str">
        <f t="shared" si="28"/>
        <v/>
      </c>
      <c r="R58" t="str">
        <f>IF(M58="","",IFERROR(INDEX(Tabela7[QT %],MATCH(M58,Tabela7[PONTO],0)),0))</f>
        <v/>
      </c>
      <c r="S58" t="str">
        <f t="shared" si="29"/>
        <v/>
      </c>
      <c r="T58" t="str">
        <f>IF(M58="","",IF($B$9&gt;$B$8,IFERROR((INDEX(GERAL[SNAP],45)-$B$8)/($B$9-$B$8),0),0))</f>
        <v/>
      </c>
      <c r="U58" t="str">
        <f t="shared" si="30"/>
        <v/>
      </c>
      <c r="V58" t="str">
        <f>IFERROR(INDEX(GERAL[LADO],45),"")</f>
        <v/>
      </c>
      <c r="X58">
        <f>IFERROR(INDEX(GERAL[PONTO],25),"")</f>
        <v>0</v>
      </c>
      <c r="Y58" t="str">
        <f>IF(X58="","",IFERROR(INDEX(GERAL[ACUMULADA],25),0))</f>
        <v/>
      </c>
      <c r="Z58" t="str">
        <f t="shared" si="21"/>
        <v/>
      </c>
      <c r="AA58" t="str">
        <f t="shared" si="22"/>
        <v/>
      </c>
      <c r="AB58" t="str">
        <f t="shared" si="23"/>
        <v/>
      </c>
      <c r="AC58">
        <f>IF(X58="","",IFERROR(INDEX(DIR_ATUAL[QT %],MATCH(X58,DIR_ATUAL[PONTO],0)),0))</f>
        <v>0</v>
      </c>
      <c r="AD58" t="str">
        <f t="shared" si="24"/>
        <v/>
      </c>
      <c r="AE58">
        <f ca="1">IF(X58="","",IF($E$9&gt;$E$8,IFERROR((INDEX(GERAL[SNAP],25)-$E$8)/($E$9-$E$8),0),0))</f>
        <v>0</v>
      </c>
      <c r="AF58" t="str">
        <f t="shared" si="25"/>
        <v/>
      </c>
      <c r="AG58">
        <f>IFERROR(INDEX(GERAL[LADO],25),"")</f>
        <v>0</v>
      </c>
    </row>
    <row r="59" spans="13:33" x14ac:dyDescent="0.3">
      <c r="M59" t="str">
        <f>IFERROR(INDEX(GERAL[PONTO],46),"")</f>
        <v/>
      </c>
      <c r="N59" t="str">
        <f>IF(M59="","",IFERROR(INDEX(GERAL[ACUMULADA],46),0))</f>
        <v/>
      </c>
      <c r="O59" t="str">
        <f t="shared" si="26"/>
        <v/>
      </c>
      <c r="P59" t="str">
        <f t="shared" si="27"/>
        <v/>
      </c>
      <c r="Q59" t="str">
        <f t="shared" si="28"/>
        <v/>
      </c>
      <c r="R59" t="str">
        <f>IF(M59="","",IFERROR(INDEX(Tabela7[QT %],MATCH(M59,Tabela7[PONTO],0)),0))</f>
        <v/>
      </c>
      <c r="S59" t="str">
        <f t="shared" si="29"/>
        <v/>
      </c>
      <c r="T59" t="str">
        <f>IF(M59="","",IF($B$9&gt;$B$8,IFERROR((INDEX(GERAL[SNAP],46)-$B$8)/($B$9-$B$8),0),0))</f>
        <v/>
      </c>
      <c r="U59" t="str">
        <f t="shared" si="30"/>
        <v/>
      </c>
      <c r="V59" t="str">
        <f>IFERROR(INDEX(GERAL[LADO],46),"")</f>
        <v/>
      </c>
      <c r="X59">
        <f>IFERROR(INDEX(GERAL[PONTO],26),"")</f>
        <v>0</v>
      </c>
      <c r="Y59" t="str">
        <f>IF(X59="","",IFERROR(INDEX(GERAL[ACUMULADA],26),0))</f>
        <v/>
      </c>
      <c r="Z59" t="str">
        <f t="shared" si="21"/>
        <v/>
      </c>
      <c r="AA59" t="str">
        <f t="shared" si="22"/>
        <v/>
      </c>
      <c r="AB59" t="str">
        <f t="shared" si="23"/>
        <v/>
      </c>
      <c r="AC59">
        <f>IF(X59="","",IFERROR(INDEX(DIR_ATUAL[QT %],MATCH(X59,DIR_ATUAL[PONTO],0)),0))</f>
        <v>0</v>
      </c>
      <c r="AD59" t="str">
        <f t="shared" si="24"/>
        <v/>
      </c>
      <c r="AE59">
        <f ca="1">IF(X59="","",IF($E$9&gt;$E$8,IFERROR((INDEX(GERAL[SNAP],26)-$E$8)/($E$9-$E$8),0),0))</f>
        <v>0</v>
      </c>
      <c r="AF59" t="str">
        <f t="shared" si="25"/>
        <v/>
      </c>
      <c r="AG59">
        <f>IFERROR(INDEX(GERAL[LADO],26),"")</f>
        <v>0</v>
      </c>
    </row>
    <row r="60" spans="13:33" x14ac:dyDescent="0.3">
      <c r="M60" t="str">
        <f>IFERROR(INDEX(GERAL[PONTO],47),"")</f>
        <v/>
      </c>
      <c r="N60" t="str">
        <f>IF(M60="","",IFERROR(INDEX(GERAL[ACUMULADA],47),0))</f>
        <v/>
      </c>
      <c r="O60" t="str">
        <f t="shared" si="26"/>
        <v/>
      </c>
      <c r="P60" t="str">
        <f t="shared" si="27"/>
        <v/>
      </c>
      <c r="Q60" t="str">
        <f t="shared" si="28"/>
        <v/>
      </c>
      <c r="R60" t="str">
        <f>IF(M60="","",IFERROR(INDEX(Tabela7[QT %],MATCH(M60,Tabela7[PONTO],0)),0))</f>
        <v/>
      </c>
      <c r="S60" t="str">
        <f t="shared" si="29"/>
        <v/>
      </c>
      <c r="T60" t="str">
        <f>IF(M60="","",IF($B$9&gt;$B$8,IFERROR((INDEX(GERAL[SNAP],47)-$B$8)/($B$9-$B$8),0),0))</f>
        <v/>
      </c>
      <c r="U60" t="str">
        <f t="shared" si="30"/>
        <v/>
      </c>
      <c r="V60" t="str">
        <f>IFERROR(INDEX(GERAL[LADO],47),"")</f>
        <v/>
      </c>
      <c r="X60">
        <f>IFERROR(INDEX(GERAL[PONTO],27),"")</f>
        <v>0</v>
      </c>
      <c r="Y60" t="str">
        <f>IF(X60="","",IFERROR(INDEX(GERAL[ACUMULADA],27),0))</f>
        <v/>
      </c>
      <c r="Z60" t="str">
        <f t="shared" si="21"/>
        <v/>
      </c>
      <c r="AA60" t="str">
        <f t="shared" si="22"/>
        <v/>
      </c>
      <c r="AB60" t="str">
        <f t="shared" si="23"/>
        <v/>
      </c>
      <c r="AC60">
        <f>IF(X60="","",IFERROR(INDEX(DIR_ATUAL[QT %],MATCH(X60,DIR_ATUAL[PONTO],0)),0))</f>
        <v>0</v>
      </c>
      <c r="AD60" t="str">
        <f t="shared" si="24"/>
        <v/>
      </c>
      <c r="AE60">
        <f ca="1">IF(X60="","",IF($E$9&gt;$E$8,IFERROR((INDEX(GERAL[SNAP],27)-$E$8)/($E$9-$E$8),0),0))</f>
        <v>0</v>
      </c>
      <c r="AF60" t="str">
        <f t="shared" si="25"/>
        <v/>
      </c>
      <c r="AG60">
        <f>IFERROR(INDEX(GERAL[LADO],27),"")</f>
        <v>0</v>
      </c>
    </row>
    <row r="61" spans="13:33" x14ac:dyDescent="0.3">
      <c r="M61" t="str">
        <f>IFERROR(INDEX(GERAL[PONTO],48),"")</f>
        <v/>
      </c>
      <c r="N61" t="str">
        <f>IF(M61="","",IFERROR(INDEX(GERAL[ACUMULADA],48),0))</f>
        <v/>
      </c>
      <c r="O61" t="str">
        <f t="shared" si="26"/>
        <v/>
      </c>
      <c r="P61" t="str">
        <f t="shared" si="27"/>
        <v/>
      </c>
      <c r="Q61" t="str">
        <f t="shared" si="28"/>
        <v/>
      </c>
      <c r="R61" t="str">
        <f>IF(M61="","",IFERROR(INDEX(Tabela7[QT %],MATCH(M61,Tabela7[PONTO],0)),0))</f>
        <v/>
      </c>
      <c r="S61" t="str">
        <f t="shared" si="29"/>
        <v/>
      </c>
      <c r="T61" t="str">
        <f>IF(M61="","",IF($B$9&gt;$B$8,IFERROR((INDEX(GERAL[SNAP],48)-$B$8)/($B$9-$B$8),0),0))</f>
        <v/>
      </c>
      <c r="U61" t="str">
        <f t="shared" si="30"/>
        <v/>
      </c>
      <c r="V61" t="str">
        <f>IFERROR(INDEX(GERAL[LADO],48),"")</f>
        <v/>
      </c>
      <c r="X61">
        <f>IFERROR(INDEX(GERAL[PONTO],28),"")</f>
        <v>0</v>
      </c>
      <c r="Y61" t="str">
        <f>IF(X61="","",IFERROR(INDEX(GERAL[ACUMULADA],28),0))</f>
        <v/>
      </c>
      <c r="Z61" t="str">
        <f t="shared" si="21"/>
        <v/>
      </c>
      <c r="AA61" t="str">
        <f t="shared" si="22"/>
        <v/>
      </c>
      <c r="AB61" t="str">
        <f t="shared" si="23"/>
        <v/>
      </c>
      <c r="AC61">
        <f>IF(X61="","",IFERROR(INDEX(DIR_ATUAL[QT %],MATCH(X61,DIR_ATUAL[PONTO],0)),0))</f>
        <v>0</v>
      </c>
      <c r="AD61" t="str">
        <f t="shared" si="24"/>
        <v/>
      </c>
      <c r="AE61">
        <f ca="1">IF(X61="","",IF($E$9&gt;$E$8,IFERROR((INDEX(GERAL[SNAP],28)-$E$8)/($E$9-$E$8),0),0))</f>
        <v>0</v>
      </c>
      <c r="AF61" t="str">
        <f t="shared" si="25"/>
        <v/>
      </c>
      <c r="AG61">
        <f>IFERROR(INDEX(GERAL[LADO],28),"")</f>
        <v>0</v>
      </c>
    </row>
    <row r="62" spans="13:33" x14ac:dyDescent="0.3">
      <c r="M62" t="str">
        <f>IFERROR(INDEX(GERAL[PONTO],49),"")</f>
        <v/>
      </c>
      <c r="N62" t="str">
        <f>IF(M62="","",IFERROR(INDEX(GERAL[ACUMULADA],49),0))</f>
        <v/>
      </c>
      <c r="O62" t="str">
        <f t="shared" si="26"/>
        <v/>
      </c>
      <c r="P62" t="str">
        <f t="shared" si="27"/>
        <v/>
      </c>
      <c r="Q62" t="str">
        <f t="shared" si="28"/>
        <v/>
      </c>
      <c r="R62" t="str">
        <f>IF(M62="","",IFERROR(INDEX(Tabela7[QT %],MATCH(M62,Tabela7[PONTO],0)),0))</f>
        <v/>
      </c>
      <c r="S62" t="str">
        <f t="shared" si="29"/>
        <v/>
      </c>
      <c r="T62" t="str">
        <f>IF(M62="","",IF($B$9&gt;$B$8,IFERROR((INDEX(GERAL[SNAP],49)-$B$8)/($B$9-$B$8),0),0))</f>
        <v/>
      </c>
      <c r="U62" t="str">
        <f t="shared" si="30"/>
        <v/>
      </c>
      <c r="V62" t="str">
        <f>IFERROR(INDEX(GERAL[LADO],49),"")</f>
        <v/>
      </c>
      <c r="X62">
        <f>IFERROR(INDEX(GERAL[PONTO],29),"")</f>
        <v>0</v>
      </c>
      <c r="Y62" t="str">
        <f>IF(X62="","",IFERROR(INDEX(GERAL[ACUMULADA],29),0))</f>
        <v/>
      </c>
      <c r="Z62" t="str">
        <f t="shared" si="21"/>
        <v/>
      </c>
      <c r="AA62" t="str">
        <f t="shared" si="22"/>
        <v/>
      </c>
      <c r="AB62" t="str">
        <f t="shared" si="23"/>
        <v/>
      </c>
      <c r="AC62">
        <f>IF(X62="","",IFERROR(INDEX(DIR_ATUAL[QT %],MATCH(X62,DIR_ATUAL[PONTO],0)),0))</f>
        <v>0</v>
      </c>
      <c r="AD62" t="str">
        <f t="shared" si="24"/>
        <v/>
      </c>
      <c r="AE62">
        <f ca="1">IF(X62="","",IF($E$9&gt;$E$8,IFERROR((INDEX(GERAL[SNAP],29)-$E$8)/($E$9-$E$8),0),0))</f>
        <v>0</v>
      </c>
      <c r="AF62" t="str">
        <f t="shared" si="25"/>
        <v/>
      </c>
      <c r="AG62">
        <f>IFERROR(INDEX(GERAL[LADO],29),"")</f>
        <v>0</v>
      </c>
    </row>
    <row r="63" spans="13:33" x14ac:dyDescent="0.3">
      <c r="M63" t="str">
        <f>IFERROR(INDEX(GERAL[PONTO],50),"")</f>
        <v/>
      </c>
      <c r="N63" t="str">
        <f>IF(M63="","",IFERROR(INDEX(GERAL[ACUMULADA],50),0))</f>
        <v/>
      </c>
      <c r="O63" t="str">
        <f t="shared" si="26"/>
        <v/>
      </c>
      <c r="P63" t="str">
        <f t="shared" si="27"/>
        <v/>
      </c>
      <c r="Q63" t="str">
        <f t="shared" si="28"/>
        <v/>
      </c>
      <c r="R63" t="str">
        <f>IF(M63="","",IFERROR(INDEX(Tabela7[QT %],MATCH(M63,Tabela7[PONTO],0)),0))</f>
        <v/>
      </c>
      <c r="S63" t="str">
        <f t="shared" si="29"/>
        <v/>
      </c>
      <c r="T63" t="str">
        <f>IF(M63="","",IF($B$9&gt;$B$8,IFERROR((INDEX(GERAL[SNAP],50)-$B$8)/($B$9-$B$8),0),0))</f>
        <v/>
      </c>
      <c r="U63" t="str">
        <f t="shared" si="30"/>
        <v/>
      </c>
      <c r="V63" t="str">
        <f>IFERROR(INDEX(GERAL[LADO],50),"")</f>
        <v/>
      </c>
      <c r="X63">
        <f>IFERROR(INDEX(GERAL[PONTO],30),"")</f>
        <v>0</v>
      </c>
      <c r="Y63" t="str">
        <f>IF(X63="","",IFERROR(INDEX(GERAL[ACUMULADA],30),0))</f>
        <v/>
      </c>
      <c r="Z63" t="str">
        <f t="shared" si="21"/>
        <v/>
      </c>
      <c r="AA63" t="str">
        <f t="shared" si="22"/>
        <v/>
      </c>
      <c r="AB63" t="str">
        <f t="shared" si="23"/>
        <v/>
      </c>
      <c r="AC63">
        <f>IF(X63="","",IFERROR(INDEX(DIR_ATUAL[QT %],MATCH(X63,DIR_ATUAL[PONTO],0)),0))</f>
        <v>0</v>
      </c>
      <c r="AD63" t="str">
        <f t="shared" si="24"/>
        <v/>
      </c>
      <c r="AE63">
        <f ca="1">IF(X63="","",IF($E$9&gt;$E$8,IFERROR((INDEX(GERAL[SNAP],30)-$E$8)/($E$9-$E$8),0),0))</f>
        <v>0</v>
      </c>
      <c r="AF63" t="str">
        <f t="shared" si="25"/>
        <v/>
      </c>
      <c r="AG63">
        <f>IFERROR(INDEX(GERAL[LADO],30),"")</f>
        <v>0</v>
      </c>
    </row>
    <row r="64" spans="13:33" x14ac:dyDescent="0.3">
      <c r="M64" t="str">
        <f>IFERROR(INDEX(GERAL[PONTO],51),"")</f>
        <v/>
      </c>
      <c r="N64" t="str">
        <f>IF(M64="","",IFERROR(INDEX(GERAL[ACUMULADA],51),0))</f>
        <v/>
      </c>
      <c r="O64" t="str">
        <f t="shared" si="26"/>
        <v/>
      </c>
      <c r="P64" t="str">
        <f t="shared" si="27"/>
        <v/>
      </c>
      <c r="Q64" t="str">
        <f t="shared" si="28"/>
        <v/>
      </c>
      <c r="R64" t="str">
        <f>IF(M64="","",IFERROR(INDEX(Tabela7[QT %],MATCH(M64,Tabela7[PONTO],0)),0))</f>
        <v/>
      </c>
      <c r="S64" t="str">
        <f t="shared" si="29"/>
        <v/>
      </c>
      <c r="T64" t="str">
        <f>IF(M64="","",IF($B$9&gt;$B$8,IFERROR((INDEX(GERAL[SNAP],51)-$B$8)/($B$9-$B$8),0),0))</f>
        <v/>
      </c>
      <c r="U64" t="str">
        <f t="shared" si="30"/>
        <v/>
      </c>
      <c r="V64" t="str">
        <f>IFERROR(INDEX(GERAL[LADO],51),"")</f>
        <v/>
      </c>
      <c r="X64">
        <f>IFERROR(INDEX(GERAL[PONTO],31),"")</f>
        <v>0</v>
      </c>
      <c r="Y64" t="str">
        <f>IF(X64="","",IFERROR(INDEX(GERAL[ACUMULADA],31),0))</f>
        <v/>
      </c>
      <c r="Z64" t="str">
        <f t="shared" si="21"/>
        <v/>
      </c>
      <c r="AA64" t="str">
        <f t="shared" si="22"/>
        <v/>
      </c>
      <c r="AB64" t="str">
        <f t="shared" si="23"/>
        <v/>
      </c>
      <c r="AC64">
        <f>IF(X64="","",IFERROR(INDEX(DIR_ATUAL[QT %],MATCH(X64,DIR_ATUAL[PONTO],0)),0))</f>
        <v>0</v>
      </c>
      <c r="AD64" t="str">
        <f t="shared" si="24"/>
        <v/>
      </c>
      <c r="AE64">
        <f ca="1">IF(X64="","",IF($E$9&gt;$E$8,IFERROR((INDEX(GERAL[SNAP],31)-$E$8)/($E$9-$E$8),0),0))</f>
        <v>0</v>
      </c>
      <c r="AF64" t="str">
        <f t="shared" si="25"/>
        <v/>
      </c>
      <c r="AG64">
        <f>IFERROR(INDEX(GERAL[LADO],31),"")</f>
        <v>0</v>
      </c>
    </row>
    <row r="65" spans="13:33" x14ac:dyDescent="0.3">
      <c r="M65" t="str">
        <f>IFERROR(INDEX(GERAL[PONTO],52),"")</f>
        <v/>
      </c>
      <c r="N65" t="str">
        <f>IF(M65="","",IFERROR(INDEX(GERAL[ACUMULADA],52),0))</f>
        <v/>
      </c>
      <c r="O65" t="str">
        <f t="shared" si="26"/>
        <v/>
      </c>
      <c r="P65" t="str">
        <f t="shared" si="27"/>
        <v/>
      </c>
      <c r="Q65" t="str">
        <f t="shared" si="28"/>
        <v/>
      </c>
      <c r="R65" t="str">
        <f>IF(M65="","",IFERROR(INDEX(Tabela7[QT %],MATCH(M65,Tabela7[PONTO],0)),0))</f>
        <v/>
      </c>
      <c r="S65" t="str">
        <f t="shared" si="29"/>
        <v/>
      </c>
      <c r="T65" t="str">
        <f>IF(M65="","",IF($B$9&gt;$B$8,IFERROR((INDEX(GERAL[SNAP],52)-$B$8)/($B$9-$B$8),0),0))</f>
        <v/>
      </c>
      <c r="U65" t="str">
        <f t="shared" si="30"/>
        <v/>
      </c>
      <c r="V65" t="str">
        <f>IFERROR(INDEX(GERAL[LADO],52),"")</f>
        <v/>
      </c>
      <c r="X65">
        <f>IFERROR(INDEX(GERAL[PONTO],32),"")</f>
        <v>0</v>
      </c>
      <c r="Y65" t="str">
        <f>IF(X65="","",IFERROR(INDEX(GERAL[ACUMULADA],32),0))</f>
        <v/>
      </c>
      <c r="Z65" t="str">
        <f t="shared" si="21"/>
        <v/>
      </c>
      <c r="AA65" t="str">
        <f t="shared" si="22"/>
        <v/>
      </c>
      <c r="AB65" t="str">
        <f t="shared" si="23"/>
        <v/>
      </c>
      <c r="AC65">
        <f>IF(X65="","",IFERROR(INDEX(DIR_ATUAL[QT %],MATCH(X65,DIR_ATUAL[PONTO],0)),0))</f>
        <v>0</v>
      </c>
      <c r="AD65" t="str">
        <f t="shared" si="24"/>
        <v/>
      </c>
      <c r="AE65">
        <f ca="1">IF(X65="","",IF($E$9&gt;$E$8,IFERROR((INDEX(GERAL[SNAP],32)-$E$8)/($E$9-$E$8),0),0))</f>
        <v>0</v>
      </c>
      <c r="AF65" t="str">
        <f t="shared" si="25"/>
        <v/>
      </c>
      <c r="AG65">
        <f>IFERROR(INDEX(GERAL[LADO],32),"")</f>
        <v>0</v>
      </c>
    </row>
    <row r="66" spans="13:33" x14ac:dyDescent="0.3">
      <c r="M66" t="str">
        <f>IFERROR(INDEX(GERAL[PONTO],53),"")</f>
        <v/>
      </c>
      <c r="N66" t="str">
        <f>IF(M66="","",IFERROR(INDEX(GERAL[ACUMULADA],53),0))</f>
        <v/>
      </c>
      <c r="O66" t="str">
        <f t="shared" si="26"/>
        <v/>
      </c>
      <c r="P66" t="str">
        <f t="shared" si="27"/>
        <v/>
      </c>
      <c r="Q66" t="str">
        <f t="shared" si="28"/>
        <v/>
      </c>
      <c r="R66" t="str">
        <f>IF(M66="","",IFERROR(INDEX(Tabela7[QT %],MATCH(M66,Tabela7[PONTO],0)),0))</f>
        <v/>
      </c>
      <c r="S66" t="str">
        <f t="shared" si="29"/>
        <v/>
      </c>
      <c r="T66" t="str">
        <f>IF(M66="","",IF($B$9&gt;$B$8,IFERROR((INDEX(GERAL[SNAP],53)-$B$8)/($B$9-$B$8),0),0))</f>
        <v/>
      </c>
      <c r="U66" t="str">
        <f t="shared" si="30"/>
        <v/>
      </c>
      <c r="V66" t="str">
        <f>IFERROR(INDEX(GERAL[LADO],53),"")</f>
        <v/>
      </c>
      <c r="X66">
        <f>IFERROR(INDEX(GERAL[PONTO],33),"")</f>
        <v>0</v>
      </c>
      <c r="Y66" t="str">
        <f>IF(X66="","",IFERROR(INDEX(GERAL[ACUMULADA],33),0))</f>
        <v/>
      </c>
      <c r="Z66" t="str">
        <f t="shared" ref="Z66:Z97" si="31">IF(Y66="","",$B$31-Y66)</f>
        <v/>
      </c>
      <c r="AA66" t="str">
        <f t="shared" ref="AA66:AA97" si="32">IF(Y66="","",IF(Y66*1.15&lt;=30,30,IF(Y66*1.15&lt;=45,45,IF(Y66*1.15&lt;=75,75,IF(Y66*1.15&lt;=112.5,112.5,IF(Y66*1.15&lt;=150,150,IF(Y66*1.15&lt;=225,225,300)))))))</f>
        <v/>
      </c>
      <c r="AB66" t="str">
        <f t="shared" ref="AB66:AB97" si="33">IF(AA66="","",IFERROR(Y66/AA66,0))</f>
        <v/>
      </c>
      <c r="AC66">
        <f>IF(X66="","",IFERROR(INDEX(DIR_ATUAL[QT %],MATCH(X66,DIR_ATUAL[PONTO],0)),0))</f>
        <v>0</v>
      </c>
      <c r="AD66" t="str">
        <f t="shared" ref="AD66:AD97" si="34">IF(Y66="","",IFERROR(1-ABS(Y66-Z66)/$B$31,0))</f>
        <v/>
      </c>
      <c r="AE66">
        <f ca="1">IF(X66="","",IF($E$9&gt;$E$8,IFERROR((INDEX(GERAL[SNAP],33)-$E$8)/($E$9-$E$8),0),0))</f>
        <v>0</v>
      </c>
      <c r="AF66" t="str">
        <f t="shared" ref="AF66:AF97" si="35">IF(OR(X66="",AG66&lt;&gt;"DIREITO"),"",$L$2*IFERROR(Y66/$B$31,0)+$L$3*IF($D$31&gt;0,IFERROR(AC66/$D$31,0),0)+$L$4*IFERROR(AD66,0)-$L$5*IFERROR(AE66,0)-$L$6*MAX(0,IFERROR(AB66,0)-$L$7)+ROW()/1000000)</f>
        <v/>
      </c>
      <c r="AG66">
        <f>IFERROR(INDEX(GERAL[LADO],33),"")</f>
        <v>0</v>
      </c>
    </row>
    <row r="67" spans="13:33" x14ac:dyDescent="0.3">
      <c r="M67" t="str">
        <f>IFERROR(INDEX(GERAL[PONTO],54),"")</f>
        <v/>
      </c>
      <c r="N67" t="str">
        <f>IF(M67="","",IFERROR(INDEX(GERAL[ACUMULADA],54),0))</f>
        <v/>
      </c>
      <c r="O67" t="str">
        <f t="shared" si="26"/>
        <v/>
      </c>
      <c r="P67" t="str">
        <f t="shared" si="27"/>
        <v/>
      </c>
      <c r="Q67" t="str">
        <f t="shared" si="28"/>
        <v/>
      </c>
      <c r="R67" t="str">
        <f>IF(M67="","",IFERROR(INDEX(Tabela7[QT %],MATCH(M67,Tabela7[PONTO],0)),0))</f>
        <v/>
      </c>
      <c r="S67" t="str">
        <f t="shared" si="29"/>
        <v/>
      </c>
      <c r="T67" t="str">
        <f>IF(M67="","",IF($B$9&gt;$B$8,IFERROR((INDEX(GERAL[SNAP],54)-$B$8)/($B$9-$B$8),0),0))</f>
        <v/>
      </c>
      <c r="U67" t="str">
        <f t="shared" si="30"/>
        <v/>
      </c>
      <c r="V67" t="str">
        <f>IFERROR(INDEX(GERAL[LADO],54),"")</f>
        <v/>
      </c>
      <c r="X67">
        <f>IFERROR(INDEX(GERAL[PONTO],34),"")</f>
        <v>0</v>
      </c>
      <c r="Y67" t="str">
        <f>IF(X67="","",IFERROR(INDEX(GERAL[ACUMULADA],34),0))</f>
        <v/>
      </c>
      <c r="Z67" t="str">
        <f t="shared" si="31"/>
        <v/>
      </c>
      <c r="AA67" t="str">
        <f t="shared" si="32"/>
        <v/>
      </c>
      <c r="AB67" t="str">
        <f t="shared" si="33"/>
        <v/>
      </c>
      <c r="AC67">
        <f>IF(X67="","",IFERROR(INDEX(DIR_ATUAL[QT %],MATCH(X67,DIR_ATUAL[PONTO],0)),0))</f>
        <v>0</v>
      </c>
      <c r="AD67" t="str">
        <f t="shared" si="34"/>
        <v/>
      </c>
      <c r="AE67">
        <f ca="1">IF(X67="","",IF($E$9&gt;$E$8,IFERROR((INDEX(GERAL[SNAP],34)-$E$8)/($E$9-$E$8),0),0))</f>
        <v>0</v>
      </c>
      <c r="AF67" t="str">
        <f t="shared" si="35"/>
        <v/>
      </c>
      <c r="AG67">
        <f>IFERROR(INDEX(GERAL[LADO],34),"")</f>
        <v>0</v>
      </c>
    </row>
    <row r="68" spans="13:33" x14ac:dyDescent="0.3">
      <c r="M68" t="str">
        <f>IFERROR(INDEX(GERAL[PONTO],55),"")</f>
        <v/>
      </c>
      <c r="N68" t="str">
        <f>IF(M68="","",IFERROR(INDEX(GERAL[ACUMULADA],55),0))</f>
        <v/>
      </c>
      <c r="O68" t="str">
        <f t="shared" si="26"/>
        <v/>
      </c>
      <c r="P68" t="str">
        <f t="shared" si="27"/>
        <v/>
      </c>
      <c r="Q68" t="str">
        <f t="shared" si="28"/>
        <v/>
      </c>
      <c r="R68" t="str">
        <f>IF(M68="","",IFERROR(INDEX(Tabela7[QT %],MATCH(M68,Tabela7[PONTO],0)),0))</f>
        <v/>
      </c>
      <c r="S68" t="str">
        <f t="shared" si="29"/>
        <v/>
      </c>
      <c r="T68" t="str">
        <f>IF(M68="","",IF($B$9&gt;$B$8,IFERROR((INDEX(GERAL[SNAP],55)-$B$8)/($B$9-$B$8),0),0))</f>
        <v/>
      </c>
      <c r="U68" t="str">
        <f t="shared" si="30"/>
        <v/>
      </c>
      <c r="V68" t="str">
        <f>IFERROR(INDEX(GERAL[LADO],55),"")</f>
        <v/>
      </c>
      <c r="X68">
        <f>IFERROR(INDEX(GERAL[PONTO],35),"")</f>
        <v>0</v>
      </c>
      <c r="Y68" t="str">
        <f>IF(X68="","",IFERROR(INDEX(GERAL[ACUMULADA],35),0))</f>
        <v/>
      </c>
      <c r="Z68" t="str">
        <f t="shared" si="31"/>
        <v/>
      </c>
      <c r="AA68" t="str">
        <f t="shared" si="32"/>
        <v/>
      </c>
      <c r="AB68" t="str">
        <f t="shared" si="33"/>
        <v/>
      </c>
      <c r="AC68">
        <f>IF(X68="","",IFERROR(INDEX(DIR_ATUAL[QT %],MATCH(X68,DIR_ATUAL[PONTO],0)),0))</f>
        <v>0</v>
      </c>
      <c r="AD68" t="str">
        <f t="shared" si="34"/>
        <v/>
      </c>
      <c r="AE68">
        <f ca="1">IF(X68="","",IF($E$9&gt;$E$8,IFERROR((INDEX(GERAL[SNAP],35)-$E$8)/($E$9-$E$8),0),0))</f>
        <v>0</v>
      </c>
      <c r="AF68" t="str">
        <f t="shared" si="35"/>
        <v/>
      </c>
      <c r="AG68">
        <f>IFERROR(INDEX(GERAL[LADO],35),"")</f>
        <v>0</v>
      </c>
    </row>
    <row r="69" spans="13:33" x14ac:dyDescent="0.3">
      <c r="M69" t="str">
        <f>IFERROR(INDEX(GERAL[PONTO],56),"")</f>
        <v/>
      </c>
      <c r="N69" t="str">
        <f>IF(M69="","",IFERROR(INDEX(GERAL[ACUMULADA],56),0))</f>
        <v/>
      </c>
      <c r="O69" t="str">
        <f t="shared" si="26"/>
        <v/>
      </c>
      <c r="P69" t="str">
        <f t="shared" si="27"/>
        <v/>
      </c>
      <c r="Q69" t="str">
        <f t="shared" si="28"/>
        <v/>
      </c>
      <c r="R69" t="str">
        <f>IF(M69="","",IFERROR(INDEX(Tabela7[QT %],MATCH(M69,Tabela7[PONTO],0)),0))</f>
        <v/>
      </c>
      <c r="S69" t="str">
        <f t="shared" si="29"/>
        <v/>
      </c>
      <c r="T69" t="str">
        <f>IF(M69="","",IF($B$9&gt;$B$8,IFERROR((INDEX(GERAL[SNAP],56)-$B$8)/($B$9-$B$8),0),0))</f>
        <v/>
      </c>
      <c r="U69" t="str">
        <f t="shared" si="30"/>
        <v/>
      </c>
      <c r="V69" t="str">
        <f>IFERROR(INDEX(GERAL[LADO],56),"")</f>
        <v/>
      </c>
      <c r="X69">
        <f>IFERROR(INDEX(GERAL[PONTO],36),"")</f>
        <v>0</v>
      </c>
      <c r="Y69" t="str">
        <f>IF(X69="","",IFERROR(INDEX(GERAL[ACUMULADA],36),0))</f>
        <v/>
      </c>
      <c r="Z69" t="str">
        <f t="shared" si="31"/>
        <v/>
      </c>
      <c r="AA69" t="str">
        <f t="shared" si="32"/>
        <v/>
      </c>
      <c r="AB69" t="str">
        <f t="shared" si="33"/>
        <v/>
      </c>
      <c r="AC69">
        <f>IF(X69="","",IFERROR(INDEX(DIR_ATUAL[QT %],MATCH(X69,DIR_ATUAL[PONTO],0)),0))</f>
        <v>0</v>
      </c>
      <c r="AD69" t="str">
        <f t="shared" si="34"/>
        <v/>
      </c>
      <c r="AE69">
        <f ca="1">IF(X69="","",IF($E$9&gt;$E$8,IFERROR((INDEX(GERAL[SNAP],36)-$E$8)/($E$9-$E$8),0),0))</f>
        <v>0</v>
      </c>
      <c r="AF69" t="str">
        <f t="shared" si="35"/>
        <v/>
      </c>
      <c r="AG69">
        <f>IFERROR(INDEX(GERAL[LADO],36),"")</f>
        <v>0</v>
      </c>
    </row>
    <row r="70" spans="13:33" x14ac:dyDescent="0.3">
      <c r="M70" t="str">
        <f>IFERROR(INDEX(GERAL[PONTO],57),"")</f>
        <v/>
      </c>
      <c r="N70" t="str">
        <f>IF(M70="","",IFERROR(INDEX(GERAL[ACUMULADA],57),0))</f>
        <v/>
      </c>
      <c r="O70" t="str">
        <f t="shared" si="26"/>
        <v/>
      </c>
      <c r="P70" t="str">
        <f t="shared" si="27"/>
        <v/>
      </c>
      <c r="Q70" t="str">
        <f t="shared" si="28"/>
        <v/>
      </c>
      <c r="R70" t="str">
        <f>IF(M70="","",IFERROR(INDEX(Tabela7[QT %],MATCH(M70,Tabela7[PONTO],0)),0))</f>
        <v/>
      </c>
      <c r="S70" t="str">
        <f t="shared" si="29"/>
        <v/>
      </c>
      <c r="T70" t="str">
        <f>IF(M70="","",IF($B$9&gt;$B$8,IFERROR((INDEX(GERAL[SNAP],57)-$B$8)/($B$9-$B$8),0),0))</f>
        <v/>
      </c>
      <c r="U70" t="str">
        <f t="shared" si="30"/>
        <v/>
      </c>
      <c r="V70" t="str">
        <f>IFERROR(INDEX(GERAL[LADO],57),"")</f>
        <v/>
      </c>
      <c r="X70">
        <f>IFERROR(INDEX(GERAL[PONTO],37),"")</f>
        <v>0</v>
      </c>
      <c r="Y70" t="str">
        <f>IF(X70="","",IFERROR(INDEX(GERAL[ACUMULADA],37),0))</f>
        <v/>
      </c>
      <c r="Z70" t="str">
        <f t="shared" si="31"/>
        <v/>
      </c>
      <c r="AA70" t="str">
        <f t="shared" si="32"/>
        <v/>
      </c>
      <c r="AB70" t="str">
        <f t="shared" si="33"/>
        <v/>
      </c>
      <c r="AC70">
        <f>IF(X70="","",IFERROR(INDEX(DIR_ATUAL[QT %],MATCH(X70,DIR_ATUAL[PONTO],0)),0))</f>
        <v>0</v>
      </c>
      <c r="AD70" t="str">
        <f t="shared" si="34"/>
        <v/>
      </c>
      <c r="AE70">
        <f ca="1">IF(X70="","",IF($E$9&gt;$E$8,IFERROR((INDEX(GERAL[SNAP],37)-$E$8)/($E$9-$E$8),0),0))</f>
        <v>0</v>
      </c>
      <c r="AF70" t="str">
        <f t="shared" si="35"/>
        <v/>
      </c>
      <c r="AG70">
        <f>IFERROR(INDEX(GERAL[LADO],37),"")</f>
        <v>0</v>
      </c>
    </row>
    <row r="71" spans="13:33" x14ac:dyDescent="0.3">
      <c r="M71" t="str">
        <f>IFERROR(INDEX(GERAL[PONTO],58),"")</f>
        <v/>
      </c>
      <c r="N71" t="str">
        <f>IF(M71="","",IFERROR(INDEX(GERAL[ACUMULADA],58),0))</f>
        <v/>
      </c>
      <c r="O71" t="str">
        <f t="shared" si="26"/>
        <v/>
      </c>
      <c r="P71" t="str">
        <f t="shared" si="27"/>
        <v/>
      </c>
      <c r="Q71" t="str">
        <f t="shared" si="28"/>
        <v/>
      </c>
      <c r="R71" t="str">
        <f>IF(M71="","",IFERROR(INDEX(Tabela7[QT %],MATCH(M71,Tabela7[PONTO],0)),0))</f>
        <v/>
      </c>
      <c r="S71" t="str">
        <f t="shared" si="29"/>
        <v/>
      </c>
      <c r="T71" t="str">
        <f>IF(M71="","",IF($B$9&gt;$B$8,IFERROR((INDEX(GERAL[SNAP],58)-$B$8)/($B$9-$B$8),0),0))</f>
        <v/>
      </c>
      <c r="U71" t="str">
        <f t="shared" si="30"/>
        <v/>
      </c>
      <c r="V71" t="str">
        <f>IFERROR(INDEX(GERAL[LADO],58),"")</f>
        <v/>
      </c>
      <c r="X71">
        <f>IFERROR(INDEX(GERAL[PONTO],38),"")</f>
        <v>0</v>
      </c>
      <c r="Y71" t="str">
        <f>IF(X71="","",IFERROR(INDEX(GERAL[ACUMULADA],38),0))</f>
        <v/>
      </c>
      <c r="Z71" t="str">
        <f t="shared" si="31"/>
        <v/>
      </c>
      <c r="AA71" t="str">
        <f t="shared" si="32"/>
        <v/>
      </c>
      <c r="AB71" t="str">
        <f t="shared" si="33"/>
        <v/>
      </c>
      <c r="AC71">
        <f>IF(X71="","",IFERROR(INDEX(DIR_ATUAL[QT %],MATCH(X71,DIR_ATUAL[PONTO],0)),0))</f>
        <v>0</v>
      </c>
      <c r="AD71" t="str">
        <f t="shared" si="34"/>
        <v/>
      </c>
      <c r="AE71">
        <f ca="1">IF(X71="","",IF($E$9&gt;$E$8,IFERROR((INDEX(GERAL[SNAP],38)-$E$8)/($E$9-$E$8),0),0))</f>
        <v>0</v>
      </c>
      <c r="AF71" t="str">
        <f t="shared" si="35"/>
        <v/>
      </c>
      <c r="AG71">
        <f>IFERROR(INDEX(GERAL[LADO],38),"")</f>
        <v>0</v>
      </c>
    </row>
    <row r="72" spans="13:33" x14ac:dyDescent="0.3">
      <c r="M72" t="str">
        <f>IFERROR(INDEX(GERAL[PONTO],59),"")</f>
        <v/>
      </c>
      <c r="N72" t="str">
        <f>IF(M72="","",IFERROR(INDEX(GERAL[ACUMULADA],59),0))</f>
        <v/>
      </c>
      <c r="O72" t="str">
        <f t="shared" si="26"/>
        <v/>
      </c>
      <c r="P72" t="str">
        <f t="shared" si="27"/>
        <v/>
      </c>
      <c r="Q72" t="str">
        <f t="shared" si="28"/>
        <v/>
      </c>
      <c r="R72" t="str">
        <f>IF(M72="","",IFERROR(INDEX(Tabela7[QT %],MATCH(M72,Tabela7[PONTO],0)),0))</f>
        <v/>
      </c>
      <c r="S72" t="str">
        <f t="shared" si="29"/>
        <v/>
      </c>
      <c r="T72" t="str">
        <f>IF(M72="","",IF($B$9&gt;$B$8,IFERROR((INDEX(GERAL[SNAP],59)-$B$8)/($B$9-$B$8),0),0))</f>
        <v/>
      </c>
      <c r="U72" t="str">
        <f t="shared" si="30"/>
        <v/>
      </c>
      <c r="V72" t="str">
        <f>IFERROR(INDEX(GERAL[LADO],59),"")</f>
        <v/>
      </c>
      <c r="X72">
        <f>IFERROR(INDEX(GERAL[PONTO],39),"")</f>
        <v>0</v>
      </c>
      <c r="Y72" t="str">
        <f>IF(X72="","",IFERROR(INDEX(GERAL[ACUMULADA],39),0))</f>
        <v/>
      </c>
      <c r="Z72" t="str">
        <f t="shared" si="31"/>
        <v/>
      </c>
      <c r="AA72" t="str">
        <f t="shared" si="32"/>
        <v/>
      </c>
      <c r="AB72" t="str">
        <f t="shared" si="33"/>
        <v/>
      </c>
      <c r="AC72">
        <f>IF(X72="","",IFERROR(INDEX(DIR_ATUAL[QT %],MATCH(X72,DIR_ATUAL[PONTO],0)),0))</f>
        <v>0</v>
      </c>
      <c r="AD72" t="str">
        <f t="shared" si="34"/>
        <v/>
      </c>
      <c r="AE72">
        <f ca="1">IF(X72="","",IF($E$9&gt;$E$8,IFERROR((INDEX(GERAL[SNAP],39)-$E$8)/($E$9-$E$8),0),0))</f>
        <v>0</v>
      </c>
      <c r="AF72" t="str">
        <f t="shared" si="35"/>
        <v/>
      </c>
      <c r="AG72">
        <f>IFERROR(INDEX(GERAL[LADO],39),"")</f>
        <v>0</v>
      </c>
    </row>
    <row r="73" spans="13:33" x14ac:dyDescent="0.3">
      <c r="M73" t="str">
        <f>IFERROR(INDEX(GERAL[PONTO],60),"")</f>
        <v/>
      </c>
      <c r="N73" t="str">
        <f>IF(M73="","",IFERROR(INDEX(GERAL[ACUMULADA],60),0))</f>
        <v/>
      </c>
      <c r="O73" t="str">
        <f t="shared" si="26"/>
        <v/>
      </c>
      <c r="P73" t="str">
        <f t="shared" si="27"/>
        <v/>
      </c>
      <c r="Q73" t="str">
        <f t="shared" si="28"/>
        <v/>
      </c>
      <c r="R73" t="str">
        <f>IF(M73="","",IFERROR(INDEX(Tabela7[QT %],MATCH(M73,Tabela7[PONTO],0)),0))</f>
        <v/>
      </c>
      <c r="S73" t="str">
        <f t="shared" si="29"/>
        <v/>
      </c>
      <c r="T73" t="str">
        <f>IF(M73="","",IF($B$9&gt;$B$8,IFERROR((INDEX(GERAL[SNAP],60)-$B$8)/($B$9-$B$8),0),0))</f>
        <v/>
      </c>
      <c r="U73" t="str">
        <f t="shared" si="30"/>
        <v/>
      </c>
      <c r="V73" t="str">
        <f>IFERROR(INDEX(GERAL[LADO],60),"")</f>
        <v/>
      </c>
      <c r="X73">
        <f>IFERROR(INDEX(GERAL[PONTO],40),"")</f>
        <v>0</v>
      </c>
      <c r="Y73" t="str">
        <f>IF(X73="","",IFERROR(INDEX(GERAL[ACUMULADA],40),0))</f>
        <v/>
      </c>
      <c r="Z73" t="str">
        <f t="shared" si="31"/>
        <v/>
      </c>
      <c r="AA73" t="str">
        <f t="shared" si="32"/>
        <v/>
      </c>
      <c r="AB73" t="str">
        <f t="shared" si="33"/>
        <v/>
      </c>
      <c r="AC73">
        <f>IF(X73="","",IFERROR(INDEX(DIR_ATUAL[QT %],MATCH(X73,DIR_ATUAL[PONTO],0)),0))</f>
        <v>0</v>
      </c>
      <c r="AD73" t="str">
        <f t="shared" si="34"/>
        <v/>
      </c>
      <c r="AE73">
        <f ca="1">IF(X73="","",IF($E$9&gt;$E$8,IFERROR((INDEX(GERAL[SNAP],40)-$E$8)/($E$9-$E$8),0),0))</f>
        <v>0</v>
      </c>
      <c r="AF73" t="str">
        <f t="shared" si="35"/>
        <v/>
      </c>
      <c r="AG73">
        <f>IFERROR(INDEX(GERAL[LADO],40),"")</f>
        <v>0</v>
      </c>
    </row>
    <row r="74" spans="13:33" x14ac:dyDescent="0.3">
      <c r="M74" t="str">
        <f>IFERROR(INDEX(GERAL[PONTO],61),"")</f>
        <v/>
      </c>
      <c r="N74" t="str">
        <f>IF(M74="","",IFERROR(INDEX(GERAL[ACUMULADA],61),0))</f>
        <v/>
      </c>
      <c r="O74" t="str">
        <f t="shared" si="26"/>
        <v/>
      </c>
      <c r="P74" t="str">
        <f t="shared" si="27"/>
        <v/>
      </c>
      <c r="Q74" t="str">
        <f t="shared" si="28"/>
        <v/>
      </c>
      <c r="R74" t="str">
        <f>IF(M74="","",IFERROR(INDEX(Tabela7[QT %],MATCH(M74,Tabela7[PONTO],0)),0))</f>
        <v/>
      </c>
      <c r="S74" t="str">
        <f t="shared" si="29"/>
        <v/>
      </c>
      <c r="T74" t="str">
        <f>IF(M74="","",IF($B$9&gt;$B$8,IFERROR((INDEX(GERAL[SNAP],61)-$B$8)/($B$9-$B$8),0),0))</f>
        <v/>
      </c>
      <c r="U74" t="str">
        <f t="shared" si="30"/>
        <v/>
      </c>
      <c r="V74" t="str">
        <f>IFERROR(INDEX(GERAL[LADO],61),"")</f>
        <v/>
      </c>
      <c r="X74">
        <f>IFERROR(INDEX(GERAL[PONTO],41),"")</f>
        <v>0</v>
      </c>
      <c r="Y74" t="str">
        <f>IF(X74="","",IFERROR(INDEX(GERAL[ACUMULADA],41),0))</f>
        <v/>
      </c>
      <c r="Z74" t="str">
        <f t="shared" si="31"/>
        <v/>
      </c>
      <c r="AA74" t="str">
        <f t="shared" si="32"/>
        <v/>
      </c>
      <c r="AB74" t="str">
        <f t="shared" si="33"/>
        <v/>
      </c>
      <c r="AC74">
        <f>IF(X74="","",IFERROR(INDEX(DIR_ATUAL[QT %],MATCH(X74,DIR_ATUAL[PONTO],0)),0))</f>
        <v>0</v>
      </c>
      <c r="AD74" t="str">
        <f t="shared" si="34"/>
        <v/>
      </c>
      <c r="AE74">
        <f ca="1">IF(X74="","",IF($E$9&gt;$E$8,IFERROR((INDEX(GERAL[SNAP],41)-$E$8)/($E$9-$E$8),0),0))</f>
        <v>0</v>
      </c>
      <c r="AF74" t="str">
        <f t="shared" si="35"/>
        <v/>
      </c>
      <c r="AG74">
        <f>IFERROR(INDEX(GERAL[LADO],41),"")</f>
        <v>0</v>
      </c>
    </row>
    <row r="75" spans="13:33" x14ac:dyDescent="0.3">
      <c r="M75" t="str">
        <f>IFERROR(INDEX(GERAL[PONTO],62),"")</f>
        <v/>
      </c>
      <c r="N75" t="str">
        <f>IF(M75="","",IFERROR(INDEX(GERAL[ACUMULADA],62),0))</f>
        <v/>
      </c>
      <c r="O75" t="str">
        <f t="shared" si="26"/>
        <v/>
      </c>
      <c r="P75" t="str">
        <f t="shared" si="27"/>
        <v/>
      </c>
      <c r="Q75" t="str">
        <f t="shared" si="28"/>
        <v/>
      </c>
      <c r="R75" t="str">
        <f>IF(M75="","",IFERROR(INDEX(Tabela7[QT %],MATCH(M75,Tabela7[PONTO],0)),0))</f>
        <v/>
      </c>
      <c r="S75" t="str">
        <f t="shared" si="29"/>
        <v/>
      </c>
      <c r="T75" t="str">
        <f>IF(M75="","",IF($B$9&gt;$B$8,IFERROR((INDEX(GERAL[SNAP],62)-$B$8)/($B$9-$B$8),0),0))</f>
        <v/>
      </c>
      <c r="U75" t="str">
        <f t="shared" si="30"/>
        <v/>
      </c>
      <c r="V75" t="str">
        <f>IFERROR(INDEX(GERAL[LADO],62),"")</f>
        <v/>
      </c>
      <c r="X75">
        <f>IFERROR(INDEX(GERAL[PONTO],42),"")</f>
        <v>0</v>
      </c>
      <c r="Y75" t="str">
        <f>IF(X75="","",IFERROR(INDEX(GERAL[ACUMULADA],42),0))</f>
        <v/>
      </c>
      <c r="Z75" t="str">
        <f t="shared" si="31"/>
        <v/>
      </c>
      <c r="AA75" t="str">
        <f t="shared" si="32"/>
        <v/>
      </c>
      <c r="AB75" t="str">
        <f t="shared" si="33"/>
        <v/>
      </c>
      <c r="AC75">
        <f>IF(X75="","",IFERROR(INDEX(DIR_ATUAL[QT %],MATCH(X75,DIR_ATUAL[PONTO],0)),0))</f>
        <v>0</v>
      </c>
      <c r="AD75" t="str">
        <f t="shared" si="34"/>
        <v/>
      </c>
      <c r="AE75">
        <f ca="1">IF(X75="","",IF($E$9&gt;$E$8,IFERROR((INDEX(GERAL[SNAP],42)-$E$8)/($E$9-$E$8),0),0))</f>
        <v>0</v>
      </c>
      <c r="AF75" t="str">
        <f t="shared" si="35"/>
        <v/>
      </c>
      <c r="AG75">
        <f>IFERROR(INDEX(GERAL[LADO],42),"")</f>
        <v>0</v>
      </c>
    </row>
    <row r="76" spans="13:33" x14ac:dyDescent="0.3">
      <c r="M76" t="str">
        <f>IFERROR(INDEX(GERAL[PONTO],63),"")</f>
        <v/>
      </c>
      <c r="N76" t="str">
        <f>IF(M76="","",IFERROR(INDEX(GERAL[ACUMULADA],63),0))</f>
        <v/>
      </c>
      <c r="O76" t="str">
        <f t="shared" si="26"/>
        <v/>
      </c>
      <c r="P76" t="str">
        <f t="shared" si="27"/>
        <v/>
      </c>
      <c r="Q76" t="str">
        <f t="shared" si="28"/>
        <v/>
      </c>
      <c r="R76" t="str">
        <f>IF(M76="","",IFERROR(INDEX(Tabela7[QT %],MATCH(M76,Tabela7[PONTO],0)),0))</f>
        <v/>
      </c>
      <c r="S76" t="str">
        <f t="shared" si="29"/>
        <v/>
      </c>
      <c r="T76" t="str">
        <f>IF(M76="","",IF($B$9&gt;$B$8,IFERROR((INDEX(GERAL[SNAP],63)-$B$8)/($B$9-$B$8),0),0))</f>
        <v/>
      </c>
      <c r="U76" t="str">
        <f t="shared" si="30"/>
        <v/>
      </c>
      <c r="V76" t="str">
        <f>IFERROR(INDEX(GERAL[LADO],63),"")</f>
        <v/>
      </c>
      <c r="X76">
        <f>IFERROR(INDEX(GERAL[PONTO],43),"")</f>
        <v>0</v>
      </c>
      <c r="Y76" t="str">
        <f>IF(X76="","",IFERROR(INDEX(GERAL[ACUMULADA],43),0))</f>
        <v/>
      </c>
      <c r="Z76" t="str">
        <f t="shared" si="31"/>
        <v/>
      </c>
      <c r="AA76" t="str">
        <f t="shared" si="32"/>
        <v/>
      </c>
      <c r="AB76" t="str">
        <f t="shared" si="33"/>
        <v/>
      </c>
      <c r="AC76">
        <f>IF(X76="","",IFERROR(INDEX(DIR_ATUAL[QT %],MATCH(X76,DIR_ATUAL[PONTO],0)),0))</f>
        <v>0</v>
      </c>
      <c r="AD76" t="str">
        <f t="shared" si="34"/>
        <v/>
      </c>
      <c r="AE76">
        <f ca="1">IF(X76="","",IF($E$9&gt;$E$8,IFERROR((INDEX(GERAL[SNAP],43)-$E$8)/($E$9-$E$8),0),0))</f>
        <v>0</v>
      </c>
      <c r="AF76" t="str">
        <f t="shared" si="35"/>
        <v/>
      </c>
      <c r="AG76">
        <f>IFERROR(INDEX(GERAL[LADO],43),"")</f>
        <v>0</v>
      </c>
    </row>
    <row r="77" spans="13:33" x14ac:dyDescent="0.3">
      <c r="M77" t="str">
        <f>IFERROR(INDEX(GERAL[PONTO],64),"")</f>
        <v/>
      </c>
      <c r="N77" t="str">
        <f>IF(M77="","",IFERROR(INDEX(GERAL[ACUMULADA],64),0))</f>
        <v/>
      </c>
      <c r="O77" t="str">
        <f t="shared" si="26"/>
        <v/>
      </c>
      <c r="P77" t="str">
        <f t="shared" si="27"/>
        <v/>
      </c>
      <c r="Q77" t="str">
        <f t="shared" si="28"/>
        <v/>
      </c>
      <c r="R77" t="str">
        <f>IF(M77="","",IFERROR(INDEX(Tabela7[QT %],MATCH(M77,Tabela7[PONTO],0)),0))</f>
        <v/>
      </c>
      <c r="S77" t="str">
        <f t="shared" si="29"/>
        <v/>
      </c>
      <c r="T77" t="str">
        <f>IF(M77="","",IF($B$9&gt;$B$8,IFERROR((INDEX(GERAL[SNAP],64)-$B$8)/($B$9-$B$8),0),0))</f>
        <v/>
      </c>
      <c r="U77" t="str">
        <f t="shared" si="30"/>
        <v/>
      </c>
      <c r="V77" t="str">
        <f>IFERROR(INDEX(GERAL[LADO],64),"")</f>
        <v/>
      </c>
      <c r="X77" t="str">
        <f>IFERROR(INDEX(GERAL[PONTO],44),"")</f>
        <v/>
      </c>
      <c r="Y77" t="str">
        <f>IF(X77="","",IFERROR(INDEX(GERAL[ACUMULADA],44),0))</f>
        <v/>
      </c>
      <c r="Z77" t="str">
        <f t="shared" si="31"/>
        <v/>
      </c>
      <c r="AA77" t="str">
        <f t="shared" si="32"/>
        <v/>
      </c>
      <c r="AB77" t="str">
        <f t="shared" si="33"/>
        <v/>
      </c>
      <c r="AC77" t="str">
        <f>IF(X77="","",IFERROR(INDEX(DIR_ATUAL[QT %],MATCH(X77,DIR_ATUAL[PONTO],0)),0))</f>
        <v/>
      </c>
      <c r="AD77" t="str">
        <f t="shared" si="34"/>
        <v/>
      </c>
      <c r="AE77" t="str">
        <f>IF(X77="","",IF($E$9&gt;$E$8,IFERROR((INDEX(GERAL[SNAP],44)-$E$8)/($E$9-$E$8),0),0))</f>
        <v/>
      </c>
      <c r="AF77" t="str">
        <f t="shared" si="35"/>
        <v/>
      </c>
      <c r="AG77" t="str">
        <f>IFERROR(INDEX(GERAL[LADO],44),"")</f>
        <v/>
      </c>
    </row>
    <row r="78" spans="13:33" x14ac:dyDescent="0.3">
      <c r="M78" t="str">
        <f>IFERROR(INDEX(GERAL[PONTO],65),"")</f>
        <v/>
      </c>
      <c r="N78" t="str">
        <f>IF(M78="","",IFERROR(INDEX(GERAL[ACUMULADA],65),0))</f>
        <v/>
      </c>
      <c r="O78" t="str">
        <f t="shared" ref="O78:O109" si="36">IF(N78="","",$B$11-N78)</f>
        <v/>
      </c>
      <c r="P78" t="str">
        <f t="shared" ref="P78:P109" si="37">IF(N78="","",IF(N78*1.15&lt;=30,30,IF(N78*1.15&lt;=45,45,IF(N78*1.15&lt;=75,75,IF(N78*1.15&lt;=112.5,112.5,IF(N78*1.15&lt;=150,150,IF(N78*1.15&lt;=225,225,300)))))))</f>
        <v/>
      </c>
      <c r="Q78" t="str">
        <f t="shared" ref="Q78:Q109" si="38">IF(P78="","",IFERROR(N78/P78,0))</f>
        <v/>
      </c>
      <c r="R78" t="str">
        <f>IF(M78="","",IFERROR(INDEX(Tabela7[QT %],MATCH(M78,Tabela7[PONTO],0)),0))</f>
        <v/>
      </c>
      <c r="S78" t="str">
        <f t="shared" ref="S78:S109" si="39">IF(N78="","",IFERROR(1-ABS(N78-O78)/$B$11,0))</f>
        <v/>
      </c>
      <c r="T78" t="str">
        <f>IF(M78="","",IF($B$9&gt;$B$8,IFERROR((INDEX(GERAL[SNAP],65)-$B$8)/($B$9-$B$8),0),0))</f>
        <v/>
      </c>
      <c r="U78" t="str">
        <f t="shared" ref="U78:U109" si="40">IF(OR(M78="",V78&lt;&gt;"ESQUERDO"),"",$L$2*IFERROR(N78/$B$11,0)+$L$3*IF($D$11&gt;0,IFERROR(R78/$D$11,0),0)+$L$4*IFERROR(S78,0)-$L$5*IFERROR(T78,0)-$L$6*MAX(0,IFERROR(Q78,0)-$L$7)+ROW()/1000000)</f>
        <v/>
      </c>
      <c r="V78" t="str">
        <f>IFERROR(INDEX(GERAL[LADO],65),"")</f>
        <v/>
      </c>
      <c r="X78" t="str">
        <f>IFERROR(INDEX(GERAL[PONTO],45),"")</f>
        <v/>
      </c>
      <c r="Y78" t="str">
        <f>IF(X78="","",IFERROR(INDEX(GERAL[ACUMULADA],45),0))</f>
        <v/>
      </c>
      <c r="Z78" t="str">
        <f t="shared" si="31"/>
        <v/>
      </c>
      <c r="AA78" t="str">
        <f t="shared" si="32"/>
        <v/>
      </c>
      <c r="AB78" t="str">
        <f t="shared" si="33"/>
        <v/>
      </c>
      <c r="AC78" t="str">
        <f>IF(X78="","",IFERROR(INDEX(DIR_ATUAL[QT %],MATCH(X78,DIR_ATUAL[PONTO],0)),0))</f>
        <v/>
      </c>
      <c r="AD78" t="str">
        <f t="shared" si="34"/>
        <v/>
      </c>
      <c r="AE78" t="str">
        <f>IF(X78="","",IF($E$9&gt;$E$8,IFERROR((INDEX(GERAL[SNAP],45)-$E$8)/($E$9-$E$8),0),0))</f>
        <v/>
      </c>
      <c r="AF78" t="str">
        <f t="shared" si="35"/>
        <v/>
      </c>
      <c r="AG78" t="str">
        <f>IFERROR(INDEX(GERAL[LADO],45),"")</f>
        <v/>
      </c>
    </row>
    <row r="79" spans="13:33" x14ac:dyDescent="0.3">
      <c r="M79" t="str">
        <f>IFERROR(INDEX(GERAL[PONTO],66),"")</f>
        <v/>
      </c>
      <c r="N79" t="str">
        <f>IF(M79="","",IFERROR(INDEX(GERAL[ACUMULADA],66),0))</f>
        <v/>
      </c>
      <c r="O79" t="str">
        <f t="shared" si="36"/>
        <v/>
      </c>
      <c r="P79" t="str">
        <f t="shared" si="37"/>
        <v/>
      </c>
      <c r="Q79" t="str">
        <f t="shared" si="38"/>
        <v/>
      </c>
      <c r="R79" t="str">
        <f>IF(M79="","",IFERROR(INDEX(Tabela7[QT %],MATCH(M79,Tabela7[PONTO],0)),0))</f>
        <v/>
      </c>
      <c r="S79" t="str">
        <f t="shared" si="39"/>
        <v/>
      </c>
      <c r="T79" t="str">
        <f>IF(M79="","",IF($B$9&gt;$B$8,IFERROR((INDEX(GERAL[SNAP],66)-$B$8)/($B$9-$B$8),0),0))</f>
        <v/>
      </c>
      <c r="U79" t="str">
        <f t="shared" si="40"/>
        <v/>
      </c>
      <c r="V79" t="str">
        <f>IFERROR(INDEX(GERAL[LADO],66),"")</f>
        <v/>
      </c>
      <c r="X79" t="str">
        <f>IFERROR(INDEX(GERAL[PONTO],46),"")</f>
        <v/>
      </c>
      <c r="Y79" t="str">
        <f>IF(X79="","",IFERROR(INDEX(GERAL[ACUMULADA],46),0))</f>
        <v/>
      </c>
      <c r="Z79" t="str">
        <f t="shared" si="31"/>
        <v/>
      </c>
      <c r="AA79" t="str">
        <f t="shared" si="32"/>
        <v/>
      </c>
      <c r="AB79" t="str">
        <f t="shared" si="33"/>
        <v/>
      </c>
      <c r="AC79" t="str">
        <f>IF(X79="","",IFERROR(INDEX(DIR_ATUAL[QT %],MATCH(X79,DIR_ATUAL[PONTO],0)),0))</f>
        <v/>
      </c>
      <c r="AD79" t="str">
        <f t="shared" si="34"/>
        <v/>
      </c>
      <c r="AE79" t="str">
        <f>IF(X79="","",IF($E$9&gt;$E$8,IFERROR((INDEX(GERAL[SNAP],46)-$E$8)/($E$9-$E$8),0),0))</f>
        <v/>
      </c>
      <c r="AF79" t="str">
        <f t="shared" si="35"/>
        <v/>
      </c>
      <c r="AG79" t="str">
        <f>IFERROR(INDEX(GERAL[LADO],46),"")</f>
        <v/>
      </c>
    </row>
    <row r="80" spans="13:33" x14ac:dyDescent="0.3">
      <c r="M80" t="str">
        <f>IFERROR(INDEX(GERAL[PONTO],67),"")</f>
        <v/>
      </c>
      <c r="N80" t="str">
        <f>IF(M80="","",IFERROR(INDEX(GERAL[ACUMULADA],67),0))</f>
        <v/>
      </c>
      <c r="O80" t="str">
        <f t="shared" si="36"/>
        <v/>
      </c>
      <c r="P80" t="str">
        <f t="shared" si="37"/>
        <v/>
      </c>
      <c r="Q80" t="str">
        <f t="shared" si="38"/>
        <v/>
      </c>
      <c r="R80" t="str">
        <f>IF(M80="","",IFERROR(INDEX(Tabela7[QT %],MATCH(M80,Tabela7[PONTO],0)),0))</f>
        <v/>
      </c>
      <c r="S80" t="str">
        <f t="shared" si="39"/>
        <v/>
      </c>
      <c r="T80" t="str">
        <f>IF(M80="","",IF($B$9&gt;$B$8,IFERROR((INDEX(GERAL[SNAP],67)-$B$8)/($B$9-$B$8),0),0))</f>
        <v/>
      </c>
      <c r="U80" t="str">
        <f t="shared" si="40"/>
        <v/>
      </c>
      <c r="V80" t="str">
        <f>IFERROR(INDEX(GERAL[LADO],67),"")</f>
        <v/>
      </c>
      <c r="X80" t="str">
        <f>IFERROR(INDEX(GERAL[PONTO],47),"")</f>
        <v/>
      </c>
      <c r="Y80" t="str">
        <f>IF(X80="","",IFERROR(INDEX(GERAL[ACUMULADA],47),0))</f>
        <v/>
      </c>
      <c r="Z80" t="str">
        <f t="shared" si="31"/>
        <v/>
      </c>
      <c r="AA80" t="str">
        <f t="shared" si="32"/>
        <v/>
      </c>
      <c r="AB80" t="str">
        <f t="shared" si="33"/>
        <v/>
      </c>
      <c r="AC80" t="str">
        <f>IF(X80="","",IFERROR(INDEX(DIR_ATUAL[QT %],MATCH(X80,DIR_ATUAL[PONTO],0)),0))</f>
        <v/>
      </c>
      <c r="AD80" t="str">
        <f t="shared" si="34"/>
        <v/>
      </c>
      <c r="AE80" t="str">
        <f>IF(X80="","",IF($E$9&gt;$E$8,IFERROR((INDEX(GERAL[SNAP],47)-$E$8)/($E$9-$E$8),0),0))</f>
        <v/>
      </c>
      <c r="AF80" t="str">
        <f t="shared" si="35"/>
        <v/>
      </c>
      <c r="AG80" t="str">
        <f>IFERROR(INDEX(GERAL[LADO],47),"")</f>
        <v/>
      </c>
    </row>
    <row r="81" spans="13:33" x14ac:dyDescent="0.3">
      <c r="M81" t="str">
        <f>IFERROR(INDEX(GERAL[PONTO],68),"")</f>
        <v/>
      </c>
      <c r="N81" t="str">
        <f>IF(M81="","",IFERROR(INDEX(GERAL[ACUMULADA],68),0))</f>
        <v/>
      </c>
      <c r="O81" t="str">
        <f t="shared" si="36"/>
        <v/>
      </c>
      <c r="P81" t="str">
        <f t="shared" si="37"/>
        <v/>
      </c>
      <c r="Q81" t="str">
        <f t="shared" si="38"/>
        <v/>
      </c>
      <c r="R81" t="str">
        <f>IF(M81="","",IFERROR(INDEX(Tabela7[QT %],MATCH(M81,Tabela7[PONTO],0)),0))</f>
        <v/>
      </c>
      <c r="S81" t="str">
        <f t="shared" si="39"/>
        <v/>
      </c>
      <c r="T81" t="str">
        <f>IF(M81="","",IF($B$9&gt;$B$8,IFERROR((INDEX(GERAL[SNAP],68)-$B$8)/($B$9-$B$8),0),0))</f>
        <v/>
      </c>
      <c r="U81" t="str">
        <f t="shared" si="40"/>
        <v/>
      </c>
      <c r="V81" t="str">
        <f>IFERROR(INDEX(GERAL[LADO],68),"")</f>
        <v/>
      </c>
      <c r="X81" t="str">
        <f>IFERROR(INDEX(GERAL[PONTO],48),"")</f>
        <v/>
      </c>
      <c r="Y81" t="str">
        <f>IF(X81="","",IFERROR(INDEX(GERAL[ACUMULADA],48),0))</f>
        <v/>
      </c>
      <c r="Z81" t="str">
        <f t="shared" si="31"/>
        <v/>
      </c>
      <c r="AA81" t="str">
        <f t="shared" si="32"/>
        <v/>
      </c>
      <c r="AB81" t="str">
        <f t="shared" si="33"/>
        <v/>
      </c>
      <c r="AC81" t="str">
        <f>IF(X81="","",IFERROR(INDEX(DIR_ATUAL[QT %],MATCH(X81,DIR_ATUAL[PONTO],0)),0))</f>
        <v/>
      </c>
      <c r="AD81" t="str">
        <f t="shared" si="34"/>
        <v/>
      </c>
      <c r="AE81" t="str">
        <f>IF(X81="","",IF($E$9&gt;$E$8,IFERROR((INDEX(GERAL[SNAP],48)-$E$8)/($E$9-$E$8),0),0))</f>
        <v/>
      </c>
      <c r="AF81" t="str">
        <f t="shared" si="35"/>
        <v/>
      </c>
      <c r="AG81" t="str">
        <f>IFERROR(INDEX(GERAL[LADO],48),"")</f>
        <v/>
      </c>
    </row>
    <row r="82" spans="13:33" x14ac:dyDescent="0.3">
      <c r="M82" t="str">
        <f>IFERROR(INDEX(GERAL[PONTO],69),"")</f>
        <v/>
      </c>
      <c r="N82" t="str">
        <f>IF(M82="","",IFERROR(INDEX(GERAL[ACUMULADA],69),0))</f>
        <v/>
      </c>
      <c r="O82" t="str">
        <f t="shared" si="36"/>
        <v/>
      </c>
      <c r="P82" t="str">
        <f t="shared" si="37"/>
        <v/>
      </c>
      <c r="Q82" t="str">
        <f t="shared" si="38"/>
        <v/>
      </c>
      <c r="R82" t="str">
        <f>IF(M82="","",IFERROR(INDEX(Tabela7[QT %],MATCH(M82,Tabela7[PONTO],0)),0))</f>
        <v/>
      </c>
      <c r="S82" t="str">
        <f t="shared" si="39"/>
        <v/>
      </c>
      <c r="T82" t="str">
        <f>IF(M82="","",IF($B$9&gt;$B$8,IFERROR((INDEX(GERAL[SNAP],69)-$B$8)/($B$9-$B$8),0),0))</f>
        <v/>
      </c>
      <c r="U82" t="str">
        <f t="shared" si="40"/>
        <v/>
      </c>
      <c r="V82" t="str">
        <f>IFERROR(INDEX(GERAL[LADO],69),"")</f>
        <v/>
      </c>
      <c r="X82" t="str">
        <f>IFERROR(INDEX(GERAL[PONTO],49),"")</f>
        <v/>
      </c>
      <c r="Y82" t="str">
        <f>IF(X82="","",IFERROR(INDEX(GERAL[ACUMULADA],49),0))</f>
        <v/>
      </c>
      <c r="Z82" t="str">
        <f t="shared" si="31"/>
        <v/>
      </c>
      <c r="AA82" t="str">
        <f t="shared" si="32"/>
        <v/>
      </c>
      <c r="AB82" t="str">
        <f t="shared" si="33"/>
        <v/>
      </c>
      <c r="AC82" t="str">
        <f>IF(X82="","",IFERROR(INDEX(DIR_ATUAL[QT %],MATCH(X82,DIR_ATUAL[PONTO],0)),0))</f>
        <v/>
      </c>
      <c r="AD82" t="str">
        <f t="shared" si="34"/>
        <v/>
      </c>
      <c r="AE82" t="str">
        <f>IF(X82="","",IF($E$9&gt;$E$8,IFERROR((INDEX(GERAL[SNAP],49)-$E$8)/($E$9-$E$8),0),0))</f>
        <v/>
      </c>
      <c r="AF82" t="str">
        <f t="shared" si="35"/>
        <v/>
      </c>
      <c r="AG82" t="str">
        <f>IFERROR(INDEX(GERAL[LADO],49),"")</f>
        <v/>
      </c>
    </row>
    <row r="83" spans="13:33" x14ac:dyDescent="0.3">
      <c r="M83" t="str">
        <f>IFERROR(INDEX(GERAL[PONTO],70),"")</f>
        <v/>
      </c>
      <c r="N83" t="str">
        <f>IF(M83="","",IFERROR(INDEX(GERAL[ACUMULADA],70),0))</f>
        <v/>
      </c>
      <c r="O83" t="str">
        <f t="shared" si="36"/>
        <v/>
      </c>
      <c r="P83" t="str">
        <f t="shared" si="37"/>
        <v/>
      </c>
      <c r="Q83" t="str">
        <f t="shared" si="38"/>
        <v/>
      </c>
      <c r="R83" t="str">
        <f>IF(M83="","",IFERROR(INDEX(Tabela7[QT %],MATCH(M83,Tabela7[PONTO],0)),0))</f>
        <v/>
      </c>
      <c r="S83" t="str">
        <f t="shared" si="39"/>
        <v/>
      </c>
      <c r="T83" t="str">
        <f>IF(M83="","",IF($B$9&gt;$B$8,IFERROR((INDEX(GERAL[SNAP],70)-$B$8)/($B$9-$B$8),0),0))</f>
        <v/>
      </c>
      <c r="U83" t="str">
        <f t="shared" si="40"/>
        <v/>
      </c>
      <c r="V83" t="str">
        <f>IFERROR(INDEX(GERAL[LADO],70),"")</f>
        <v/>
      </c>
      <c r="X83" t="str">
        <f>IFERROR(INDEX(GERAL[PONTO],50),"")</f>
        <v/>
      </c>
      <c r="Y83" t="str">
        <f>IF(X83="","",IFERROR(INDEX(GERAL[ACUMULADA],50),0))</f>
        <v/>
      </c>
      <c r="Z83" t="str">
        <f t="shared" si="31"/>
        <v/>
      </c>
      <c r="AA83" t="str">
        <f t="shared" si="32"/>
        <v/>
      </c>
      <c r="AB83" t="str">
        <f t="shared" si="33"/>
        <v/>
      </c>
      <c r="AC83" t="str">
        <f>IF(X83="","",IFERROR(INDEX(DIR_ATUAL[QT %],MATCH(X83,DIR_ATUAL[PONTO],0)),0))</f>
        <v/>
      </c>
      <c r="AD83" t="str">
        <f t="shared" si="34"/>
        <v/>
      </c>
      <c r="AE83" t="str">
        <f>IF(X83="","",IF($E$9&gt;$E$8,IFERROR((INDEX(GERAL[SNAP],50)-$E$8)/($E$9-$E$8),0),0))</f>
        <v/>
      </c>
      <c r="AF83" t="str">
        <f t="shared" si="35"/>
        <v/>
      </c>
      <c r="AG83" t="str">
        <f>IFERROR(INDEX(GERAL[LADO],50),"")</f>
        <v/>
      </c>
    </row>
    <row r="84" spans="13:33" x14ac:dyDescent="0.3">
      <c r="M84" t="str">
        <f>IFERROR(INDEX(GERAL[PONTO],71),"")</f>
        <v/>
      </c>
      <c r="N84" t="str">
        <f>IF(M84="","",IFERROR(INDEX(GERAL[ACUMULADA],71),0))</f>
        <v/>
      </c>
      <c r="O84" t="str">
        <f t="shared" si="36"/>
        <v/>
      </c>
      <c r="P84" t="str">
        <f t="shared" si="37"/>
        <v/>
      </c>
      <c r="Q84" t="str">
        <f t="shared" si="38"/>
        <v/>
      </c>
      <c r="R84" t="str">
        <f>IF(M84="","",IFERROR(INDEX(Tabela7[QT %],MATCH(M84,Tabela7[PONTO],0)),0))</f>
        <v/>
      </c>
      <c r="S84" t="str">
        <f t="shared" si="39"/>
        <v/>
      </c>
      <c r="T84" t="str">
        <f>IF(M84="","",IF($B$9&gt;$B$8,IFERROR((INDEX(GERAL[SNAP],71)-$B$8)/($B$9-$B$8),0),0))</f>
        <v/>
      </c>
      <c r="U84" t="str">
        <f t="shared" si="40"/>
        <v/>
      </c>
      <c r="V84" t="str">
        <f>IFERROR(INDEX(GERAL[LADO],71),"")</f>
        <v/>
      </c>
      <c r="X84" t="str">
        <f>IFERROR(INDEX(GERAL[PONTO],51),"")</f>
        <v/>
      </c>
      <c r="Y84" t="str">
        <f>IF(X84="","",IFERROR(INDEX(GERAL[ACUMULADA],51),0))</f>
        <v/>
      </c>
      <c r="Z84" t="str">
        <f t="shared" si="31"/>
        <v/>
      </c>
      <c r="AA84" t="str">
        <f t="shared" si="32"/>
        <v/>
      </c>
      <c r="AB84" t="str">
        <f t="shared" si="33"/>
        <v/>
      </c>
      <c r="AC84" t="str">
        <f>IF(X84="","",IFERROR(INDEX(DIR_ATUAL[QT %],MATCH(X84,DIR_ATUAL[PONTO],0)),0))</f>
        <v/>
      </c>
      <c r="AD84" t="str">
        <f t="shared" si="34"/>
        <v/>
      </c>
      <c r="AE84" t="str">
        <f>IF(X84="","",IF($E$9&gt;$E$8,IFERROR((INDEX(GERAL[SNAP],51)-$E$8)/($E$9-$E$8),0),0))</f>
        <v/>
      </c>
      <c r="AF84" t="str">
        <f t="shared" si="35"/>
        <v/>
      </c>
      <c r="AG84" t="str">
        <f>IFERROR(INDEX(GERAL[LADO],51),"")</f>
        <v/>
      </c>
    </row>
    <row r="85" spans="13:33" x14ac:dyDescent="0.3">
      <c r="M85" t="str">
        <f>IFERROR(INDEX(GERAL[PONTO],72),"")</f>
        <v/>
      </c>
      <c r="N85" t="str">
        <f>IF(M85="","",IFERROR(INDEX(GERAL[ACUMULADA],72),0))</f>
        <v/>
      </c>
      <c r="O85" t="str">
        <f t="shared" si="36"/>
        <v/>
      </c>
      <c r="P85" t="str">
        <f t="shared" si="37"/>
        <v/>
      </c>
      <c r="Q85" t="str">
        <f t="shared" si="38"/>
        <v/>
      </c>
      <c r="R85" t="str">
        <f>IF(M85="","",IFERROR(INDEX(Tabela7[QT %],MATCH(M85,Tabela7[PONTO],0)),0))</f>
        <v/>
      </c>
      <c r="S85" t="str">
        <f t="shared" si="39"/>
        <v/>
      </c>
      <c r="T85" t="str">
        <f>IF(M85="","",IF($B$9&gt;$B$8,IFERROR((INDEX(GERAL[SNAP],72)-$B$8)/($B$9-$B$8),0),0))</f>
        <v/>
      </c>
      <c r="U85" t="str">
        <f t="shared" si="40"/>
        <v/>
      </c>
      <c r="V85" t="str">
        <f>IFERROR(INDEX(GERAL[LADO],72),"")</f>
        <v/>
      </c>
      <c r="X85" t="str">
        <f>IFERROR(INDEX(GERAL[PONTO],52),"")</f>
        <v/>
      </c>
      <c r="Y85" t="str">
        <f>IF(X85="","",IFERROR(INDEX(GERAL[ACUMULADA],52),0))</f>
        <v/>
      </c>
      <c r="Z85" t="str">
        <f t="shared" si="31"/>
        <v/>
      </c>
      <c r="AA85" t="str">
        <f t="shared" si="32"/>
        <v/>
      </c>
      <c r="AB85" t="str">
        <f t="shared" si="33"/>
        <v/>
      </c>
      <c r="AC85" t="str">
        <f>IF(X85="","",IFERROR(INDEX(DIR_ATUAL[QT %],MATCH(X85,DIR_ATUAL[PONTO],0)),0))</f>
        <v/>
      </c>
      <c r="AD85" t="str">
        <f t="shared" si="34"/>
        <v/>
      </c>
      <c r="AE85" t="str">
        <f>IF(X85="","",IF($E$9&gt;$E$8,IFERROR((INDEX(GERAL[SNAP],52)-$E$8)/($E$9-$E$8),0),0))</f>
        <v/>
      </c>
      <c r="AF85" t="str">
        <f t="shared" si="35"/>
        <v/>
      </c>
      <c r="AG85" t="str">
        <f>IFERROR(INDEX(GERAL[LADO],52),"")</f>
        <v/>
      </c>
    </row>
    <row r="86" spans="13:33" x14ac:dyDescent="0.3">
      <c r="M86" t="str">
        <f>IFERROR(INDEX(GERAL[PONTO],73),"")</f>
        <v/>
      </c>
      <c r="N86" t="str">
        <f>IF(M86="","",IFERROR(INDEX(GERAL[ACUMULADA],73),0))</f>
        <v/>
      </c>
      <c r="O86" t="str">
        <f t="shared" si="36"/>
        <v/>
      </c>
      <c r="P86" t="str">
        <f t="shared" si="37"/>
        <v/>
      </c>
      <c r="Q86" t="str">
        <f t="shared" si="38"/>
        <v/>
      </c>
      <c r="R86" t="str">
        <f>IF(M86="","",IFERROR(INDEX(Tabela7[QT %],MATCH(M86,Tabela7[PONTO],0)),0))</f>
        <v/>
      </c>
      <c r="S86" t="str">
        <f t="shared" si="39"/>
        <v/>
      </c>
      <c r="T86" t="str">
        <f>IF(M86="","",IF($B$9&gt;$B$8,IFERROR((INDEX(GERAL[SNAP],73)-$B$8)/($B$9-$B$8),0),0))</f>
        <v/>
      </c>
      <c r="U86" t="str">
        <f t="shared" si="40"/>
        <v/>
      </c>
      <c r="V86" t="str">
        <f>IFERROR(INDEX(GERAL[LADO],73),"")</f>
        <v/>
      </c>
      <c r="X86" t="str">
        <f>IFERROR(INDEX(GERAL[PONTO],53),"")</f>
        <v/>
      </c>
      <c r="Y86" t="str">
        <f>IF(X86="","",IFERROR(INDEX(GERAL[ACUMULADA],53),0))</f>
        <v/>
      </c>
      <c r="Z86" t="str">
        <f t="shared" si="31"/>
        <v/>
      </c>
      <c r="AA86" t="str">
        <f t="shared" si="32"/>
        <v/>
      </c>
      <c r="AB86" t="str">
        <f t="shared" si="33"/>
        <v/>
      </c>
      <c r="AC86" t="str">
        <f>IF(X86="","",IFERROR(INDEX(DIR_ATUAL[QT %],MATCH(X86,DIR_ATUAL[PONTO],0)),0))</f>
        <v/>
      </c>
      <c r="AD86" t="str">
        <f t="shared" si="34"/>
        <v/>
      </c>
      <c r="AE86" t="str">
        <f>IF(X86="","",IF($E$9&gt;$E$8,IFERROR((INDEX(GERAL[SNAP],53)-$E$8)/($E$9-$E$8),0),0))</f>
        <v/>
      </c>
      <c r="AF86" t="str">
        <f t="shared" si="35"/>
        <v/>
      </c>
      <c r="AG86" t="str">
        <f>IFERROR(INDEX(GERAL[LADO],53),"")</f>
        <v/>
      </c>
    </row>
    <row r="87" spans="13:33" x14ac:dyDescent="0.3">
      <c r="M87" t="str">
        <f>IFERROR(INDEX(GERAL[PONTO],74),"")</f>
        <v/>
      </c>
      <c r="N87" t="str">
        <f>IF(M87="","",IFERROR(INDEX(GERAL[ACUMULADA],74),0))</f>
        <v/>
      </c>
      <c r="O87" t="str">
        <f t="shared" si="36"/>
        <v/>
      </c>
      <c r="P87" t="str">
        <f t="shared" si="37"/>
        <v/>
      </c>
      <c r="Q87" t="str">
        <f t="shared" si="38"/>
        <v/>
      </c>
      <c r="R87" t="str">
        <f>IF(M87="","",IFERROR(INDEX(Tabela7[QT %],MATCH(M87,Tabela7[PONTO],0)),0))</f>
        <v/>
      </c>
      <c r="S87" t="str">
        <f t="shared" si="39"/>
        <v/>
      </c>
      <c r="T87" t="str">
        <f>IF(M87="","",IF($B$9&gt;$B$8,IFERROR((INDEX(GERAL[SNAP],74)-$B$8)/($B$9-$B$8),0),0))</f>
        <v/>
      </c>
      <c r="U87" t="str">
        <f t="shared" si="40"/>
        <v/>
      </c>
      <c r="V87" t="str">
        <f>IFERROR(INDEX(GERAL[LADO],74),"")</f>
        <v/>
      </c>
      <c r="X87" t="str">
        <f>IFERROR(INDEX(GERAL[PONTO],54),"")</f>
        <v/>
      </c>
      <c r="Y87" t="str">
        <f>IF(X87="","",IFERROR(INDEX(GERAL[ACUMULADA],54),0))</f>
        <v/>
      </c>
      <c r="Z87" t="str">
        <f t="shared" si="31"/>
        <v/>
      </c>
      <c r="AA87" t="str">
        <f t="shared" si="32"/>
        <v/>
      </c>
      <c r="AB87" t="str">
        <f t="shared" si="33"/>
        <v/>
      </c>
      <c r="AC87" t="str">
        <f>IF(X87="","",IFERROR(INDEX(DIR_ATUAL[QT %],MATCH(X87,DIR_ATUAL[PONTO],0)),0))</f>
        <v/>
      </c>
      <c r="AD87" t="str">
        <f t="shared" si="34"/>
        <v/>
      </c>
      <c r="AE87" t="str">
        <f>IF(X87="","",IF($E$9&gt;$E$8,IFERROR((INDEX(GERAL[SNAP],54)-$E$8)/($E$9-$E$8),0),0))</f>
        <v/>
      </c>
      <c r="AF87" t="str">
        <f t="shared" si="35"/>
        <v/>
      </c>
      <c r="AG87" t="str">
        <f>IFERROR(INDEX(GERAL[LADO],54),"")</f>
        <v/>
      </c>
    </row>
    <row r="88" spans="13:33" x14ac:dyDescent="0.3">
      <c r="M88" t="str">
        <f>IFERROR(INDEX(GERAL[PONTO],75),"")</f>
        <v/>
      </c>
      <c r="N88" t="str">
        <f>IF(M88="","",IFERROR(INDEX(GERAL[ACUMULADA],75),0))</f>
        <v/>
      </c>
      <c r="O88" t="str">
        <f t="shared" si="36"/>
        <v/>
      </c>
      <c r="P88" t="str">
        <f t="shared" si="37"/>
        <v/>
      </c>
      <c r="Q88" t="str">
        <f t="shared" si="38"/>
        <v/>
      </c>
      <c r="R88" t="str">
        <f>IF(M88="","",IFERROR(INDEX(Tabela7[QT %],MATCH(M88,Tabela7[PONTO],0)),0))</f>
        <v/>
      </c>
      <c r="S88" t="str">
        <f t="shared" si="39"/>
        <v/>
      </c>
      <c r="T88" t="str">
        <f>IF(M88="","",IF($B$9&gt;$B$8,IFERROR((INDEX(GERAL[SNAP],75)-$B$8)/($B$9-$B$8),0),0))</f>
        <v/>
      </c>
      <c r="U88" t="str">
        <f t="shared" si="40"/>
        <v/>
      </c>
      <c r="V88" t="str">
        <f>IFERROR(INDEX(GERAL[LADO],75),"")</f>
        <v/>
      </c>
      <c r="X88" t="str">
        <f>IFERROR(INDEX(GERAL[PONTO],55),"")</f>
        <v/>
      </c>
      <c r="Y88" t="str">
        <f>IF(X88="","",IFERROR(INDEX(GERAL[ACUMULADA],55),0))</f>
        <v/>
      </c>
      <c r="Z88" t="str">
        <f t="shared" si="31"/>
        <v/>
      </c>
      <c r="AA88" t="str">
        <f t="shared" si="32"/>
        <v/>
      </c>
      <c r="AB88" t="str">
        <f t="shared" si="33"/>
        <v/>
      </c>
      <c r="AC88" t="str">
        <f>IF(X88="","",IFERROR(INDEX(DIR_ATUAL[QT %],MATCH(X88,DIR_ATUAL[PONTO],0)),0))</f>
        <v/>
      </c>
      <c r="AD88" t="str">
        <f t="shared" si="34"/>
        <v/>
      </c>
      <c r="AE88" t="str">
        <f>IF(X88="","",IF($E$9&gt;$E$8,IFERROR((INDEX(GERAL[SNAP],55)-$E$8)/($E$9-$E$8),0),0))</f>
        <v/>
      </c>
      <c r="AF88" t="str">
        <f t="shared" si="35"/>
        <v/>
      </c>
      <c r="AG88" t="str">
        <f>IFERROR(INDEX(GERAL[LADO],55),"")</f>
        <v/>
      </c>
    </row>
    <row r="89" spans="13:33" x14ac:dyDescent="0.3">
      <c r="M89" t="str">
        <f>IFERROR(INDEX(GERAL[PONTO],76),"")</f>
        <v/>
      </c>
      <c r="N89" t="str">
        <f>IF(M89="","",IFERROR(INDEX(GERAL[ACUMULADA],76),0))</f>
        <v/>
      </c>
      <c r="O89" t="str">
        <f t="shared" si="36"/>
        <v/>
      </c>
      <c r="P89" t="str">
        <f t="shared" si="37"/>
        <v/>
      </c>
      <c r="Q89" t="str">
        <f t="shared" si="38"/>
        <v/>
      </c>
      <c r="R89" t="str">
        <f>IF(M89="","",IFERROR(INDEX(Tabela7[QT %],MATCH(M89,Tabela7[PONTO],0)),0))</f>
        <v/>
      </c>
      <c r="S89" t="str">
        <f t="shared" si="39"/>
        <v/>
      </c>
      <c r="T89" t="str">
        <f>IF(M89="","",IF($B$9&gt;$B$8,IFERROR((INDEX(GERAL[SNAP],76)-$B$8)/($B$9-$B$8),0),0))</f>
        <v/>
      </c>
      <c r="U89" t="str">
        <f t="shared" si="40"/>
        <v/>
      </c>
      <c r="V89" t="str">
        <f>IFERROR(INDEX(GERAL[LADO],76),"")</f>
        <v/>
      </c>
      <c r="X89" t="str">
        <f>IFERROR(INDEX(GERAL[PONTO],56),"")</f>
        <v/>
      </c>
      <c r="Y89" t="str">
        <f>IF(X89="","",IFERROR(INDEX(GERAL[ACUMULADA],56),0))</f>
        <v/>
      </c>
      <c r="Z89" t="str">
        <f t="shared" si="31"/>
        <v/>
      </c>
      <c r="AA89" t="str">
        <f t="shared" si="32"/>
        <v/>
      </c>
      <c r="AB89" t="str">
        <f t="shared" si="33"/>
        <v/>
      </c>
      <c r="AC89" t="str">
        <f>IF(X89="","",IFERROR(INDEX(DIR_ATUAL[QT %],MATCH(X89,DIR_ATUAL[PONTO],0)),0))</f>
        <v/>
      </c>
      <c r="AD89" t="str">
        <f t="shared" si="34"/>
        <v/>
      </c>
      <c r="AE89" t="str">
        <f>IF(X89="","",IF($E$9&gt;$E$8,IFERROR((INDEX(GERAL[SNAP],56)-$E$8)/($E$9-$E$8),0),0))</f>
        <v/>
      </c>
      <c r="AF89" t="str">
        <f t="shared" si="35"/>
        <v/>
      </c>
      <c r="AG89" t="str">
        <f>IFERROR(INDEX(GERAL[LADO],56),"")</f>
        <v/>
      </c>
    </row>
    <row r="90" spans="13:33" x14ac:dyDescent="0.3">
      <c r="M90" t="str">
        <f>IFERROR(INDEX(GERAL[PONTO],77),"")</f>
        <v/>
      </c>
      <c r="N90" t="str">
        <f>IF(M90="","",IFERROR(INDEX(GERAL[ACUMULADA],77),0))</f>
        <v/>
      </c>
      <c r="O90" t="str">
        <f t="shared" si="36"/>
        <v/>
      </c>
      <c r="P90" t="str">
        <f t="shared" si="37"/>
        <v/>
      </c>
      <c r="Q90" t="str">
        <f t="shared" si="38"/>
        <v/>
      </c>
      <c r="R90" t="str">
        <f>IF(M90="","",IFERROR(INDEX(Tabela7[QT %],MATCH(M90,Tabela7[PONTO],0)),0))</f>
        <v/>
      </c>
      <c r="S90" t="str">
        <f t="shared" si="39"/>
        <v/>
      </c>
      <c r="T90" t="str">
        <f>IF(M90="","",IF($B$9&gt;$B$8,IFERROR((INDEX(GERAL[SNAP],77)-$B$8)/($B$9-$B$8),0),0))</f>
        <v/>
      </c>
      <c r="U90" t="str">
        <f t="shared" si="40"/>
        <v/>
      </c>
      <c r="V90" t="str">
        <f>IFERROR(INDEX(GERAL[LADO],77),"")</f>
        <v/>
      </c>
      <c r="X90" t="str">
        <f>IFERROR(INDEX(GERAL[PONTO],57),"")</f>
        <v/>
      </c>
      <c r="Y90" t="str">
        <f>IF(X90="","",IFERROR(INDEX(GERAL[ACUMULADA],57),0))</f>
        <v/>
      </c>
      <c r="Z90" t="str">
        <f t="shared" si="31"/>
        <v/>
      </c>
      <c r="AA90" t="str">
        <f t="shared" si="32"/>
        <v/>
      </c>
      <c r="AB90" t="str">
        <f t="shared" si="33"/>
        <v/>
      </c>
      <c r="AC90" t="str">
        <f>IF(X90="","",IFERROR(INDEX(DIR_ATUAL[QT %],MATCH(X90,DIR_ATUAL[PONTO],0)),0))</f>
        <v/>
      </c>
      <c r="AD90" t="str">
        <f t="shared" si="34"/>
        <v/>
      </c>
      <c r="AE90" t="str">
        <f>IF(X90="","",IF($E$9&gt;$E$8,IFERROR((INDEX(GERAL[SNAP],57)-$E$8)/($E$9-$E$8),0),0))</f>
        <v/>
      </c>
      <c r="AF90" t="str">
        <f t="shared" si="35"/>
        <v/>
      </c>
      <c r="AG90" t="str">
        <f>IFERROR(INDEX(GERAL[LADO],57),"")</f>
        <v/>
      </c>
    </row>
    <row r="91" spans="13:33" x14ac:dyDescent="0.3">
      <c r="M91" t="str">
        <f>IFERROR(INDEX(GERAL[PONTO],78),"")</f>
        <v/>
      </c>
      <c r="N91" t="str">
        <f>IF(M91="","",IFERROR(INDEX(GERAL[ACUMULADA],78),0))</f>
        <v/>
      </c>
      <c r="O91" t="str">
        <f t="shared" si="36"/>
        <v/>
      </c>
      <c r="P91" t="str">
        <f t="shared" si="37"/>
        <v/>
      </c>
      <c r="Q91" t="str">
        <f t="shared" si="38"/>
        <v/>
      </c>
      <c r="R91" t="str">
        <f>IF(M91="","",IFERROR(INDEX(Tabela7[QT %],MATCH(M91,Tabela7[PONTO],0)),0))</f>
        <v/>
      </c>
      <c r="S91" t="str">
        <f t="shared" si="39"/>
        <v/>
      </c>
      <c r="T91" t="str">
        <f>IF(M91="","",IF($B$9&gt;$B$8,IFERROR((INDEX(GERAL[SNAP],78)-$B$8)/($B$9-$B$8),0),0))</f>
        <v/>
      </c>
      <c r="U91" t="str">
        <f t="shared" si="40"/>
        <v/>
      </c>
      <c r="V91" t="str">
        <f>IFERROR(INDEX(GERAL[LADO],78),"")</f>
        <v/>
      </c>
      <c r="X91" t="str">
        <f>IFERROR(INDEX(GERAL[PONTO],58),"")</f>
        <v/>
      </c>
      <c r="Y91" t="str">
        <f>IF(X91="","",IFERROR(INDEX(GERAL[ACUMULADA],58),0))</f>
        <v/>
      </c>
      <c r="Z91" t="str">
        <f t="shared" si="31"/>
        <v/>
      </c>
      <c r="AA91" t="str">
        <f t="shared" si="32"/>
        <v/>
      </c>
      <c r="AB91" t="str">
        <f t="shared" si="33"/>
        <v/>
      </c>
      <c r="AC91" t="str">
        <f>IF(X91="","",IFERROR(INDEX(DIR_ATUAL[QT %],MATCH(X91,DIR_ATUAL[PONTO],0)),0))</f>
        <v/>
      </c>
      <c r="AD91" t="str">
        <f t="shared" si="34"/>
        <v/>
      </c>
      <c r="AE91" t="str">
        <f>IF(X91="","",IF($E$9&gt;$E$8,IFERROR((INDEX(GERAL[SNAP],58)-$E$8)/($E$9-$E$8),0),0))</f>
        <v/>
      </c>
      <c r="AF91" t="str">
        <f t="shared" si="35"/>
        <v/>
      </c>
      <c r="AG91" t="str">
        <f>IFERROR(INDEX(GERAL[LADO],58),"")</f>
        <v/>
      </c>
    </row>
    <row r="92" spans="13:33" x14ac:dyDescent="0.3">
      <c r="M92" t="str">
        <f>IFERROR(INDEX(GERAL[PONTO],79),"")</f>
        <v/>
      </c>
      <c r="N92" t="str">
        <f>IF(M92="","",IFERROR(INDEX(GERAL[ACUMULADA],79),0))</f>
        <v/>
      </c>
      <c r="O92" t="str">
        <f t="shared" si="36"/>
        <v/>
      </c>
      <c r="P92" t="str">
        <f t="shared" si="37"/>
        <v/>
      </c>
      <c r="Q92" t="str">
        <f t="shared" si="38"/>
        <v/>
      </c>
      <c r="R92" t="str">
        <f>IF(M92="","",IFERROR(INDEX(Tabela7[QT %],MATCH(M92,Tabela7[PONTO],0)),0))</f>
        <v/>
      </c>
      <c r="S92" t="str">
        <f t="shared" si="39"/>
        <v/>
      </c>
      <c r="T92" t="str">
        <f>IF(M92="","",IF($B$9&gt;$B$8,IFERROR((INDEX(GERAL[SNAP],79)-$B$8)/($B$9-$B$8),0),0))</f>
        <v/>
      </c>
      <c r="U92" t="str">
        <f t="shared" si="40"/>
        <v/>
      </c>
      <c r="V92" t="str">
        <f>IFERROR(INDEX(GERAL[LADO],79),"")</f>
        <v/>
      </c>
      <c r="X92" t="str">
        <f>IFERROR(INDEX(GERAL[PONTO],59),"")</f>
        <v/>
      </c>
      <c r="Y92" t="str">
        <f>IF(X92="","",IFERROR(INDEX(GERAL[ACUMULADA],59),0))</f>
        <v/>
      </c>
      <c r="Z92" t="str">
        <f t="shared" si="31"/>
        <v/>
      </c>
      <c r="AA92" t="str">
        <f t="shared" si="32"/>
        <v/>
      </c>
      <c r="AB92" t="str">
        <f t="shared" si="33"/>
        <v/>
      </c>
      <c r="AC92" t="str">
        <f>IF(X92="","",IFERROR(INDEX(DIR_ATUAL[QT %],MATCH(X92,DIR_ATUAL[PONTO],0)),0))</f>
        <v/>
      </c>
      <c r="AD92" t="str">
        <f t="shared" si="34"/>
        <v/>
      </c>
      <c r="AE92" t="str">
        <f>IF(X92="","",IF($E$9&gt;$E$8,IFERROR((INDEX(GERAL[SNAP],59)-$E$8)/($E$9-$E$8),0),0))</f>
        <v/>
      </c>
      <c r="AF92" t="str">
        <f t="shared" si="35"/>
        <v/>
      </c>
      <c r="AG92" t="str">
        <f>IFERROR(INDEX(GERAL[LADO],59),"")</f>
        <v/>
      </c>
    </row>
    <row r="93" spans="13:33" x14ac:dyDescent="0.3">
      <c r="M93" t="str">
        <f>IFERROR(INDEX(GERAL[PONTO],80),"")</f>
        <v/>
      </c>
      <c r="N93" t="str">
        <f>IF(M93="","",IFERROR(INDEX(GERAL[ACUMULADA],80),0))</f>
        <v/>
      </c>
      <c r="O93" t="str">
        <f t="shared" si="36"/>
        <v/>
      </c>
      <c r="P93" t="str">
        <f t="shared" si="37"/>
        <v/>
      </c>
      <c r="Q93" t="str">
        <f t="shared" si="38"/>
        <v/>
      </c>
      <c r="R93" t="str">
        <f>IF(M93="","",IFERROR(INDEX(Tabela7[QT %],MATCH(M93,Tabela7[PONTO],0)),0))</f>
        <v/>
      </c>
      <c r="S93" t="str">
        <f t="shared" si="39"/>
        <v/>
      </c>
      <c r="T93" t="str">
        <f>IF(M93="","",IF($B$9&gt;$B$8,IFERROR((INDEX(GERAL[SNAP],80)-$B$8)/($B$9-$B$8),0),0))</f>
        <v/>
      </c>
      <c r="U93" t="str">
        <f t="shared" si="40"/>
        <v/>
      </c>
      <c r="V93" t="str">
        <f>IFERROR(INDEX(GERAL[LADO],80),"")</f>
        <v/>
      </c>
      <c r="X93" t="str">
        <f>IFERROR(INDEX(GERAL[PONTO],60),"")</f>
        <v/>
      </c>
      <c r="Y93" t="str">
        <f>IF(X93="","",IFERROR(INDEX(GERAL[ACUMULADA],60),0))</f>
        <v/>
      </c>
      <c r="Z93" t="str">
        <f t="shared" si="31"/>
        <v/>
      </c>
      <c r="AA93" t="str">
        <f t="shared" si="32"/>
        <v/>
      </c>
      <c r="AB93" t="str">
        <f t="shared" si="33"/>
        <v/>
      </c>
      <c r="AC93" t="str">
        <f>IF(X93="","",IFERROR(INDEX(DIR_ATUAL[QT %],MATCH(X93,DIR_ATUAL[PONTO],0)),0))</f>
        <v/>
      </c>
      <c r="AD93" t="str">
        <f t="shared" si="34"/>
        <v/>
      </c>
      <c r="AE93" t="str">
        <f>IF(X93="","",IF($E$9&gt;$E$8,IFERROR((INDEX(GERAL[SNAP],60)-$E$8)/($E$9-$E$8),0),0))</f>
        <v/>
      </c>
      <c r="AF93" t="str">
        <f t="shared" si="35"/>
        <v/>
      </c>
      <c r="AG93" t="str">
        <f>IFERROR(INDEX(GERAL[LADO],60),"")</f>
        <v/>
      </c>
    </row>
    <row r="94" spans="13:33" x14ac:dyDescent="0.3">
      <c r="M94" t="str">
        <f>IFERROR(INDEX(GERAL[PONTO],81),"")</f>
        <v/>
      </c>
      <c r="N94" t="str">
        <f>IF(M94="","",IFERROR(INDEX(GERAL[ACUMULADA],81),0))</f>
        <v/>
      </c>
      <c r="O94" t="str">
        <f t="shared" si="36"/>
        <v/>
      </c>
      <c r="P94" t="str">
        <f t="shared" si="37"/>
        <v/>
      </c>
      <c r="Q94" t="str">
        <f t="shared" si="38"/>
        <v/>
      </c>
      <c r="R94" t="str">
        <f>IF(M94="","",IFERROR(INDEX(Tabela7[QT %],MATCH(M94,Tabela7[PONTO],0)),0))</f>
        <v/>
      </c>
      <c r="S94" t="str">
        <f t="shared" si="39"/>
        <v/>
      </c>
      <c r="T94" t="str">
        <f>IF(M94="","",IF($B$9&gt;$B$8,IFERROR((INDEX(GERAL[SNAP],81)-$B$8)/($B$9-$B$8),0),0))</f>
        <v/>
      </c>
      <c r="U94" t="str">
        <f t="shared" si="40"/>
        <v/>
      </c>
      <c r="V94" t="str">
        <f>IFERROR(INDEX(GERAL[LADO],81),"")</f>
        <v/>
      </c>
      <c r="X94" t="str">
        <f>IFERROR(INDEX(GERAL[PONTO],61),"")</f>
        <v/>
      </c>
      <c r="Y94" t="str">
        <f>IF(X94="","",IFERROR(INDEX(GERAL[ACUMULADA],61),0))</f>
        <v/>
      </c>
      <c r="Z94" t="str">
        <f t="shared" si="31"/>
        <v/>
      </c>
      <c r="AA94" t="str">
        <f t="shared" si="32"/>
        <v/>
      </c>
      <c r="AB94" t="str">
        <f t="shared" si="33"/>
        <v/>
      </c>
      <c r="AC94" t="str">
        <f>IF(X94="","",IFERROR(INDEX(DIR_ATUAL[QT %],MATCH(X94,DIR_ATUAL[PONTO],0)),0))</f>
        <v/>
      </c>
      <c r="AD94" t="str">
        <f t="shared" si="34"/>
        <v/>
      </c>
      <c r="AE94" t="str">
        <f>IF(X94="","",IF($E$9&gt;$E$8,IFERROR((INDEX(GERAL[SNAP],61)-$E$8)/($E$9-$E$8),0),0))</f>
        <v/>
      </c>
      <c r="AF94" t="str">
        <f t="shared" si="35"/>
        <v/>
      </c>
      <c r="AG94" t="str">
        <f>IFERROR(INDEX(GERAL[LADO],61),"")</f>
        <v/>
      </c>
    </row>
    <row r="95" spans="13:33" x14ac:dyDescent="0.3">
      <c r="M95" t="str">
        <f>IFERROR(INDEX(GERAL[PONTO],82),"")</f>
        <v/>
      </c>
      <c r="N95" t="str">
        <f>IF(M95="","",IFERROR(INDEX(GERAL[ACUMULADA],82),0))</f>
        <v/>
      </c>
      <c r="O95" t="str">
        <f t="shared" si="36"/>
        <v/>
      </c>
      <c r="P95" t="str">
        <f t="shared" si="37"/>
        <v/>
      </c>
      <c r="Q95" t="str">
        <f t="shared" si="38"/>
        <v/>
      </c>
      <c r="R95" t="str">
        <f>IF(M95="","",IFERROR(INDEX(Tabela7[QT %],MATCH(M95,Tabela7[PONTO],0)),0))</f>
        <v/>
      </c>
      <c r="S95" t="str">
        <f t="shared" si="39"/>
        <v/>
      </c>
      <c r="T95" t="str">
        <f>IF(M95="","",IF($B$9&gt;$B$8,IFERROR((INDEX(GERAL[SNAP],82)-$B$8)/($B$9-$B$8),0),0))</f>
        <v/>
      </c>
      <c r="U95" t="str">
        <f t="shared" si="40"/>
        <v/>
      </c>
      <c r="V95" t="str">
        <f>IFERROR(INDEX(GERAL[LADO],82),"")</f>
        <v/>
      </c>
      <c r="X95" t="str">
        <f>IFERROR(INDEX(GERAL[PONTO],62),"")</f>
        <v/>
      </c>
      <c r="Y95" t="str">
        <f>IF(X95="","",IFERROR(INDEX(GERAL[ACUMULADA],62),0))</f>
        <v/>
      </c>
      <c r="Z95" t="str">
        <f t="shared" si="31"/>
        <v/>
      </c>
      <c r="AA95" t="str">
        <f t="shared" si="32"/>
        <v/>
      </c>
      <c r="AB95" t="str">
        <f t="shared" si="33"/>
        <v/>
      </c>
      <c r="AC95" t="str">
        <f>IF(X95="","",IFERROR(INDEX(DIR_ATUAL[QT %],MATCH(X95,DIR_ATUAL[PONTO],0)),0))</f>
        <v/>
      </c>
      <c r="AD95" t="str">
        <f t="shared" si="34"/>
        <v/>
      </c>
      <c r="AE95" t="str">
        <f>IF(X95="","",IF($E$9&gt;$E$8,IFERROR((INDEX(GERAL[SNAP],62)-$E$8)/($E$9-$E$8),0),0))</f>
        <v/>
      </c>
      <c r="AF95" t="str">
        <f t="shared" si="35"/>
        <v/>
      </c>
      <c r="AG95" t="str">
        <f>IFERROR(INDEX(GERAL[LADO],62),"")</f>
        <v/>
      </c>
    </row>
    <row r="96" spans="13:33" x14ac:dyDescent="0.3">
      <c r="M96" t="str">
        <f>IFERROR(INDEX(GERAL[PONTO],83),"")</f>
        <v/>
      </c>
      <c r="N96" t="str">
        <f>IF(M96="","",IFERROR(INDEX(GERAL[ACUMULADA],83),0))</f>
        <v/>
      </c>
      <c r="O96" t="str">
        <f t="shared" si="36"/>
        <v/>
      </c>
      <c r="P96" t="str">
        <f t="shared" si="37"/>
        <v/>
      </c>
      <c r="Q96" t="str">
        <f t="shared" si="38"/>
        <v/>
      </c>
      <c r="R96" t="str">
        <f>IF(M96="","",IFERROR(INDEX(Tabela7[QT %],MATCH(M96,Tabela7[PONTO],0)),0))</f>
        <v/>
      </c>
      <c r="S96" t="str">
        <f t="shared" si="39"/>
        <v/>
      </c>
      <c r="T96" t="str">
        <f>IF(M96="","",IF($B$9&gt;$B$8,IFERROR((INDEX(GERAL[SNAP],83)-$B$8)/($B$9-$B$8),0),0))</f>
        <v/>
      </c>
      <c r="U96" t="str">
        <f t="shared" si="40"/>
        <v/>
      </c>
      <c r="V96" t="str">
        <f>IFERROR(INDEX(GERAL[LADO],83),"")</f>
        <v/>
      </c>
      <c r="X96" t="str">
        <f>IFERROR(INDEX(GERAL[PONTO],63),"")</f>
        <v/>
      </c>
      <c r="Y96" t="str">
        <f>IF(X96="","",IFERROR(INDEX(GERAL[ACUMULADA],63),0))</f>
        <v/>
      </c>
      <c r="Z96" t="str">
        <f t="shared" si="31"/>
        <v/>
      </c>
      <c r="AA96" t="str">
        <f t="shared" si="32"/>
        <v/>
      </c>
      <c r="AB96" t="str">
        <f t="shared" si="33"/>
        <v/>
      </c>
      <c r="AC96" t="str">
        <f>IF(X96="","",IFERROR(INDEX(DIR_ATUAL[QT %],MATCH(X96,DIR_ATUAL[PONTO],0)),0))</f>
        <v/>
      </c>
      <c r="AD96" t="str">
        <f t="shared" si="34"/>
        <v/>
      </c>
      <c r="AE96" t="str">
        <f>IF(X96="","",IF($E$9&gt;$E$8,IFERROR((INDEX(GERAL[SNAP],63)-$E$8)/($E$9-$E$8),0),0))</f>
        <v/>
      </c>
      <c r="AF96" t="str">
        <f t="shared" si="35"/>
        <v/>
      </c>
      <c r="AG96" t="str">
        <f>IFERROR(INDEX(GERAL[LADO],63),"")</f>
        <v/>
      </c>
    </row>
    <row r="97" spans="13:33" x14ac:dyDescent="0.3">
      <c r="M97" t="str">
        <f>IFERROR(INDEX(GERAL[PONTO],84),"")</f>
        <v/>
      </c>
      <c r="N97" t="str">
        <f>IF(M97="","",IFERROR(INDEX(GERAL[ACUMULADA],84),0))</f>
        <v/>
      </c>
      <c r="O97" t="str">
        <f t="shared" si="36"/>
        <v/>
      </c>
      <c r="P97" t="str">
        <f t="shared" si="37"/>
        <v/>
      </c>
      <c r="Q97" t="str">
        <f t="shared" si="38"/>
        <v/>
      </c>
      <c r="R97" t="str">
        <f>IF(M97="","",IFERROR(INDEX(Tabela7[QT %],MATCH(M97,Tabela7[PONTO],0)),0))</f>
        <v/>
      </c>
      <c r="S97" t="str">
        <f t="shared" si="39"/>
        <v/>
      </c>
      <c r="T97" t="str">
        <f>IF(M97="","",IF($B$9&gt;$B$8,IFERROR((INDEX(GERAL[SNAP],84)-$B$8)/($B$9-$B$8),0),0))</f>
        <v/>
      </c>
      <c r="U97" t="str">
        <f t="shared" si="40"/>
        <v/>
      </c>
      <c r="V97" t="str">
        <f>IFERROR(INDEX(GERAL[LADO],84),"")</f>
        <v/>
      </c>
      <c r="X97" t="str">
        <f>IFERROR(INDEX(GERAL[PONTO],64),"")</f>
        <v/>
      </c>
      <c r="Y97" t="str">
        <f>IF(X97="","",IFERROR(INDEX(GERAL[ACUMULADA],64),0))</f>
        <v/>
      </c>
      <c r="Z97" t="str">
        <f t="shared" si="31"/>
        <v/>
      </c>
      <c r="AA97" t="str">
        <f t="shared" si="32"/>
        <v/>
      </c>
      <c r="AB97" t="str">
        <f t="shared" si="33"/>
        <v/>
      </c>
      <c r="AC97" t="str">
        <f>IF(X97="","",IFERROR(INDEX(DIR_ATUAL[QT %],MATCH(X97,DIR_ATUAL[PONTO],0)),0))</f>
        <v/>
      </c>
      <c r="AD97" t="str">
        <f t="shared" si="34"/>
        <v/>
      </c>
      <c r="AE97" t="str">
        <f>IF(X97="","",IF($E$9&gt;$E$8,IFERROR((INDEX(GERAL[SNAP],64)-$E$8)/($E$9-$E$8),0),0))</f>
        <v/>
      </c>
      <c r="AF97" t="str">
        <f t="shared" si="35"/>
        <v/>
      </c>
      <c r="AG97" t="str">
        <f>IFERROR(INDEX(GERAL[LADO],64),"")</f>
        <v/>
      </c>
    </row>
    <row r="98" spans="13:33" x14ac:dyDescent="0.3">
      <c r="M98" t="str">
        <f>IFERROR(INDEX(GERAL[PONTO],85),"")</f>
        <v/>
      </c>
      <c r="N98" t="str">
        <f>IF(M98="","",IFERROR(INDEX(GERAL[ACUMULADA],85),0))</f>
        <v/>
      </c>
      <c r="O98" t="str">
        <f t="shared" si="36"/>
        <v/>
      </c>
      <c r="P98" t="str">
        <f t="shared" si="37"/>
        <v/>
      </c>
      <c r="Q98" t="str">
        <f t="shared" si="38"/>
        <v/>
      </c>
      <c r="R98" t="str">
        <f>IF(M98="","",IFERROR(INDEX(Tabela7[QT %],MATCH(M98,Tabela7[PONTO],0)),0))</f>
        <v/>
      </c>
      <c r="S98" t="str">
        <f t="shared" si="39"/>
        <v/>
      </c>
      <c r="T98" t="str">
        <f>IF(M98="","",IF($B$9&gt;$B$8,IFERROR((INDEX(GERAL[SNAP],85)-$B$8)/($B$9-$B$8),0),0))</f>
        <v/>
      </c>
      <c r="U98" t="str">
        <f t="shared" si="40"/>
        <v/>
      </c>
      <c r="V98" t="str">
        <f>IFERROR(INDEX(GERAL[LADO],85),"")</f>
        <v/>
      </c>
      <c r="X98" t="str">
        <f>IFERROR(INDEX(GERAL[PONTO],65),"")</f>
        <v/>
      </c>
      <c r="Y98" t="str">
        <f>IF(X98="","",IFERROR(INDEX(GERAL[ACUMULADA],65),0))</f>
        <v/>
      </c>
      <c r="Z98" t="str">
        <f t="shared" ref="Z98:Z129" si="41">IF(Y98="","",$B$31-Y98)</f>
        <v/>
      </c>
      <c r="AA98" t="str">
        <f t="shared" ref="AA98:AA129" si="42">IF(Y98="","",IF(Y98*1.15&lt;=30,30,IF(Y98*1.15&lt;=45,45,IF(Y98*1.15&lt;=75,75,IF(Y98*1.15&lt;=112.5,112.5,IF(Y98*1.15&lt;=150,150,IF(Y98*1.15&lt;=225,225,300)))))))</f>
        <v/>
      </c>
      <c r="AB98" t="str">
        <f t="shared" ref="AB98:AB129" si="43">IF(AA98="","",IFERROR(Y98/AA98,0))</f>
        <v/>
      </c>
      <c r="AC98" t="str">
        <f>IF(X98="","",IFERROR(INDEX(DIR_ATUAL[QT %],MATCH(X98,DIR_ATUAL[PONTO],0)),0))</f>
        <v/>
      </c>
      <c r="AD98" t="str">
        <f t="shared" ref="AD98:AD129" si="44">IF(Y98="","",IFERROR(1-ABS(Y98-Z98)/$B$31,0))</f>
        <v/>
      </c>
      <c r="AE98" t="str">
        <f>IF(X98="","",IF($E$9&gt;$E$8,IFERROR((INDEX(GERAL[SNAP],65)-$E$8)/($E$9-$E$8),0),0))</f>
        <v/>
      </c>
      <c r="AF98" t="str">
        <f t="shared" ref="AF98:AF129" si="45">IF(OR(X98="",AG98&lt;&gt;"DIREITO"),"",$L$2*IFERROR(Y98/$B$31,0)+$L$3*IF($D$31&gt;0,IFERROR(AC98/$D$31,0),0)+$L$4*IFERROR(AD98,0)-$L$5*IFERROR(AE98,0)-$L$6*MAX(0,IFERROR(AB98,0)-$L$7)+ROW()/1000000)</f>
        <v/>
      </c>
      <c r="AG98" t="str">
        <f>IFERROR(INDEX(GERAL[LADO],65),"")</f>
        <v/>
      </c>
    </row>
    <row r="99" spans="13:33" x14ac:dyDescent="0.3">
      <c r="M99" t="str">
        <f>IFERROR(INDEX(GERAL[PONTO],86),"")</f>
        <v/>
      </c>
      <c r="N99" t="str">
        <f>IF(M99="","",IFERROR(INDEX(GERAL[ACUMULADA],86),0))</f>
        <v/>
      </c>
      <c r="O99" t="str">
        <f t="shared" si="36"/>
        <v/>
      </c>
      <c r="P99" t="str">
        <f t="shared" si="37"/>
        <v/>
      </c>
      <c r="Q99" t="str">
        <f t="shared" si="38"/>
        <v/>
      </c>
      <c r="R99" t="str">
        <f>IF(M99="","",IFERROR(INDEX(Tabela7[QT %],MATCH(M99,Tabela7[PONTO],0)),0))</f>
        <v/>
      </c>
      <c r="S99" t="str">
        <f t="shared" si="39"/>
        <v/>
      </c>
      <c r="T99" t="str">
        <f>IF(M99="","",IF($B$9&gt;$B$8,IFERROR((INDEX(GERAL[SNAP],86)-$B$8)/($B$9-$B$8),0),0))</f>
        <v/>
      </c>
      <c r="U99" t="str">
        <f t="shared" si="40"/>
        <v/>
      </c>
      <c r="V99" t="str">
        <f>IFERROR(INDEX(GERAL[LADO],86),"")</f>
        <v/>
      </c>
      <c r="X99" t="str">
        <f>IFERROR(INDEX(GERAL[PONTO],66),"")</f>
        <v/>
      </c>
      <c r="Y99" t="str">
        <f>IF(X99="","",IFERROR(INDEX(GERAL[ACUMULADA],66),0))</f>
        <v/>
      </c>
      <c r="Z99" t="str">
        <f t="shared" si="41"/>
        <v/>
      </c>
      <c r="AA99" t="str">
        <f t="shared" si="42"/>
        <v/>
      </c>
      <c r="AB99" t="str">
        <f t="shared" si="43"/>
        <v/>
      </c>
      <c r="AC99" t="str">
        <f>IF(X99="","",IFERROR(INDEX(DIR_ATUAL[QT %],MATCH(X99,DIR_ATUAL[PONTO],0)),0))</f>
        <v/>
      </c>
      <c r="AD99" t="str">
        <f t="shared" si="44"/>
        <v/>
      </c>
      <c r="AE99" t="str">
        <f>IF(X99="","",IF($E$9&gt;$E$8,IFERROR((INDEX(GERAL[SNAP],66)-$E$8)/($E$9-$E$8),0),0))</f>
        <v/>
      </c>
      <c r="AF99" t="str">
        <f t="shared" si="45"/>
        <v/>
      </c>
      <c r="AG99" t="str">
        <f>IFERROR(INDEX(GERAL[LADO],66),"")</f>
        <v/>
      </c>
    </row>
    <row r="100" spans="13:33" x14ac:dyDescent="0.3">
      <c r="M100" t="str">
        <f>IFERROR(INDEX(GERAL[PONTO],87),"")</f>
        <v/>
      </c>
      <c r="N100" t="str">
        <f>IF(M100="","",IFERROR(INDEX(GERAL[ACUMULADA],87),0))</f>
        <v/>
      </c>
      <c r="O100" t="str">
        <f t="shared" si="36"/>
        <v/>
      </c>
      <c r="P100" t="str">
        <f t="shared" si="37"/>
        <v/>
      </c>
      <c r="Q100" t="str">
        <f t="shared" si="38"/>
        <v/>
      </c>
      <c r="R100" t="str">
        <f>IF(M100="","",IFERROR(INDEX(Tabela7[QT %],MATCH(M100,Tabela7[PONTO],0)),0))</f>
        <v/>
      </c>
      <c r="S100" t="str">
        <f t="shared" si="39"/>
        <v/>
      </c>
      <c r="T100" t="str">
        <f>IF(M100="","",IF($B$9&gt;$B$8,IFERROR((INDEX(GERAL[SNAP],87)-$B$8)/($B$9-$B$8),0),0))</f>
        <v/>
      </c>
      <c r="U100" t="str">
        <f t="shared" si="40"/>
        <v/>
      </c>
      <c r="V100" t="str">
        <f>IFERROR(INDEX(GERAL[LADO],87),"")</f>
        <v/>
      </c>
      <c r="X100" t="str">
        <f>IFERROR(INDEX(GERAL[PONTO],67),"")</f>
        <v/>
      </c>
      <c r="Y100" t="str">
        <f>IF(X100="","",IFERROR(INDEX(GERAL[ACUMULADA],67),0))</f>
        <v/>
      </c>
      <c r="Z100" t="str">
        <f t="shared" si="41"/>
        <v/>
      </c>
      <c r="AA100" t="str">
        <f t="shared" si="42"/>
        <v/>
      </c>
      <c r="AB100" t="str">
        <f t="shared" si="43"/>
        <v/>
      </c>
      <c r="AC100" t="str">
        <f>IF(X100="","",IFERROR(INDEX(DIR_ATUAL[QT %],MATCH(X100,DIR_ATUAL[PONTO],0)),0))</f>
        <v/>
      </c>
      <c r="AD100" t="str">
        <f t="shared" si="44"/>
        <v/>
      </c>
      <c r="AE100" t="str">
        <f>IF(X100="","",IF($E$9&gt;$E$8,IFERROR((INDEX(GERAL[SNAP],67)-$E$8)/($E$9-$E$8),0),0))</f>
        <v/>
      </c>
      <c r="AF100" t="str">
        <f t="shared" si="45"/>
        <v/>
      </c>
      <c r="AG100" t="str">
        <f>IFERROR(INDEX(GERAL[LADO],67),"")</f>
        <v/>
      </c>
    </row>
    <row r="101" spans="13:33" x14ac:dyDescent="0.3">
      <c r="M101" t="str">
        <f>IFERROR(INDEX(GERAL[PONTO],88),"")</f>
        <v/>
      </c>
      <c r="N101" t="str">
        <f>IF(M101="","",IFERROR(INDEX(GERAL[ACUMULADA],88),0))</f>
        <v/>
      </c>
      <c r="O101" t="str">
        <f t="shared" si="36"/>
        <v/>
      </c>
      <c r="P101" t="str">
        <f t="shared" si="37"/>
        <v/>
      </c>
      <c r="Q101" t="str">
        <f t="shared" si="38"/>
        <v/>
      </c>
      <c r="R101" t="str">
        <f>IF(M101="","",IFERROR(INDEX(Tabela7[QT %],MATCH(M101,Tabela7[PONTO],0)),0))</f>
        <v/>
      </c>
      <c r="S101" t="str">
        <f t="shared" si="39"/>
        <v/>
      </c>
      <c r="T101" t="str">
        <f>IF(M101="","",IF($B$9&gt;$B$8,IFERROR((INDEX(GERAL[SNAP],88)-$B$8)/($B$9-$B$8),0),0))</f>
        <v/>
      </c>
      <c r="U101" t="str">
        <f t="shared" si="40"/>
        <v/>
      </c>
      <c r="V101" t="str">
        <f>IFERROR(INDEX(GERAL[LADO],88),"")</f>
        <v/>
      </c>
      <c r="X101" t="str">
        <f>IFERROR(INDEX(GERAL[PONTO],68),"")</f>
        <v/>
      </c>
      <c r="Y101" t="str">
        <f>IF(X101="","",IFERROR(INDEX(GERAL[ACUMULADA],68),0))</f>
        <v/>
      </c>
      <c r="Z101" t="str">
        <f t="shared" si="41"/>
        <v/>
      </c>
      <c r="AA101" t="str">
        <f t="shared" si="42"/>
        <v/>
      </c>
      <c r="AB101" t="str">
        <f t="shared" si="43"/>
        <v/>
      </c>
      <c r="AC101" t="str">
        <f>IF(X101="","",IFERROR(INDEX(DIR_ATUAL[QT %],MATCH(X101,DIR_ATUAL[PONTO],0)),0))</f>
        <v/>
      </c>
      <c r="AD101" t="str">
        <f t="shared" si="44"/>
        <v/>
      </c>
      <c r="AE101" t="str">
        <f>IF(X101="","",IF($E$9&gt;$E$8,IFERROR((INDEX(GERAL[SNAP],68)-$E$8)/($E$9-$E$8),0),0))</f>
        <v/>
      </c>
      <c r="AF101" t="str">
        <f t="shared" si="45"/>
        <v/>
      </c>
      <c r="AG101" t="str">
        <f>IFERROR(INDEX(GERAL[LADO],68),"")</f>
        <v/>
      </c>
    </row>
    <row r="102" spans="13:33" x14ac:dyDescent="0.3">
      <c r="M102" t="str">
        <f>IFERROR(INDEX(GERAL[PONTO],89),"")</f>
        <v/>
      </c>
      <c r="N102" t="str">
        <f>IF(M102="","",IFERROR(INDEX(GERAL[ACUMULADA],89),0))</f>
        <v/>
      </c>
      <c r="O102" t="str">
        <f t="shared" si="36"/>
        <v/>
      </c>
      <c r="P102" t="str">
        <f t="shared" si="37"/>
        <v/>
      </c>
      <c r="Q102" t="str">
        <f t="shared" si="38"/>
        <v/>
      </c>
      <c r="R102" t="str">
        <f>IF(M102="","",IFERROR(INDEX(Tabela7[QT %],MATCH(M102,Tabela7[PONTO],0)),0))</f>
        <v/>
      </c>
      <c r="S102" t="str">
        <f t="shared" si="39"/>
        <v/>
      </c>
      <c r="T102" t="str">
        <f>IF(M102="","",IF($B$9&gt;$B$8,IFERROR((INDEX(GERAL[SNAP],89)-$B$8)/($B$9-$B$8),0),0))</f>
        <v/>
      </c>
      <c r="U102" t="str">
        <f t="shared" si="40"/>
        <v/>
      </c>
      <c r="V102" t="str">
        <f>IFERROR(INDEX(GERAL[LADO],89),"")</f>
        <v/>
      </c>
      <c r="X102" t="str">
        <f>IFERROR(INDEX(GERAL[PONTO],69),"")</f>
        <v/>
      </c>
      <c r="Y102" t="str">
        <f>IF(X102="","",IFERROR(INDEX(GERAL[ACUMULADA],69),0))</f>
        <v/>
      </c>
      <c r="Z102" t="str">
        <f t="shared" si="41"/>
        <v/>
      </c>
      <c r="AA102" t="str">
        <f t="shared" si="42"/>
        <v/>
      </c>
      <c r="AB102" t="str">
        <f t="shared" si="43"/>
        <v/>
      </c>
      <c r="AC102" t="str">
        <f>IF(X102="","",IFERROR(INDEX(DIR_ATUAL[QT %],MATCH(X102,DIR_ATUAL[PONTO],0)),0))</f>
        <v/>
      </c>
      <c r="AD102" t="str">
        <f t="shared" si="44"/>
        <v/>
      </c>
      <c r="AE102" t="str">
        <f>IF(X102="","",IF($E$9&gt;$E$8,IFERROR((INDEX(GERAL[SNAP],69)-$E$8)/($E$9-$E$8),0),0))</f>
        <v/>
      </c>
      <c r="AF102" t="str">
        <f t="shared" si="45"/>
        <v/>
      </c>
      <c r="AG102" t="str">
        <f>IFERROR(INDEX(GERAL[LADO],69),"")</f>
        <v/>
      </c>
    </row>
    <row r="103" spans="13:33" x14ac:dyDescent="0.3">
      <c r="M103" t="str">
        <f>IFERROR(INDEX(GERAL[PONTO],90),"")</f>
        <v/>
      </c>
      <c r="N103" t="str">
        <f>IF(M103="","",IFERROR(INDEX(GERAL[ACUMULADA],90),0))</f>
        <v/>
      </c>
      <c r="O103" t="str">
        <f t="shared" si="36"/>
        <v/>
      </c>
      <c r="P103" t="str">
        <f t="shared" si="37"/>
        <v/>
      </c>
      <c r="Q103" t="str">
        <f t="shared" si="38"/>
        <v/>
      </c>
      <c r="R103" t="str">
        <f>IF(M103="","",IFERROR(INDEX(Tabela7[QT %],MATCH(M103,Tabela7[PONTO],0)),0))</f>
        <v/>
      </c>
      <c r="S103" t="str">
        <f t="shared" si="39"/>
        <v/>
      </c>
      <c r="T103" t="str">
        <f>IF(M103="","",IF($B$9&gt;$B$8,IFERROR((INDEX(GERAL[SNAP],90)-$B$8)/($B$9-$B$8),0),0))</f>
        <v/>
      </c>
      <c r="U103" t="str">
        <f t="shared" si="40"/>
        <v/>
      </c>
      <c r="V103" t="str">
        <f>IFERROR(INDEX(GERAL[LADO],90),"")</f>
        <v/>
      </c>
      <c r="X103" t="str">
        <f>IFERROR(INDEX(GERAL[PONTO],70),"")</f>
        <v/>
      </c>
      <c r="Y103" t="str">
        <f>IF(X103="","",IFERROR(INDEX(GERAL[ACUMULADA],70),0))</f>
        <v/>
      </c>
      <c r="Z103" t="str">
        <f t="shared" si="41"/>
        <v/>
      </c>
      <c r="AA103" t="str">
        <f t="shared" si="42"/>
        <v/>
      </c>
      <c r="AB103" t="str">
        <f t="shared" si="43"/>
        <v/>
      </c>
      <c r="AC103" t="str">
        <f>IF(X103="","",IFERROR(INDEX(DIR_ATUAL[QT %],MATCH(X103,DIR_ATUAL[PONTO],0)),0))</f>
        <v/>
      </c>
      <c r="AD103" t="str">
        <f t="shared" si="44"/>
        <v/>
      </c>
      <c r="AE103" t="str">
        <f>IF(X103="","",IF($E$9&gt;$E$8,IFERROR((INDEX(GERAL[SNAP],70)-$E$8)/($E$9-$E$8),0),0))</f>
        <v/>
      </c>
      <c r="AF103" t="str">
        <f t="shared" si="45"/>
        <v/>
      </c>
      <c r="AG103" t="str">
        <f>IFERROR(INDEX(GERAL[LADO],70),"")</f>
        <v/>
      </c>
    </row>
    <row r="104" spans="13:33" x14ac:dyDescent="0.3">
      <c r="M104" t="str">
        <f>IFERROR(INDEX(GERAL[PONTO],91),"")</f>
        <v/>
      </c>
      <c r="N104" t="str">
        <f>IF(M104="","",IFERROR(INDEX(GERAL[ACUMULADA],91),0))</f>
        <v/>
      </c>
      <c r="O104" t="str">
        <f t="shared" si="36"/>
        <v/>
      </c>
      <c r="P104" t="str">
        <f t="shared" si="37"/>
        <v/>
      </c>
      <c r="Q104" t="str">
        <f t="shared" si="38"/>
        <v/>
      </c>
      <c r="R104" t="str">
        <f>IF(M104="","",IFERROR(INDEX(Tabela7[QT %],MATCH(M104,Tabela7[PONTO],0)),0))</f>
        <v/>
      </c>
      <c r="S104" t="str">
        <f t="shared" si="39"/>
        <v/>
      </c>
      <c r="T104" t="str">
        <f>IF(M104="","",IF($B$9&gt;$B$8,IFERROR((INDEX(GERAL[SNAP],91)-$B$8)/($B$9-$B$8),0),0))</f>
        <v/>
      </c>
      <c r="U104" t="str">
        <f t="shared" si="40"/>
        <v/>
      </c>
      <c r="V104" t="str">
        <f>IFERROR(INDEX(GERAL[LADO],91),"")</f>
        <v/>
      </c>
      <c r="X104" t="str">
        <f>IFERROR(INDEX(GERAL[PONTO],71),"")</f>
        <v/>
      </c>
      <c r="Y104" t="str">
        <f>IF(X104="","",IFERROR(INDEX(GERAL[ACUMULADA],71),0))</f>
        <v/>
      </c>
      <c r="Z104" t="str">
        <f t="shared" si="41"/>
        <v/>
      </c>
      <c r="AA104" t="str">
        <f t="shared" si="42"/>
        <v/>
      </c>
      <c r="AB104" t="str">
        <f t="shared" si="43"/>
        <v/>
      </c>
      <c r="AC104" t="str">
        <f>IF(X104="","",IFERROR(INDEX(DIR_ATUAL[QT %],MATCH(X104,DIR_ATUAL[PONTO],0)),0))</f>
        <v/>
      </c>
      <c r="AD104" t="str">
        <f t="shared" si="44"/>
        <v/>
      </c>
      <c r="AE104" t="str">
        <f>IF(X104="","",IF($E$9&gt;$E$8,IFERROR((INDEX(GERAL[SNAP],71)-$E$8)/($E$9-$E$8),0),0))</f>
        <v/>
      </c>
      <c r="AF104" t="str">
        <f t="shared" si="45"/>
        <v/>
      </c>
      <c r="AG104" t="str">
        <f>IFERROR(INDEX(GERAL[LADO],71),"")</f>
        <v/>
      </c>
    </row>
    <row r="105" spans="13:33" x14ac:dyDescent="0.3">
      <c r="M105" t="str">
        <f>IFERROR(INDEX(GERAL[PONTO],92),"")</f>
        <v/>
      </c>
      <c r="N105" t="str">
        <f>IF(M105="","",IFERROR(INDEX(GERAL[ACUMULADA],92),0))</f>
        <v/>
      </c>
      <c r="O105" t="str">
        <f t="shared" si="36"/>
        <v/>
      </c>
      <c r="P105" t="str">
        <f t="shared" si="37"/>
        <v/>
      </c>
      <c r="Q105" t="str">
        <f t="shared" si="38"/>
        <v/>
      </c>
      <c r="R105" t="str">
        <f>IF(M105="","",IFERROR(INDEX(Tabela7[QT %],MATCH(M105,Tabela7[PONTO],0)),0))</f>
        <v/>
      </c>
      <c r="S105" t="str">
        <f t="shared" si="39"/>
        <v/>
      </c>
      <c r="T105" t="str">
        <f>IF(M105="","",IF($B$9&gt;$B$8,IFERROR((INDEX(GERAL[SNAP],92)-$B$8)/($B$9-$B$8),0),0))</f>
        <v/>
      </c>
      <c r="U105" t="str">
        <f t="shared" si="40"/>
        <v/>
      </c>
      <c r="V105" t="str">
        <f>IFERROR(INDEX(GERAL[LADO],92),"")</f>
        <v/>
      </c>
      <c r="X105" t="str">
        <f>IFERROR(INDEX(GERAL[PONTO],72),"")</f>
        <v/>
      </c>
      <c r="Y105" t="str">
        <f>IF(X105="","",IFERROR(INDEX(GERAL[ACUMULADA],72),0))</f>
        <v/>
      </c>
      <c r="Z105" t="str">
        <f t="shared" si="41"/>
        <v/>
      </c>
      <c r="AA105" t="str">
        <f t="shared" si="42"/>
        <v/>
      </c>
      <c r="AB105" t="str">
        <f t="shared" si="43"/>
        <v/>
      </c>
      <c r="AC105" t="str">
        <f>IF(X105="","",IFERROR(INDEX(DIR_ATUAL[QT %],MATCH(X105,DIR_ATUAL[PONTO],0)),0))</f>
        <v/>
      </c>
      <c r="AD105" t="str">
        <f t="shared" si="44"/>
        <v/>
      </c>
      <c r="AE105" t="str">
        <f>IF(X105="","",IF($E$9&gt;$E$8,IFERROR((INDEX(GERAL[SNAP],72)-$E$8)/($E$9-$E$8),0),0))</f>
        <v/>
      </c>
      <c r="AF105" t="str">
        <f t="shared" si="45"/>
        <v/>
      </c>
      <c r="AG105" t="str">
        <f>IFERROR(INDEX(GERAL[LADO],72),"")</f>
        <v/>
      </c>
    </row>
    <row r="106" spans="13:33" x14ac:dyDescent="0.3">
      <c r="M106" t="str">
        <f>IFERROR(INDEX(GERAL[PONTO],93),"")</f>
        <v/>
      </c>
      <c r="N106" t="str">
        <f>IF(M106="","",IFERROR(INDEX(GERAL[ACUMULADA],93),0))</f>
        <v/>
      </c>
      <c r="O106" t="str">
        <f t="shared" si="36"/>
        <v/>
      </c>
      <c r="P106" t="str">
        <f t="shared" si="37"/>
        <v/>
      </c>
      <c r="Q106" t="str">
        <f t="shared" si="38"/>
        <v/>
      </c>
      <c r="R106" t="str">
        <f>IF(M106="","",IFERROR(INDEX(Tabela7[QT %],MATCH(M106,Tabela7[PONTO],0)),0))</f>
        <v/>
      </c>
      <c r="S106" t="str">
        <f t="shared" si="39"/>
        <v/>
      </c>
      <c r="T106" t="str">
        <f>IF(M106="","",IF($B$9&gt;$B$8,IFERROR((INDEX(GERAL[SNAP],93)-$B$8)/($B$9-$B$8),0),0))</f>
        <v/>
      </c>
      <c r="U106" t="str">
        <f t="shared" si="40"/>
        <v/>
      </c>
      <c r="V106" t="str">
        <f>IFERROR(INDEX(GERAL[LADO],93),"")</f>
        <v/>
      </c>
      <c r="X106" t="str">
        <f>IFERROR(INDEX(GERAL[PONTO],73),"")</f>
        <v/>
      </c>
      <c r="Y106" t="str">
        <f>IF(X106="","",IFERROR(INDEX(GERAL[ACUMULADA],73),0))</f>
        <v/>
      </c>
      <c r="Z106" t="str">
        <f t="shared" si="41"/>
        <v/>
      </c>
      <c r="AA106" t="str">
        <f t="shared" si="42"/>
        <v/>
      </c>
      <c r="AB106" t="str">
        <f t="shared" si="43"/>
        <v/>
      </c>
      <c r="AC106" t="str">
        <f>IF(X106="","",IFERROR(INDEX(DIR_ATUAL[QT %],MATCH(X106,DIR_ATUAL[PONTO],0)),0))</f>
        <v/>
      </c>
      <c r="AD106" t="str">
        <f t="shared" si="44"/>
        <v/>
      </c>
      <c r="AE106" t="str">
        <f>IF(X106="","",IF($E$9&gt;$E$8,IFERROR((INDEX(GERAL[SNAP],73)-$E$8)/($E$9-$E$8),0),0))</f>
        <v/>
      </c>
      <c r="AF106" t="str">
        <f t="shared" si="45"/>
        <v/>
      </c>
      <c r="AG106" t="str">
        <f>IFERROR(INDEX(GERAL[LADO],73),"")</f>
        <v/>
      </c>
    </row>
    <row r="107" spans="13:33" x14ac:dyDescent="0.3">
      <c r="M107" t="str">
        <f>IFERROR(INDEX(GERAL[PONTO],94),"")</f>
        <v/>
      </c>
      <c r="N107" t="str">
        <f>IF(M107="","",IFERROR(INDEX(GERAL[ACUMULADA],94),0))</f>
        <v/>
      </c>
      <c r="O107" t="str">
        <f t="shared" si="36"/>
        <v/>
      </c>
      <c r="P107" t="str">
        <f t="shared" si="37"/>
        <v/>
      </c>
      <c r="Q107" t="str">
        <f t="shared" si="38"/>
        <v/>
      </c>
      <c r="R107" t="str">
        <f>IF(M107="","",IFERROR(INDEX(Tabela7[QT %],MATCH(M107,Tabela7[PONTO],0)),0))</f>
        <v/>
      </c>
      <c r="S107" t="str">
        <f t="shared" si="39"/>
        <v/>
      </c>
      <c r="T107" t="str">
        <f>IF(M107="","",IF($B$9&gt;$B$8,IFERROR((INDEX(GERAL[SNAP],94)-$B$8)/($B$9-$B$8),0),0))</f>
        <v/>
      </c>
      <c r="U107" t="str">
        <f t="shared" si="40"/>
        <v/>
      </c>
      <c r="V107" t="str">
        <f>IFERROR(INDEX(GERAL[LADO],94),"")</f>
        <v/>
      </c>
      <c r="X107" t="str">
        <f>IFERROR(INDEX(GERAL[PONTO],74),"")</f>
        <v/>
      </c>
      <c r="Y107" t="str">
        <f>IF(X107="","",IFERROR(INDEX(GERAL[ACUMULADA],74),0))</f>
        <v/>
      </c>
      <c r="Z107" t="str">
        <f t="shared" si="41"/>
        <v/>
      </c>
      <c r="AA107" t="str">
        <f t="shared" si="42"/>
        <v/>
      </c>
      <c r="AB107" t="str">
        <f t="shared" si="43"/>
        <v/>
      </c>
      <c r="AC107" t="str">
        <f>IF(X107="","",IFERROR(INDEX(DIR_ATUAL[QT %],MATCH(X107,DIR_ATUAL[PONTO],0)),0))</f>
        <v/>
      </c>
      <c r="AD107" t="str">
        <f t="shared" si="44"/>
        <v/>
      </c>
      <c r="AE107" t="str">
        <f>IF(X107="","",IF($E$9&gt;$E$8,IFERROR((INDEX(GERAL[SNAP],74)-$E$8)/($E$9-$E$8),0),0))</f>
        <v/>
      </c>
      <c r="AF107" t="str">
        <f t="shared" si="45"/>
        <v/>
      </c>
      <c r="AG107" t="str">
        <f>IFERROR(INDEX(GERAL[LADO],74),"")</f>
        <v/>
      </c>
    </row>
    <row r="108" spans="13:33" x14ac:dyDescent="0.3">
      <c r="M108" t="str">
        <f>IFERROR(INDEX(GERAL[PONTO],95),"")</f>
        <v/>
      </c>
      <c r="N108" t="str">
        <f>IF(M108="","",IFERROR(INDEX(GERAL[ACUMULADA],95),0))</f>
        <v/>
      </c>
      <c r="O108" t="str">
        <f t="shared" si="36"/>
        <v/>
      </c>
      <c r="P108" t="str">
        <f t="shared" si="37"/>
        <v/>
      </c>
      <c r="Q108" t="str">
        <f t="shared" si="38"/>
        <v/>
      </c>
      <c r="R108" t="str">
        <f>IF(M108="","",IFERROR(INDEX(Tabela7[QT %],MATCH(M108,Tabela7[PONTO],0)),0))</f>
        <v/>
      </c>
      <c r="S108" t="str">
        <f t="shared" si="39"/>
        <v/>
      </c>
      <c r="T108" t="str">
        <f>IF(M108="","",IF($B$9&gt;$B$8,IFERROR((INDEX(GERAL[SNAP],95)-$B$8)/($B$9-$B$8),0),0))</f>
        <v/>
      </c>
      <c r="U108" t="str">
        <f t="shared" si="40"/>
        <v/>
      </c>
      <c r="V108" t="str">
        <f>IFERROR(INDEX(GERAL[LADO],95),"")</f>
        <v/>
      </c>
      <c r="X108" t="str">
        <f>IFERROR(INDEX(GERAL[PONTO],75),"")</f>
        <v/>
      </c>
      <c r="Y108" t="str">
        <f>IF(X108="","",IFERROR(INDEX(GERAL[ACUMULADA],75),0))</f>
        <v/>
      </c>
      <c r="Z108" t="str">
        <f t="shared" si="41"/>
        <v/>
      </c>
      <c r="AA108" t="str">
        <f t="shared" si="42"/>
        <v/>
      </c>
      <c r="AB108" t="str">
        <f t="shared" si="43"/>
        <v/>
      </c>
      <c r="AC108" t="str">
        <f>IF(X108="","",IFERROR(INDEX(DIR_ATUAL[QT %],MATCH(X108,DIR_ATUAL[PONTO],0)),0))</f>
        <v/>
      </c>
      <c r="AD108" t="str">
        <f t="shared" si="44"/>
        <v/>
      </c>
      <c r="AE108" t="str">
        <f>IF(X108="","",IF($E$9&gt;$E$8,IFERROR((INDEX(GERAL[SNAP],75)-$E$8)/($E$9-$E$8),0),0))</f>
        <v/>
      </c>
      <c r="AF108" t="str">
        <f t="shared" si="45"/>
        <v/>
      </c>
      <c r="AG108" t="str">
        <f>IFERROR(INDEX(GERAL[LADO],75),"")</f>
        <v/>
      </c>
    </row>
    <row r="109" spans="13:33" x14ac:dyDescent="0.3">
      <c r="M109" t="str">
        <f>IFERROR(INDEX(GERAL[PONTO],96),"")</f>
        <v/>
      </c>
      <c r="N109" t="str">
        <f>IF(M109="","",IFERROR(INDEX(GERAL[ACUMULADA],96),0))</f>
        <v/>
      </c>
      <c r="O109" t="str">
        <f t="shared" si="36"/>
        <v/>
      </c>
      <c r="P109" t="str">
        <f t="shared" si="37"/>
        <v/>
      </c>
      <c r="Q109" t="str">
        <f t="shared" si="38"/>
        <v/>
      </c>
      <c r="R109" t="str">
        <f>IF(M109="","",IFERROR(INDEX(Tabela7[QT %],MATCH(M109,Tabela7[PONTO],0)),0))</f>
        <v/>
      </c>
      <c r="S109" t="str">
        <f t="shared" si="39"/>
        <v/>
      </c>
      <c r="T109" t="str">
        <f>IF(M109="","",IF($B$9&gt;$B$8,IFERROR((INDEX(GERAL[SNAP],96)-$B$8)/($B$9-$B$8),0),0))</f>
        <v/>
      </c>
      <c r="U109" t="str">
        <f t="shared" si="40"/>
        <v/>
      </c>
      <c r="V109" t="str">
        <f>IFERROR(INDEX(GERAL[LADO],96),"")</f>
        <v/>
      </c>
      <c r="X109" t="str">
        <f>IFERROR(INDEX(GERAL[PONTO],76),"")</f>
        <v/>
      </c>
      <c r="Y109" t="str">
        <f>IF(X109="","",IFERROR(INDEX(GERAL[ACUMULADA],76),0))</f>
        <v/>
      </c>
      <c r="Z109" t="str">
        <f t="shared" si="41"/>
        <v/>
      </c>
      <c r="AA109" t="str">
        <f t="shared" si="42"/>
        <v/>
      </c>
      <c r="AB109" t="str">
        <f t="shared" si="43"/>
        <v/>
      </c>
      <c r="AC109" t="str">
        <f>IF(X109="","",IFERROR(INDEX(DIR_ATUAL[QT %],MATCH(X109,DIR_ATUAL[PONTO],0)),0))</f>
        <v/>
      </c>
      <c r="AD109" t="str">
        <f t="shared" si="44"/>
        <v/>
      </c>
      <c r="AE109" t="str">
        <f>IF(X109="","",IF($E$9&gt;$E$8,IFERROR((INDEX(GERAL[SNAP],76)-$E$8)/($E$9-$E$8),0),0))</f>
        <v/>
      </c>
      <c r="AF109" t="str">
        <f t="shared" si="45"/>
        <v/>
      </c>
      <c r="AG109" t="str">
        <f>IFERROR(INDEX(GERAL[LADO],76),"")</f>
        <v/>
      </c>
    </row>
    <row r="110" spans="13:33" x14ac:dyDescent="0.3">
      <c r="M110" t="str">
        <f>IFERROR(INDEX(GERAL[PONTO],97),"")</f>
        <v/>
      </c>
      <c r="N110" t="str">
        <f>IF(M110="","",IFERROR(INDEX(GERAL[ACUMULADA],97),0))</f>
        <v/>
      </c>
      <c r="O110" t="str">
        <f t="shared" ref="O110:O141" si="46">IF(N110="","",$B$11-N110)</f>
        <v/>
      </c>
      <c r="P110" t="str">
        <f t="shared" ref="P110:P141" si="47">IF(N110="","",IF(N110*1.15&lt;=30,30,IF(N110*1.15&lt;=45,45,IF(N110*1.15&lt;=75,75,IF(N110*1.15&lt;=112.5,112.5,IF(N110*1.15&lt;=150,150,IF(N110*1.15&lt;=225,225,300)))))))</f>
        <v/>
      </c>
      <c r="Q110" t="str">
        <f t="shared" ref="Q110:Q141" si="48">IF(P110="","",IFERROR(N110/P110,0))</f>
        <v/>
      </c>
      <c r="R110" t="str">
        <f>IF(M110="","",IFERROR(INDEX(Tabela7[QT %],MATCH(M110,Tabela7[PONTO],0)),0))</f>
        <v/>
      </c>
      <c r="S110" t="str">
        <f t="shared" ref="S110:S141" si="49">IF(N110="","",IFERROR(1-ABS(N110-O110)/$B$11,0))</f>
        <v/>
      </c>
      <c r="T110" t="str">
        <f>IF(M110="","",IF($B$9&gt;$B$8,IFERROR((INDEX(GERAL[SNAP],97)-$B$8)/($B$9-$B$8),0),0))</f>
        <v/>
      </c>
      <c r="U110" t="str">
        <f t="shared" ref="U110:U141" si="50">IF(OR(M110="",V110&lt;&gt;"ESQUERDO"),"",$L$2*IFERROR(N110/$B$11,0)+$L$3*IF($D$11&gt;0,IFERROR(R110/$D$11,0),0)+$L$4*IFERROR(S110,0)-$L$5*IFERROR(T110,0)-$L$6*MAX(0,IFERROR(Q110,0)-$L$7)+ROW()/1000000)</f>
        <v/>
      </c>
      <c r="V110" t="str">
        <f>IFERROR(INDEX(GERAL[LADO],97),"")</f>
        <v/>
      </c>
      <c r="X110" t="str">
        <f>IFERROR(INDEX(GERAL[PONTO],77),"")</f>
        <v/>
      </c>
      <c r="Y110" t="str">
        <f>IF(X110="","",IFERROR(INDEX(GERAL[ACUMULADA],77),0))</f>
        <v/>
      </c>
      <c r="Z110" t="str">
        <f t="shared" si="41"/>
        <v/>
      </c>
      <c r="AA110" t="str">
        <f t="shared" si="42"/>
        <v/>
      </c>
      <c r="AB110" t="str">
        <f t="shared" si="43"/>
        <v/>
      </c>
      <c r="AC110" t="str">
        <f>IF(X110="","",IFERROR(INDEX(DIR_ATUAL[QT %],MATCH(X110,DIR_ATUAL[PONTO],0)),0))</f>
        <v/>
      </c>
      <c r="AD110" t="str">
        <f t="shared" si="44"/>
        <v/>
      </c>
      <c r="AE110" t="str">
        <f>IF(X110="","",IF($E$9&gt;$E$8,IFERROR((INDEX(GERAL[SNAP],77)-$E$8)/($E$9-$E$8),0),0))</f>
        <v/>
      </c>
      <c r="AF110" t="str">
        <f t="shared" si="45"/>
        <v/>
      </c>
      <c r="AG110" t="str">
        <f>IFERROR(INDEX(GERAL[LADO],77),"")</f>
        <v/>
      </c>
    </row>
    <row r="111" spans="13:33" x14ac:dyDescent="0.3">
      <c r="M111" t="str">
        <f>IFERROR(INDEX(GERAL[PONTO],98),"")</f>
        <v/>
      </c>
      <c r="N111" t="str">
        <f>IF(M111="","",IFERROR(INDEX(GERAL[ACUMULADA],98),0))</f>
        <v/>
      </c>
      <c r="O111" t="str">
        <f t="shared" si="46"/>
        <v/>
      </c>
      <c r="P111" t="str">
        <f t="shared" si="47"/>
        <v/>
      </c>
      <c r="Q111" t="str">
        <f t="shared" si="48"/>
        <v/>
      </c>
      <c r="R111" t="str">
        <f>IF(M111="","",IFERROR(INDEX(Tabela7[QT %],MATCH(M111,Tabela7[PONTO],0)),0))</f>
        <v/>
      </c>
      <c r="S111" t="str">
        <f t="shared" si="49"/>
        <v/>
      </c>
      <c r="T111" t="str">
        <f>IF(M111="","",IF($B$9&gt;$B$8,IFERROR((INDEX(GERAL[SNAP],98)-$B$8)/($B$9-$B$8),0),0))</f>
        <v/>
      </c>
      <c r="U111" t="str">
        <f t="shared" si="50"/>
        <v/>
      </c>
      <c r="V111" t="str">
        <f>IFERROR(INDEX(GERAL[LADO],98),"")</f>
        <v/>
      </c>
      <c r="X111" t="str">
        <f>IFERROR(INDEX(GERAL[PONTO],78),"")</f>
        <v/>
      </c>
      <c r="Y111" t="str">
        <f>IF(X111="","",IFERROR(INDEX(GERAL[ACUMULADA],78),0))</f>
        <v/>
      </c>
      <c r="Z111" t="str">
        <f t="shared" si="41"/>
        <v/>
      </c>
      <c r="AA111" t="str">
        <f t="shared" si="42"/>
        <v/>
      </c>
      <c r="AB111" t="str">
        <f t="shared" si="43"/>
        <v/>
      </c>
      <c r="AC111" t="str">
        <f>IF(X111="","",IFERROR(INDEX(DIR_ATUAL[QT %],MATCH(X111,DIR_ATUAL[PONTO],0)),0))</f>
        <v/>
      </c>
      <c r="AD111" t="str">
        <f t="shared" si="44"/>
        <v/>
      </c>
      <c r="AE111" t="str">
        <f>IF(X111="","",IF($E$9&gt;$E$8,IFERROR((INDEX(GERAL[SNAP],78)-$E$8)/($E$9-$E$8),0),0))</f>
        <v/>
      </c>
      <c r="AF111" t="str">
        <f t="shared" si="45"/>
        <v/>
      </c>
      <c r="AG111" t="str">
        <f>IFERROR(INDEX(GERAL[LADO],78),"")</f>
        <v/>
      </c>
    </row>
    <row r="112" spans="13:33" x14ac:dyDescent="0.3">
      <c r="M112" t="str">
        <f>IFERROR(INDEX(GERAL[PONTO],99),"")</f>
        <v/>
      </c>
      <c r="N112" t="str">
        <f>IF(M112="","",IFERROR(INDEX(GERAL[ACUMULADA],99),0))</f>
        <v/>
      </c>
      <c r="O112" t="str">
        <f t="shared" si="46"/>
        <v/>
      </c>
      <c r="P112" t="str">
        <f t="shared" si="47"/>
        <v/>
      </c>
      <c r="Q112" t="str">
        <f t="shared" si="48"/>
        <v/>
      </c>
      <c r="R112" t="str">
        <f>IF(M112="","",IFERROR(INDEX(Tabela7[QT %],MATCH(M112,Tabela7[PONTO],0)),0))</f>
        <v/>
      </c>
      <c r="S112" t="str">
        <f t="shared" si="49"/>
        <v/>
      </c>
      <c r="T112" t="str">
        <f>IF(M112="","",IF($B$9&gt;$B$8,IFERROR((INDEX(GERAL[SNAP],99)-$B$8)/($B$9-$B$8),0),0))</f>
        <v/>
      </c>
      <c r="U112" t="str">
        <f t="shared" si="50"/>
        <v/>
      </c>
      <c r="V112" t="str">
        <f>IFERROR(INDEX(GERAL[LADO],99),"")</f>
        <v/>
      </c>
      <c r="X112" t="str">
        <f>IFERROR(INDEX(GERAL[PONTO],79),"")</f>
        <v/>
      </c>
      <c r="Y112" t="str">
        <f>IF(X112="","",IFERROR(INDEX(GERAL[ACUMULADA],79),0))</f>
        <v/>
      </c>
      <c r="Z112" t="str">
        <f t="shared" si="41"/>
        <v/>
      </c>
      <c r="AA112" t="str">
        <f t="shared" si="42"/>
        <v/>
      </c>
      <c r="AB112" t="str">
        <f t="shared" si="43"/>
        <v/>
      </c>
      <c r="AC112" t="str">
        <f>IF(X112="","",IFERROR(INDEX(DIR_ATUAL[QT %],MATCH(X112,DIR_ATUAL[PONTO],0)),0))</f>
        <v/>
      </c>
      <c r="AD112" t="str">
        <f t="shared" si="44"/>
        <v/>
      </c>
      <c r="AE112" t="str">
        <f>IF(X112="","",IF($E$9&gt;$E$8,IFERROR((INDEX(GERAL[SNAP],79)-$E$8)/($E$9-$E$8),0),0))</f>
        <v/>
      </c>
      <c r="AF112" t="str">
        <f t="shared" si="45"/>
        <v/>
      </c>
      <c r="AG112" t="str">
        <f>IFERROR(INDEX(GERAL[LADO],79),"")</f>
        <v/>
      </c>
    </row>
    <row r="113" spans="13:33" x14ac:dyDescent="0.3">
      <c r="M113" t="str">
        <f>IFERROR(INDEX(GERAL[PONTO],100),"")</f>
        <v/>
      </c>
      <c r="N113" t="str">
        <f>IF(M113="","",IFERROR(INDEX(GERAL[ACUMULADA],100),0))</f>
        <v/>
      </c>
      <c r="O113" t="str">
        <f t="shared" si="46"/>
        <v/>
      </c>
      <c r="P113" t="str">
        <f t="shared" si="47"/>
        <v/>
      </c>
      <c r="Q113" t="str">
        <f t="shared" si="48"/>
        <v/>
      </c>
      <c r="R113" t="str">
        <f>IF(M113="","",IFERROR(INDEX(Tabela7[QT %],MATCH(M113,Tabela7[PONTO],0)),0))</f>
        <v/>
      </c>
      <c r="S113" t="str">
        <f t="shared" si="49"/>
        <v/>
      </c>
      <c r="T113" t="str">
        <f>IF(M113="","",IF($B$9&gt;$B$8,IFERROR((INDEX(GERAL[SNAP],100)-$B$8)/($B$9-$B$8),0),0))</f>
        <v/>
      </c>
      <c r="U113" t="str">
        <f t="shared" si="50"/>
        <v/>
      </c>
      <c r="V113" t="str">
        <f>IFERROR(INDEX(GERAL[LADO],100),"")</f>
        <v/>
      </c>
      <c r="X113" t="str">
        <f>IFERROR(INDEX(GERAL[PONTO],80),"")</f>
        <v/>
      </c>
      <c r="Y113" t="str">
        <f>IF(X113="","",IFERROR(INDEX(GERAL[ACUMULADA],80),0))</f>
        <v/>
      </c>
      <c r="Z113" t="str">
        <f t="shared" si="41"/>
        <v/>
      </c>
      <c r="AA113" t="str">
        <f t="shared" si="42"/>
        <v/>
      </c>
      <c r="AB113" t="str">
        <f t="shared" si="43"/>
        <v/>
      </c>
      <c r="AC113" t="str">
        <f>IF(X113="","",IFERROR(INDEX(DIR_ATUAL[QT %],MATCH(X113,DIR_ATUAL[PONTO],0)),0))</f>
        <v/>
      </c>
      <c r="AD113" t="str">
        <f t="shared" si="44"/>
        <v/>
      </c>
      <c r="AE113" t="str">
        <f>IF(X113="","",IF($E$9&gt;$E$8,IFERROR((INDEX(GERAL[SNAP],80)-$E$8)/($E$9-$E$8),0),0))</f>
        <v/>
      </c>
      <c r="AF113" t="str">
        <f t="shared" si="45"/>
        <v/>
      </c>
      <c r="AG113" t="str">
        <f>IFERROR(INDEX(GERAL[LADO],80),"")</f>
        <v/>
      </c>
    </row>
    <row r="114" spans="13:33" x14ac:dyDescent="0.3">
      <c r="M114" t="str">
        <f>IFERROR(INDEX(GERAL[PONTO],101),"")</f>
        <v/>
      </c>
      <c r="N114" t="str">
        <f>IF(M114="","",IFERROR(INDEX(GERAL[ACUMULADA],101),0))</f>
        <v/>
      </c>
      <c r="O114" t="str">
        <f t="shared" si="46"/>
        <v/>
      </c>
      <c r="P114" t="str">
        <f t="shared" si="47"/>
        <v/>
      </c>
      <c r="Q114" t="str">
        <f t="shared" si="48"/>
        <v/>
      </c>
      <c r="R114" t="str">
        <f>IF(M114="","",IFERROR(INDEX(Tabela7[QT %],MATCH(M114,Tabela7[PONTO],0)),0))</f>
        <v/>
      </c>
      <c r="S114" t="str">
        <f t="shared" si="49"/>
        <v/>
      </c>
      <c r="T114" t="str">
        <f>IF(M114="","",IF($B$9&gt;$B$8,IFERROR((INDEX(GERAL[SNAP],101)-$B$8)/($B$9-$B$8),0),0))</f>
        <v/>
      </c>
      <c r="U114" t="str">
        <f t="shared" si="50"/>
        <v/>
      </c>
      <c r="V114" t="str">
        <f>IFERROR(INDEX(GERAL[LADO],101),"")</f>
        <v/>
      </c>
      <c r="X114" t="str">
        <f>IFERROR(INDEX(GERAL[PONTO],81),"")</f>
        <v/>
      </c>
      <c r="Y114" t="str">
        <f>IF(X114="","",IFERROR(INDEX(GERAL[ACUMULADA],81),0))</f>
        <v/>
      </c>
      <c r="Z114" t="str">
        <f t="shared" si="41"/>
        <v/>
      </c>
      <c r="AA114" t="str">
        <f t="shared" si="42"/>
        <v/>
      </c>
      <c r="AB114" t="str">
        <f t="shared" si="43"/>
        <v/>
      </c>
      <c r="AC114" t="str">
        <f>IF(X114="","",IFERROR(INDEX(DIR_ATUAL[QT %],MATCH(X114,DIR_ATUAL[PONTO],0)),0))</f>
        <v/>
      </c>
      <c r="AD114" t="str">
        <f t="shared" si="44"/>
        <v/>
      </c>
      <c r="AE114" t="str">
        <f>IF(X114="","",IF($E$9&gt;$E$8,IFERROR((INDEX(GERAL[SNAP],81)-$E$8)/($E$9-$E$8),0),0))</f>
        <v/>
      </c>
      <c r="AF114" t="str">
        <f t="shared" si="45"/>
        <v/>
      </c>
      <c r="AG114" t="str">
        <f>IFERROR(INDEX(GERAL[LADO],81),"")</f>
        <v/>
      </c>
    </row>
    <row r="115" spans="13:33" x14ac:dyDescent="0.3">
      <c r="M115" t="str">
        <f>IFERROR(INDEX(GERAL[PONTO],102),"")</f>
        <v/>
      </c>
      <c r="N115" t="str">
        <f>IF(M115="","",IFERROR(INDEX(GERAL[ACUMULADA],102),0))</f>
        <v/>
      </c>
      <c r="O115" t="str">
        <f t="shared" si="46"/>
        <v/>
      </c>
      <c r="P115" t="str">
        <f t="shared" si="47"/>
        <v/>
      </c>
      <c r="Q115" t="str">
        <f t="shared" si="48"/>
        <v/>
      </c>
      <c r="R115" t="str">
        <f>IF(M115="","",IFERROR(INDEX(Tabela7[QT %],MATCH(M115,Tabela7[PONTO],0)),0))</f>
        <v/>
      </c>
      <c r="S115" t="str">
        <f t="shared" si="49"/>
        <v/>
      </c>
      <c r="T115" t="str">
        <f>IF(M115="","",IF($B$9&gt;$B$8,IFERROR((INDEX(GERAL[SNAP],102)-$B$8)/($B$9-$B$8),0),0))</f>
        <v/>
      </c>
      <c r="U115" t="str">
        <f t="shared" si="50"/>
        <v/>
      </c>
      <c r="V115" t="str">
        <f>IFERROR(INDEX(GERAL[LADO],102),"")</f>
        <v/>
      </c>
      <c r="X115" t="str">
        <f>IFERROR(INDEX(GERAL[PONTO],82),"")</f>
        <v/>
      </c>
      <c r="Y115" t="str">
        <f>IF(X115="","",IFERROR(INDEX(GERAL[ACUMULADA],82),0))</f>
        <v/>
      </c>
      <c r="Z115" t="str">
        <f t="shared" si="41"/>
        <v/>
      </c>
      <c r="AA115" t="str">
        <f t="shared" si="42"/>
        <v/>
      </c>
      <c r="AB115" t="str">
        <f t="shared" si="43"/>
        <v/>
      </c>
      <c r="AC115" t="str">
        <f>IF(X115="","",IFERROR(INDEX(DIR_ATUAL[QT %],MATCH(X115,DIR_ATUAL[PONTO],0)),0))</f>
        <v/>
      </c>
      <c r="AD115" t="str">
        <f t="shared" si="44"/>
        <v/>
      </c>
      <c r="AE115" t="str">
        <f>IF(X115="","",IF($E$9&gt;$E$8,IFERROR((INDEX(GERAL[SNAP],82)-$E$8)/($E$9-$E$8),0),0))</f>
        <v/>
      </c>
      <c r="AF115" t="str">
        <f t="shared" si="45"/>
        <v/>
      </c>
      <c r="AG115" t="str">
        <f>IFERROR(INDEX(GERAL[LADO],82),"")</f>
        <v/>
      </c>
    </row>
    <row r="116" spans="13:33" x14ac:dyDescent="0.3">
      <c r="M116" t="str">
        <f>IFERROR(INDEX(GERAL[PONTO],103),"")</f>
        <v/>
      </c>
      <c r="N116" t="str">
        <f>IF(M116="","",IFERROR(INDEX(GERAL[ACUMULADA],103),0))</f>
        <v/>
      </c>
      <c r="O116" t="str">
        <f t="shared" si="46"/>
        <v/>
      </c>
      <c r="P116" t="str">
        <f t="shared" si="47"/>
        <v/>
      </c>
      <c r="Q116" t="str">
        <f t="shared" si="48"/>
        <v/>
      </c>
      <c r="R116" t="str">
        <f>IF(M116="","",IFERROR(INDEX(Tabela7[QT %],MATCH(M116,Tabela7[PONTO],0)),0))</f>
        <v/>
      </c>
      <c r="S116" t="str">
        <f t="shared" si="49"/>
        <v/>
      </c>
      <c r="T116" t="str">
        <f>IF(M116="","",IF($B$9&gt;$B$8,IFERROR((INDEX(GERAL[SNAP],103)-$B$8)/($B$9-$B$8),0),0))</f>
        <v/>
      </c>
      <c r="U116" t="str">
        <f t="shared" si="50"/>
        <v/>
      </c>
      <c r="V116" t="str">
        <f>IFERROR(INDEX(GERAL[LADO],103),"")</f>
        <v/>
      </c>
      <c r="X116" t="str">
        <f>IFERROR(INDEX(GERAL[PONTO],83),"")</f>
        <v/>
      </c>
      <c r="Y116" t="str">
        <f>IF(X116="","",IFERROR(INDEX(GERAL[ACUMULADA],83),0))</f>
        <v/>
      </c>
      <c r="Z116" t="str">
        <f t="shared" si="41"/>
        <v/>
      </c>
      <c r="AA116" t="str">
        <f t="shared" si="42"/>
        <v/>
      </c>
      <c r="AB116" t="str">
        <f t="shared" si="43"/>
        <v/>
      </c>
      <c r="AC116" t="str">
        <f>IF(X116="","",IFERROR(INDEX(DIR_ATUAL[QT %],MATCH(X116,DIR_ATUAL[PONTO],0)),0))</f>
        <v/>
      </c>
      <c r="AD116" t="str">
        <f t="shared" si="44"/>
        <v/>
      </c>
      <c r="AE116" t="str">
        <f>IF(X116="","",IF($E$9&gt;$E$8,IFERROR((INDEX(GERAL[SNAP],83)-$E$8)/($E$9-$E$8),0),0))</f>
        <v/>
      </c>
      <c r="AF116" t="str">
        <f t="shared" si="45"/>
        <v/>
      </c>
      <c r="AG116" t="str">
        <f>IFERROR(INDEX(GERAL[LADO],83),"")</f>
        <v/>
      </c>
    </row>
    <row r="117" spans="13:33" x14ac:dyDescent="0.3">
      <c r="M117" t="str">
        <f>IFERROR(INDEX(GERAL[PONTO],104),"")</f>
        <v/>
      </c>
      <c r="N117" t="str">
        <f>IF(M117="","",IFERROR(INDEX(GERAL[ACUMULADA],104),0))</f>
        <v/>
      </c>
      <c r="O117" t="str">
        <f t="shared" si="46"/>
        <v/>
      </c>
      <c r="P117" t="str">
        <f t="shared" si="47"/>
        <v/>
      </c>
      <c r="Q117" t="str">
        <f t="shared" si="48"/>
        <v/>
      </c>
      <c r="R117" t="str">
        <f>IF(M117="","",IFERROR(INDEX(Tabela7[QT %],MATCH(M117,Tabela7[PONTO],0)),0))</f>
        <v/>
      </c>
      <c r="S117" t="str">
        <f t="shared" si="49"/>
        <v/>
      </c>
      <c r="T117" t="str">
        <f>IF(M117="","",IF($B$9&gt;$B$8,IFERROR((INDEX(GERAL[SNAP],104)-$B$8)/($B$9-$B$8),0),0))</f>
        <v/>
      </c>
      <c r="U117" t="str">
        <f t="shared" si="50"/>
        <v/>
      </c>
      <c r="V117" t="str">
        <f>IFERROR(INDEX(GERAL[LADO],104),"")</f>
        <v/>
      </c>
      <c r="X117" t="str">
        <f>IFERROR(INDEX(GERAL[PONTO],84),"")</f>
        <v/>
      </c>
      <c r="Y117" t="str">
        <f>IF(X117="","",IFERROR(INDEX(GERAL[ACUMULADA],84),0))</f>
        <v/>
      </c>
      <c r="Z117" t="str">
        <f t="shared" si="41"/>
        <v/>
      </c>
      <c r="AA117" t="str">
        <f t="shared" si="42"/>
        <v/>
      </c>
      <c r="AB117" t="str">
        <f t="shared" si="43"/>
        <v/>
      </c>
      <c r="AC117" t="str">
        <f>IF(X117="","",IFERROR(INDEX(DIR_ATUAL[QT %],MATCH(X117,DIR_ATUAL[PONTO],0)),0))</f>
        <v/>
      </c>
      <c r="AD117" t="str">
        <f t="shared" si="44"/>
        <v/>
      </c>
      <c r="AE117" t="str">
        <f>IF(X117="","",IF($E$9&gt;$E$8,IFERROR((INDEX(GERAL[SNAP],84)-$E$8)/($E$9-$E$8),0),0))</f>
        <v/>
      </c>
      <c r="AF117" t="str">
        <f t="shared" si="45"/>
        <v/>
      </c>
      <c r="AG117" t="str">
        <f>IFERROR(INDEX(GERAL[LADO],84),"")</f>
        <v/>
      </c>
    </row>
    <row r="118" spans="13:33" x14ac:dyDescent="0.3">
      <c r="M118" t="str">
        <f>IFERROR(INDEX(GERAL[PONTO],105),"")</f>
        <v/>
      </c>
      <c r="N118" t="str">
        <f>IF(M118="","",IFERROR(INDEX(GERAL[ACUMULADA],105),0))</f>
        <v/>
      </c>
      <c r="O118" t="str">
        <f t="shared" si="46"/>
        <v/>
      </c>
      <c r="P118" t="str">
        <f t="shared" si="47"/>
        <v/>
      </c>
      <c r="Q118" t="str">
        <f t="shared" si="48"/>
        <v/>
      </c>
      <c r="R118" t="str">
        <f>IF(M118="","",IFERROR(INDEX(Tabela7[QT %],MATCH(M118,Tabela7[PONTO],0)),0))</f>
        <v/>
      </c>
      <c r="S118" t="str">
        <f t="shared" si="49"/>
        <v/>
      </c>
      <c r="T118" t="str">
        <f>IF(M118="","",IF($B$9&gt;$B$8,IFERROR((INDEX(GERAL[SNAP],105)-$B$8)/($B$9-$B$8),0),0))</f>
        <v/>
      </c>
      <c r="U118" t="str">
        <f t="shared" si="50"/>
        <v/>
      </c>
      <c r="V118" t="str">
        <f>IFERROR(INDEX(GERAL[LADO],105),"")</f>
        <v/>
      </c>
      <c r="X118" t="str">
        <f>IFERROR(INDEX(GERAL[PONTO],85),"")</f>
        <v/>
      </c>
      <c r="Y118" t="str">
        <f>IF(X118="","",IFERROR(INDEX(GERAL[ACUMULADA],85),0))</f>
        <v/>
      </c>
      <c r="Z118" t="str">
        <f t="shared" si="41"/>
        <v/>
      </c>
      <c r="AA118" t="str">
        <f t="shared" si="42"/>
        <v/>
      </c>
      <c r="AB118" t="str">
        <f t="shared" si="43"/>
        <v/>
      </c>
      <c r="AC118" t="str">
        <f>IF(X118="","",IFERROR(INDEX(DIR_ATUAL[QT %],MATCH(X118,DIR_ATUAL[PONTO],0)),0))</f>
        <v/>
      </c>
      <c r="AD118" t="str">
        <f t="shared" si="44"/>
        <v/>
      </c>
      <c r="AE118" t="str">
        <f>IF(X118="","",IF($E$9&gt;$E$8,IFERROR((INDEX(GERAL[SNAP],85)-$E$8)/($E$9-$E$8),0),0))</f>
        <v/>
      </c>
      <c r="AF118" t="str">
        <f t="shared" si="45"/>
        <v/>
      </c>
      <c r="AG118" t="str">
        <f>IFERROR(INDEX(GERAL[LADO],85),"")</f>
        <v/>
      </c>
    </row>
    <row r="119" spans="13:33" x14ac:dyDescent="0.3">
      <c r="M119" t="str">
        <f>IFERROR(INDEX(GERAL[PONTO],106),"")</f>
        <v/>
      </c>
      <c r="N119" t="str">
        <f>IF(M119="","",IFERROR(INDEX(GERAL[ACUMULADA],106),0))</f>
        <v/>
      </c>
      <c r="O119" t="str">
        <f t="shared" si="46"/>
        <v/>
      </c>
      <c r="P119" t="str">
        <f t="shared" si="47"/>
        <v/>
      </c>
      <c r="Q119" t="str">
        <f t="shared" si="48"/>
        <v/>
      </c>
      <c r="R119" t="str">
        <f>IF(M119="","",IFERROR(INDEX(Tabela7[QT %],MATCH(M119,Tabela7[PONTO],0)),0))</f>
        <v/>
      </c>
      <c r="S119" t="str">
        <f t="shared" si="49"/>
        <v/>
      </c>
      <c r="T119" t="str">
        <f>IF(M119="","",IF($B$9&gt;$B$8,IFERROR((INDEX(GERAL[SNAP],106)-$B$8)/($B$9-$B$8),0),0))</f>
        <v/>
      </c>
      <c r="U119" t="str">
        <f t="shared" si="50"/>
        <v/>
      </c>
      <c r="V119" t="str">
        <f>IFERROR(INDEX(GERAL[LADO],106),"")</f>
        <v/>
      </c>
      <c r="X119" t="str">
        <f>IFERROR(INDEX(GERAL[PONTO],86),"")</f>
        <v/>
      </c>
      <c r="Y119" t="str">
        <f>IF(X119="","",IFERROR(INDEX(GERAL[ACUMULADA],86),0))</f>
        <v/>
      </c>
      <c r="Z119" t="str">
        <f t="shared" si="41"/>
        <v/>
      </c>
      <c r="AA119" t="str">
        <f t="shared" si="42"/>
        <v/>
      </c>
      <c r="AB119" t="str">
        <f t="shared" si="43"/>
        <v/>
      </c>
      <c r="AC119" t="str">
        <f>IF(X119="","",IFERROR(INDEX(DIR_ATUAL[QT %],MATCH(X119,DIR_ATUAL[PONTO],0)),0))</f>
        <v/>
      </c>
      <c r="AD119" t="str">
        <f t="shared" si="44"/>
        <v/>
      </c>
      <c r="AE119" t="str">
        <f>IF(X119="","",IF($E$9&gt;$E$8,IFERROR((INDEX(GERAL[SNAP],86)-$E$8)/($E$9-$E$8),0),0))</f>
        <v/>
      </c>
      <c r="AF119" t="str">
        <f t="shared" si="45"/>
        <v/>
      </c>
      <c r="AG119" t="str">
        <f>IFERROR(INDEX(GERAL[LADO],86),"")</f>
        <v/>
      </c>
    </row>
    <row r="120" spans="13:33" x14ac:dyDescent="0.3">
      <c r="M120" t="str">
        <f>IFERROR(INDEX(GERAL[PONTO],107),"")</f>
        <v/>
      </c>
      <c r="N120" t="str">
        <f>IF(M120="","",IFERROR(INDEX(GERAL[ACUMULADA],107),0))</f>
        <v/>
      </c>
      <c r="O120" t="str">
        <f t="shared" si="46"/>
        <v/>
      </c>
      <c r="P120" t="str">
        <f t="shared" si="47"/>
        <v/>
      </c>
      <c r="Q120" t="str">
        <f t="shared" si="48"/>
        <v/>
      </c>
      <c r="R120" t="str">
        <f>IF(M120="","",IFERROR(INDEX(Tabela7[QT %],MATCH(M120,Tabela7[PONTO],0)),0))</f>
        <v/>
      </c>
      <c r="S120" t="str">
        <f t="shared" si="49"/>
        <v/>
      </c>
      <c r="T120" t="str">
        <f>IF(M120="","",IF($B$9&gt;$B$8,IFERROR((INDEX(GERAL[SNAP],107)-$B$8)/($B$9-$B$8),0),0))</f>
        <v/>
      </c>
      <c r="U120" t="str">
        <f t="shared" si="50"/>
        <v/>
      </c>
      <c r="V120" t="str">
        <f>IFERROR(INDEX(GERAL[LADO],107),"")</f>
        <v/>
      </c>
      <c r="X120" t="str">
        <f>IFERROR(INDEX(GERAL[PONTO],87),"")</f>
        <v/>
      </c>
      <c r="Y120" t="str">
        <f>IF(X120="","",IFERROR(INDEX(GERAL[ACUMULADA],87),0))</f>
        <v/>
      </c>
      <c r="Z120" t="str">
        <f t="shared" si="41"/>
        <v/>
      </c>
      <c r="AA120" t="str">
        <f t="shared" si="42"/>
        <v/>
      </c>
      <c r="AB120" t="str">
        <f t="shared" si="43"/>
        <v/>
      </c>
      <c r="AC120" t="str">
        <f>IF(X120="","",IFERROR(INDEX(DIR_ATUAL[QT %],MATCH(X120,DIR_ATUAL[PONTO],0)),0))</f>
        <v/>
      </c>
      <c r="AD120" t="str">
        <f t="shared" si="44"/>
        <v/>
      </c>
      <c r="AE120" t="str">
        <f>IF(X120="","",IF($E$9&gt;$E$8,IFERROR((INDEX(GERAL[SNAP],87)-$E$8)/($E$9-$E$8),0),0))</f>
        <v/>
      </c>
      <c r="AF120" t="str">
        <f t="shared" si="45"/>
        <v/>
      </c>
      <c r="AG120" t="str">
        <f>IFERROR(INDEX(GERAL[LADO],87),"")</f>
        <v/>
      </c>
    </row>
    <row r="121" spans="13:33" x14ac:dyDescent="0.3">
      <c r="M121" t="str">
        <f>IFERROR(INDEX(GERAL[PONTO],108),"")</f>
        <v/>
      </c>
      <c r="N121" t="str">
        <f>IF(M121="","",IFERROR(INDEX(GERAL[ACUMULADA],108),0))</f>
        <v/>
      </c>
      <c r="O121" t="str">
        <f t="shared" si="46"/>
        <v/>
      </c>
      <c r="P121" t="str">
        <f t="shared" si="47"/>
        <v/>
      </c>
      <c r="Q121" t="str">
        <f t="shared" si="48"/>
        <v/>
      </c>
      <c r="R121" t="str">
        <f>IF(M121="","",IFERROR(INDEX(Tabela7[QT %],MATCH(M121,Tabela7[PONTO],0)),0))</f>
        <v/>
      </c>
      <c r="S121" t="str">
        <f t="shared" si="49"/>
        <v/>
      </c>
      <c r="T121" t="str">
        <f>IF(M121="","",IF($B$9&gt;$B$8,IFERROR((INDEX(GERAL[SNAP],108)-$B$8)/($B$9-$B$8),0),0))</f>
        <v/>
      </c>
      <c r="U121" t="str">
        <f t="shared" si="50"/>
        <v/>
      </c>
      <c r="V121" t="str">
        <f>IFERROR(INDEX(GERAL[LADO],108),"")</f>
        <v/>
      </c>
      <c r="X121" t="str">
        <f>IFERROR(INDEX(GERAL[PONTO],88),"")</f>
        <v/>
      </c>
      <c r="Y121" t="str">
        <f>IF(X121="","",IFERROR(INDEX(GERAL[ACUMULADA],88),0))</f>
        <v/>
      </c>
      <c r="Z121" t="str">
        <f t="shared" si="41"/>
        <v/>
      </c>
      <c r="AA121" t="str">
        <f t="shared" si="42"/>
        <v/>
      </c>
      <c r="AB121" t="str">
        <f t="shared" si="43"/>
        <v/>
      </c>
      <c r="AC121" t="str">
        <f>IF(X121="","",IFERROR(INDEX(DIR_ATUAL[QT %],MATCH(X121,DIR_ATUAL[PONTO],0)),0))</f>
        <v/>
      </c>
      <c r="AD121" t="str">
        <f t="shared" si="44"/>
        <v/>
      </c>
      <c r="AE121" t="str">
        <f>IF(X121="","",IF($E$9&gt;$E$8,IFERROR((INDEX(GERAL[SNAP],88)-$E$8)/($E$9-$E$8),0),0))</f>
        <v/>
      </c>
      <c r="AF121" t="str">
        <f t="shared" si="45"/>
        <v/>
      </c>
      <c r="AG121" t="str">
        <f>IFERROR(INDEX(GERAL[LADO],88),"")</f>
        <v/>
      </c>
    </row>
    <row r="122" spans="13:33" x14ac:dyDescent="0.3">
      <c r="M122" t="str">
        <f>IFERROR(INDEX(GERAL[PONTO],109),"")</f>
        <v/>
      </c>
      <c r="N122" t="str">
        <f>IF(M122="","",IFERROR(INDEX(GERAL[ACUMULADA],109),0))</f>
        <v/>
      </c>
      <c r="O122" t="str">
        <f t="shared" si="46"/>
        <v/>
      </c>
      <c r="P122" t="str">
        <f t="shared" si="47"/>
        <v/>
      </c>
      <c r="Q122" t="str">
        <f t="shared" si="48"/>
        <v/>
      </c>
      <c r="R122" t="str">
        <f>IF(M122="","",IFERROR(INDEX(Tabela7[QT %],MATCH(M122,Tabela7[PONTO],0)),0))</f>
        <v/>
      </c>
      <c r="S122" t="str">
        <f t="shared" si="49"/>
        <v/>
      </c>
      <c r="T122" t="str">
        <f>IF(M122="","",IF($B$9&gt;$B$8,IFERROR((INDEX(GERAL[SNAP],109)-$B$8)/($B$9-$B$8),0),0))</f>
        <v/>
      </c>
      <c r="U122" t="str">
        <f t="shared" si="50"/>
        <v/>
      </c>
      <c r="V122" t="str">
        <f>IFERROR(INDEX(GERAL[LADO],109),"")</f>
        <v/>
      </c>
      <c r="X122" t="str">
        <f>IFERROR(INDEX(GERAL[PONTO],89),"")</f>
        <v/>
      </c>
      <c r="Y122" t="str">
        <f>IF(X122="","",IFERROR(INDEX(GERAL[ACUMULADA],89),0))</f>
        <v/>
      </c>
      <c r="Z122" t="str">
        <f t="shared" si="41"/>
        <v/>
      </c>
      <c r="AA122" t="str">
        <f t="shared" si="42"/>
        <v/>
      </c>
      <c r="AB122" t="str">
        <f t="shared" si="43"/>
        <v/>
      </c>
      <c r="AC122" t="str">
        <f>IF(X122="","",IFERROR(INDEX(DIR_ATUAL[QT %],MATCH(X122,DIR_ATUAL[PONTO],0)),0))</f>
        <v/>
      </c>
      <c r="AD122" t="str">
        <f t="shared" si="44"/>
        <v/>
      </c>
      <c r="AE122" t="str">
        <f>IF(X122="","",IF($E$9&gt;$E$8,IFERROR((INDEX(GERAL[SNAP],89)-$E$8)/($E$9-$E$8),0),0))</f>
        <v/>
      </c>
      <c r="AF122" t="str">
        <f t="shared" si="45"/>
        <v/>
      </c>
      <c r="AG122" t="str">
        <f>IFERROR(INDEX(GERAL[LADO],89),"")</f>
        <v/>
      </c>
    </row>
    <row r="123" spans="13:33" x14ac:dyDescent="0.3">
      <c r="M123" t="str">
        <f>IFERROR(INDEX(GERAL[PONTO],110),"")</f>
        <v/>
      </c>
      <c r="N123" t="str">
        <f>IF(M123="","",IFERROR(INDEX(GERAL[ACUMULADA],110),0))</f>
        <v/>
      </c>
      <c r="O123" t="str">
        <f t="shared" si="46"/>
        <v/>
      </c>
      <c r="P123" t="str">
        <f t="shared" si="47"/>
        <v/>
      </c>
      <c r="Q123" t="str">
        <f t="shared" si="48"/>
        <v/>
      </c>
      <c r="R123" t="str">
        <f>IF(M123="","",IFERROR(INDEX(Tabela7[QT %],MATCH(M123,Tabela7[PONTO],0)),0))</f>
        <v/>
      </c>
      <c r="S123" t="str">
        <f t="shared" si="49"/>
        <v/>
      </c>
      <c r="T123" t="str">
        <f>IF(M123="","",IF($B$9&gt;$B$8,IFERROR((INDEX(GERAL[SNAP],110)-$B$8)/($B$9-$B$8),0),0))</f>
        <v/>
      </c>
      <c r="U123" t="str">
        <f t="shared" si="50"/>
        <v/>
      </c>
      <c r="V123" t="str">
        <f>IFERROR(INDEX(GERAL[LADO],110),"")</f>
        <v/>
      </c>
      <c r="X123" t="str">
        <f>IFERROR(INDEX(GERAL[PONTO],90),"")</f>
        <v/>
      </c>
      <c r="Y123" t="str">
        <f>IF(X123="","",IFERROR(INDEX(GERAL[ACUMULADA],90),0))</f>
        <v/>
      </c>
      <c r="Z123" t="str">
        <f t="shared" si="41"/>
        <v/>
      </c>
      <c r="AA123" t="str">
        <f t="shared" si="42"/>
        <v/>
      </c>
      <c r="AB123" t="str">
        <f t="shared" si="43"/>
        <v/>
      </c>
      <c r="AC123" t="str">
        <f>IF(X123="","",IFERROR(INDEX(DIR_ATUAL[QT %],MATCH(X123,DIR_ATUAL[PONTO],0)),0))</f>
        <v/>
      </c>
      <c r="AD123" t="str">
        <f t="shared" si="44"/>
        <v/>
      </c>
      <c r="AE123" t="str">
        <f>IF(X123="","",IF($E$9&gt;$E$8,IFERROR((INDEX(GERAL[SNAP],90)-$E$8)/($E$9-$E$8),0),0))</f>
        <v/>
      </c>
      <c r="AF123" t="str">
        <f t="shared" si="45"/>
        <v/>
      </c>
      <c r="AG123" t="str">
        <f>IFERROR(INDEX(GERAL[LADO],90),"")</f>
        <v/>
      </c>
    </row>
    <row r="124" spans="13:33" x14ac:dyDescent="0.3">
      <c r="M124" t="str">
        <f>IFERROR(INDEX(GERAL[PONTO],111),"")</f>
        <v/>
      </c>
      <c r="N124" t="str">
        <f>IF(M124="","",IFERROR(INDEX(GERAL[ACUMULADA],111),0))</f>
        <v/>
      </c>
      <c r="O124" t="str">
        <f t="shared" si="46"/>
        <v/>
      </c>
      <c r="P124" t="str">
        <f t="shared" si="47"/>
        <v/>
      </c>
      <c r="Q124" t="str">
        <f t="shared" si="48"/>
        <v/>
      </c>
      <c r="R124" t="str">
        <f>IF(M124="","",IFERROR(INDEX(Tabela7[QT %],MATCH(M124,Tabela7[PONTO],0)),0))</f>
        <v/>
      </c>
      <c r="S124" t="str">
        <f t="shared" si="49"/>
        <v/>
      </c>
      <c r="T124" t="str">
        <f>IF(M124="","",IF($B$9&gt;$B$8,IFERROR((INDEX(GERAL[SNAP],111)-$B$8)/($B$9-$B$8),0),0))</f>
        <v/>
      </c>
      <c r="U124" t="str">
        <f t="shared" si="50"/>
        <v/>
      </c>
      <c r="V124" t="str">
        <f>IFERROR(INDEX(GERAL[LADO],111),"")</f>
        <v/>
      </c>
      <c r="X124" t="str">
        <f>IFERROR(INDEX(GERAL[PONTO],91),"")</f>
        <v/>
      </c>
      <c r="Y124" t="str">
        <f>IF(X124="","",IFERROR(INDEX(GERAL[ACUMULADA],91),0))</f>
        <v/>
      </c>
      <c r="Z124" t="str">
        <f t="shared" si="41"/>
        <v/>
      </c>
      <c r="AA124" t="str">
        <f t="shared" si="42"/>
        <v/>
      </c>
      <c r="AB124" t="str">
        <f t="shared" si="43"/>
        <v/>
      </c>
      <c r="AC124" t="str">
        <f>IF(X124="","",IFERROR(INDEX(DIR_ATUAL[QT %],MATCH(X124,DIR_ATUAL[PONTO],0)),0))</f>
        <v/>
      </c>
      <c r="AD124" t="str">
        <f t="shared" si="44"/>
        <v/>
      </c>
      <c r="AE124" t="str">
        <f>IF(X124="","",IF($E$9&gt;$E$8,IFERROR((INDEX(GERAL[SNAP],91)-$E$8)/($E$9-$E$8),0),0))</f>
        <v/>
      </c>
      <c r="AF124" t="str">
        <f t="shared" si="45"/>
        <v/>
      </c>
      <c r="AG124" t="str">
        <f>IFERROR(INDEX(GERAL[LADO],91),"")</f>
        <v/>
      </c>
    </row>
    <row r="125" spans="13:33" x14ac:dyDescent="0.3">
      <c r="M125" t="str">
        <f>IFERROR(INDEX(GERAL[PONTO],112),"")</f>
        <v/>
      </c>
      <c r="N125" t="str">
        <f>IF(M125="","",IFERROR(INDEX(GERAL[ACUMULADA],112),0))</f>
        <v/>
      </c>
      <c r="O125" t="str">
        <f t="shared" si="46"/>
        <v/>
      </c>
      <c r="P125" t="str">
        <f t="shared" si="47"/>
        <v/>
      </c>
      <c r="Q125" t="str">
        <f t="shared" si="48"/>
        <v/>
      </c>
      <c r="R125" t="str">
        <f>IF(M125="","",IFERROR(INDEX(Tabela7[QT %],MATCH(M125,Tabela7[PONTO],0)),0))</f>
        <v/>
      </c>
      <c r="S125" t="str">
        <f t="shared" si="49"/>
        <v/>
      </c>
      <c r="T125" t="str">
        <f>IF(M125="","",IF($B$9&gt;$B$8,IFERROR((INDEX(GERAL[SNAP],112)-$B$8)/($B$9-$B$8),0),0))</f>
        <v/>
      </c>
      <c r="U125" t="str">
        <f t="shared" si="50"/>
        <v/>
      </c>
      <c r="V125" t="str">
        <f>IFERROR(INDEX(GERAL[LADO],112),"")</f>
        <v/>
      </c>
      <c r="X125" t="str">
        <f>IFERROR(INDEX(GERAL[PONTO],92),"")</f>
        <v/>
      </c>
      <c r="Y125" t="str">
        <f>IF(X125="","",IFERROR(INDEX(GERAL[ACUMULADA],92),0))</f>
        <v/>
      </c>
      <c r="Z125" t="str">
        <f t="shared" si="41"/>
        <v/>
      </c>
      <c r="AA125" t="str">
        <f t="shared" si="42"/>
        <v/>
      </c>
      <c r="AB125" t="str">
        <f t="shared" si="43"/>
        <v/>
      </c>
      <c r="AC125" t="str">
        <f>IF(X125="","",IFERROR(INDEX(DIR_ATUAL[QT %],MATCH(X125,DIR_ATUAL[PONTO],0)),0))</f>
        <v/>
      </c>
      <c r="AD125" t="str">
        <f t="shared" si="44"/>
        <v/>
      </c>
      <c r="AE125" t="str">
        <f>IF(X125="","",IF($E$9&gt;$E$8,IFERROR((INDEX(GERAL[SNAP],92)-$E$8)/($E$9-$E$8),0),0))</f>
        <v/>
      </c>
      <c r="AF125" t="str">
        <f t="shared" si="45"/>
        <v/>
      </c>
      <c r="AG125" t="str">
        <f>IFERROR(INDEX(GERAL[LADO],92),"")</f>
        <v/>
      </c>
    </row>
    <row r="126" spans="13:33" x14ac:dyDescent="0.3">
      <c r="M126" t="str">
        <f>IFERROR(INDEX(GERAL[PONTO],113),"")</f>
        <v/>
      </c>
      <c r="N126" t="str">
        <f>IF(M126="","",IFERROR(INDEX(GERAL[ACUMULADA],113),0))</f>
        <v/>
      </c>
      <c r="O126" t="str">
        <f t="shared" si="46"/>
        <v/>
      </c>
      <c r="P126" t="str">
        <f t="shared" si="47"/>
        <v/>
      </c>
      <c r="Q126" t="str">
        <f t="shared" si="48"/>
        <v/>
      </c>
      <c r="R126" t="str">
        <f>IF(M126="","",IFERROR(INDEX(Tabela7[QT %],MATCH(M126,Tabela7[PONTO],0)),0))</f>
        <v/>
      </c>
      <c r="S126" t="str">
        <f t="shared" si="49"/>
        <v/>
      </c>
      <c r="T126" t="str">
        <f>IF(M126="","",IF($B$9&gt;$B$8,IFERROR((INDEX(GERAL[SNAP],113)-$B$8)/($B$9-$B$8),0),0))</f>
        <v/>
      </c>
      <c r="U126" t="str">
        <f t="shared" si="50"/>
        <v/>
      </c>
      <c r="V126" t="str">
        <f>IFERROR(INDEX(GERAL[LADO],113),"")</f>
        <v/>
      </c>
      <c r="X126" t="str">
        <f>IFERROR(INDEX(GERAL[PONTO],93),"")</f>
        <v/>
      </c>
      <c r="Y126" t="str">
        <f>IF(X126="","",IFERROR(INDEX(GERAL[ACUMULADA],93),0))</f>
        <v/>
      </c>
      <c r="Z126" t="str">
        <f t="shared" si="41"/>
        <v/>
      </c>
      <c r="AA126" t="str">
        <f t="shared" si="42"/>
        <v/>
      </c>
      <c r="AB126" t="str">
        <f t="shared" si="43"/>
        <v/>
      </c>
      <c r="AC126" t="str">
        <f>IF(X126="","",IFERROR(INDEX(DIR_ATUAL[QT %],MATCH(X126,DIR_ATUAL[PONTO],0)),0))</f>
        <v/>
      </c>
      <c r="AD126" t="str">
        <f t="shared" si="44"/>
        <v/>
      </c>
      <c r="AE126" t="str">
        <f>IF(X126="","",IF($E$9&gt;$E$8,IFERROR((INDEX(GERAL[SNAP],93)-$E$8)/($E$9-$E$8),0),0))</f>
        <v/>
      </c>
      <c r="AF126" t="str">
        <f t="shared" si="45"/>
        <v/>
      </c>
      <c r="AG126" t="str">
        <f>IFERROR(INDEX(GERAL[LADO],93),"")</f>
        <v/>
      </c>
    </row>
    <row r="127" spans="13:33" x14ac:dyDescent="0.3">
      <c r="M127" t="str">
        <f>IFERROR(INDEX(GERAL[PONTO],114),"")</f>
        <v/>
      </c>
      <c r="N127" t="str">
        <f>IF(M127="","",IFERROR(INDEX(GERAL[ACUMULADA],114),0))</f>
        <v/>
      </c>
      <c r="O127" t="str">
        <f t="shared" si="46"/>
        <v/>
      </c>
      <c r="P127" t="str">
        <f t="shared" si="47"/>
        <v/>
      </c>
      <c r="Q127" t="str">
        <f t="shared" si="48"/>
        <v/>
      </c>
      <c r="R127" t="str">
        <f>IF(M127="","",IFERROR(INDEX(Tabela7[QT %],MATCH(M127,Tabela7[PONTO],0)),0))</f>
        <v/>
      </c>
      <c r="S127" t="str">
        <f t="shared" si="49"/>
        <v/>
      </c>
      <c r="T127" t="str">
        <f>IF(M127="","",IF($B$9&gt;$B$8,IFERROR((INDEX(GERAL[SNAP],114)-$B$8)/($B$9-$B$8),0),0))</f>
        <v/>
      </c>
      <c r="U127" t="str">
        <f t="shared" si="50"/>
        <v/>
      </c>
      <c r="V127" t="str">
        <f>IFERROR(INDEX(GERAL[LADO],114),"")</f>
        <v/>
      </c>
      <c r="X127" t="str">
        <f>IFERROR(INDEX(GERAL[PONTO],94),"")</f>
        <v/>
      </c>
      <c r="Y127" t="str">
        <f>IF(X127="","",IFERROR(INDEX(GERAL[ACUMULADA],94),0))</f>
        <v/>
      </c>
      <c r="Z127" t="str">
        <f t="shared" si="41"/>
        <v/>
      </c>
      <c r="AA127" t="str">
        <f t="shared" si="42"/>
        <v/>
      </c>
      <c r="AB127" t="str">
        <f t="shared" si="43"/>
        <v/>
      </c>
      <c r="AC127" t="str">
        <f>IF(X127="","",IFERROR(INDEX(DIR_ATUAL[QT %],MATCH(X127,DIR_ATUAL[PONTO],0)),0))</f>
        <v/>
      </c>
      <c r="AD127" t="str">
        <f t="shared" si="44"/>
        <v/>
      </c>
      <c r="AE127" t="str">
        <f>IF(X127="","",IF($E$9&gt;$E$8,IFERROR((INDEX(GERAL[SNAP],94)-$E$8)/($E$9-$E$8),0),0))</f>
        <v/>
      </c>
      <c r="AF127" t="str">
        <f t="shared" si="45"/>
        <v/>
      </c>
      <c r="AG127" t="str">
        <f>IFERROR(INDEX(GERAL[LADO],94),"")</f>
        <v/>
      </c>
    </row>
    <row r="128" spans="13:33" x14ac:dyDescent="0.3">
      <c r="M128" t="str">
        <f>IFERROR(INDEX(GERAL[PONTO],115),"")</f>
        <v/>
      </c>
      <c r="N128" t="str">
        <f>IF(M128="","",IFERROR(INDEX(GERAL[ACUMULADA],115),0))</f>
        <v/>
      </c>
      <c r="O128" t="str">
        <f t="shared" si="46"/>
        <v/>
      </c>
      <c r="P128" t="str">
        <f t="shared" si="47"/>
        <v/>
      </c>
      <c r="Q128" t="str">
        <f t="shared" si="48"/>
        <v/>
      </c>
      <c r="R128" t="str">
        <f>IF(M128="","",IFERROR(INDEX(Tabela7[QT %],MATCH(M128,Tabela7[PONTO],0)),0))</f>
        <v/>
      </c>
      <c r="S128" t="str">
        <f t="shared" si="49"/>
        <v/>
      </c>
      <c r="T128" t="str">
        <f>IF(M128="","",IF($B$9&gt;$B$8,IFERROR((INDEX(GERAL[SNAP],115)-$B$8)/($B$9-$B$8),0),0))</f>
        <v/>
      </c>
      <c r="U128" t="str">
        <f t="shared" si="50"/>
        <v/>
      </c>
      <c r="V128" t="str">
        <f>IFERROR(INDEX(GERAL[LADO],115),"")</f>
        <v/>
      </c>
      <c r="X128" t="str">
        <f>IFERROR(INDEX(GERAL[PONTO],95),"")</f>
        <v/>
      </c>
      <c r="Y128" t="str">
        <f>IF(X128="","",IFERROR(INDEX(GERAL[ACUMULADA],95),0))</f>
        <v/>
      </c>
      <c r="Z128" t="str">
        <f t="shared" si="41"/>
        <v/>
      </c>
      <c r="AA128" t="str">
        <f t="shared" si="42"/>
        <v/>
      </c>
      <c r="AB128" t="str">
        <f t="shared" si="43"/>
        <v/>
      </c>
      <c r="AC128" t="str">
        <f>IF(X128="","",IFERROR(INDEX(DIR_ATUAL[QT %],MATCH(X128,DIR_ATUAL[PONTO],0)),0))</f>
        <v/>
      </c>
      <c r="AD128" t="str">
        <f t="shared" si="44"/>
        <v/>
      </c>
      <c r="AE128" t="str">
        <f>IF(X128="","",IF($E$9&gt;$E$8,IFERROR((INDEX(GERAL[SNAP],95)-$E$8)/($E$9-$E$8),0),0))</f>
        <v/>
      </c>
      <c r="AF128" t="str">
        <f t="shared" si="45"/>
        <v/>
      </c>
      <c r="AG128" t="str">
        <f>IFERROR(INDEX(GERAL[LADO],95),"")</f>
        <v/>
      </c>
    </row>
    <row r="129" spans="13:33" x14ac:dyDescent="0.3">
      <c r="M129" t="str">
        <f>IFERROR(INDEX(GERAL[PONTO],116),"")</f>
        <v/>
      </c>
      <c r="N129" t="str">
        <f>IF(M129="","",IFERROR(INDEX(GERAL[ACUMULADA],116),0))</f>
        <v/>
      </c>
      <c r="O129" t="str">
        <f t="shared" si="46"/>
        <v/>
      </c>
      <c r="P129" t="str">
        <f t="shared" si="47"/>
        <v/>
      </c>
      <c r="Q129" t="str">
        <f t="shared" si="48"/>
        <v/>
      </c>
      <c r="R129" t="str">
        <f>IF(M129="","",IFERROR(INDEX(Tabela7[QT %],MATCH(M129,Tabela7[PONTO],0)),0))</f>
        <v/>
      </c>
      <c r="S129" t="str">
        <f t="shared" si="49"/>
        <v/>
      </c>
      <c r="T129" t="str">
        <f>IF(M129="","",IF($B$9&gt;$B$8,IFERROR((INDEX(GERAL[SNAP],116)-$B$8)/($B$9-$B$8),0),0))</f>
        <v/>
      </c>
      <c r="U129" t="str">
        <f t="shared" si="50"/>
        <v/>
      </c>
      <c r="V129" t="str">
        <f>IFERROR(INDEX(GERAL[LADO],116),"")</f>
        <v/>
      </c>
      <c r="X129" t="str">
        <f>IFERROR(INDEX(GERAL[PONTO],96),"")</f>
        <v/>
      </c>
      <c r="Y129" t="str">
        <f>IF(X129="","",IFERROR(INDEX(GERAL[ACUMULADA],96),0))</f>
        <v/>
      </c>
      <c r="Z129" t="str">
        <f t="shared" si="41"/>
        <v/>
      </c>
      <c r="AA129" t="str">
        <f t="shared" si="42"/>
        <v/>
      </c>
      <c r="AB129" t="str">
        <f t="shared" si="43"/>
        <v/>
      </c>
      <c r="AC129" t="str">
        <f>IF(X129="","",IFERROR(INDEX(DIR_ATUAL[QT %],MATCH(X129,DIR_ATUAL[PONTO],0)),0))</f>
        <v/>
      </c>
      <c r="AD129" t="str">
        <f t="shared" si="44"/>
        <v/>
      </c>
      <c r="AE129" t="str">
        <f>IF(X129="","",IF($E$9&gt;$E$8,IFERROR((INDEX(GERAL[SNAP],96)-$E$8)/($E$9-$E$8),0),0))</f>
        <v/>
      </c>
      <c r="AF129" t="str">
        <f t="shared" si="45"/>
        <v/>
      </c>
      <c r="AG129" t="str">
        <f>IFERROR(INDEX(GERAL[LADO],96),"")</f>
        <v/>
      </c>
    </row>
    <row r="130" spans="13:33" x14ac:dyDescent="0.3">
      <c r="M130" t="str">
        <f>IFERROR(INDEX(GERAL[PONTO],117),"")</f>
        <v/>
      </c>
      <c r="N130" t="str">
        <f>IF(M130="","",IFERROR(INDEX(GERAL[ACUMULADA],117),0))</f>
        <v/>
      </c>
      <c r="O130" t="str">
        <f t="shared" si="46"/>
        <v/>
      </c>
      <c r="P130" t="str">
        <f t="shared" si="47"/>
        <v/>
      </c>
      <c r="Q130" t="str">
        <f t="shared" si="48"/>
        <v/>
      </c>
      <c r="R130" t="str">
        <f>IF(M130="","",IFERROR(INDEX(Tabela7[QT %],MATCH(M130,Tabela7[PONTO],0)),0))</f>
        <v/>
      </c>
      <c r="S130" t="str">
        <f t="shared" si="49"/>
        <v/>
      </c>
      <c r="T130" t="str">
        <f>IF(M130="","",IF($B$9&gt;$B$8,IFERROR((INDEX(GERAL[SNAP],117)-$B$8)/($B$9-$B$8),0),0))</f>
        <v/>
      </c>
      <c r="U130" t="str">
        <f t="shared" si="50"/>
        <v/>
      </c>
      <c r="V130" t="str">
        <f>IFERROR(INDEX(GERAL[LADO],117),"")</f>
        <v/>
      </c>
      <c r="X130" t="str">
        <f>IFERROR(INDEX(GERAL[PONTO],97),"")</f>
        <v/>
      </c>
      <c r="Y130" t="str">
        <f>IF(X130="","",IFERROR(INDEX(GERAL[ACUMULADA],97),0))</f>
        <v/>
      </c>
      <c r="Z130" t="str">
        <f t="shared" ref="Z130:Z161" si="51">IF(Y130="","",$B$31-Y130)</f>
        <v/>
      </c>
      <c r="AA130" t="str">
        <f t="shared" ref="AA130:AA161" si="52">IF(Y130="","",IF(Y130*1.15&lt;=30,30,IF(Y130*1.15&lt;=45,45,IF(Y130*1.15&lt;=75,75,IF(Y130*1.15&lt;=112.5,112.5,IF(Y130*1.15&lt;=150,150,IF(Y130*1.15&lt;=225,225,300)))))))</f>
        <v/>
      </c>
      <c r="AB130" t="str">
        <f t="shared" ref="AB130:AB161" si="53">IF(AA130="","",IFERROR(Y130/AA130,0))</f>
        <v/>
      </c>
      <c r="AC130" t="str">
        <f>IF(X130="","",IFERROR(INDEX(DIR_ATUAL[QT %],MATCH(X130,DIR_ATUAL[PONTO],0)),0))</f>
        <v/>
      </c>
      <c r="AD130" t="str">
        <f t="shared" ref="AD130:AD161" si="54">IF(Y130="","",IFERROR(1-ABS(Y130-Z130)/$B$31,0))</f>
        <v/>
      </c>
      <c r="AE130" t="str">
        <f>IF(X130="","",IF($E$9&gt;$E$8,IFERROR((INDEX(GERAL[SNAP],97)-$E$8)/($E$9-$E$8),0),0))</f>
        <v/>
      </c>
      <c r="AF130" t="str">
        <f t="shared" ref="AF130:AF161" si="55">IF(OR(X130="",AG130&lt;&gt;"DIREITO"),"",$L$2*IFERROR(Y130/$B$31,0)+$L$3*IF($D$31&gt;0,IFERROR(AC130/$D$31,0),0)+$L$4*IFERROR(AD130,0)-$L$5*IFERROR(AE130,0)-$L$6*MAX(0,IFERROR(AB130,0)-$L$7)+ROW()/1000000)</f>
        <v/>
      </c>
      <c r="AG130" t="str">
        <f>IFERROR(INDEX(GERAL[LADO],97),"")</f>
        <v/>
      </c>
    </row>
    <row r="131" spans="13:33" x14ac:dyDescent="0.3">
      <c r="M131" t="str">
        <f>IFERROR(INDEX(GERAL[PONTO],118),"")</f>
        <v/>
      </c>
      <c r="N131" t="str">
        <f>IF(M131="","",IFERROR(INDEX(GERAL[ACUMULADA],118),0))</f>
        <v/>
      </c>
      <c r="O131" t="str">
        <f t="shared" si="46"/>
        <v/>
      </c>
      <c r="P131" t="str">
        <f t="shared" si="47"/>
        <v/>
      </c>
      <c r="Q131" t="str">
        <f t="shared" si="48"/>
        <v/>
      </c>
      <c r="R131" t="str">
        <f>IF(M131="","",IFERROR(INDEX(Tabela7[QT %],MATCH(M131,Tabela7[PONTO],0)),0))</f>
        <v/>
      </c>
      <c r="S131" t="str">
        <f t="shared" si="49"/>
        <v/>
      </c>
      <c r="T131" t="str">
        <f>IF(M131="","",IF($B$9&gt;$B$8,IFERROR((INDEX(GERAL[SNAP],118)-$B$8)/($B$9-$B$8),0),0))</f>
        <v/>
      </c>
      <c r="U131" t="str">
        <f t="shared" si="50"/>
        <v/>
      </c>
      <c r="V131" t="str">
        <f>IFERROR(INDEX(GERAL[LADO],118),"")</f>
        <v/>
      </c>
      <c r="X131" t="str">
        <f>IFERROR(INDEX(GERAL[PONTO],98),"")</f>
        <v/>
      </c>
      <c r="Y131" t="str">
        <f>IF(X131="","",IFERROR(INDEX(GERAL[ACUMULADA],98),0))</f>
        <v/>
      </c>
      <c r="Z131" t="str">
        <f t="shared" si="51"/>
        <v/>
      </c>
      <c r="AA131" t="str">
        <f t="shared" si="52"/>
        <v/>
      </c>
      <c r="AB131" t="str">
        <f t="shared" si="53"/>
        <v/>
      </c>
      <c r="AC131" t="str">
        <f>IF(X131="","",IFERROR(INDEX(DIR_ATUAL[QT %],MATCH(X131,DIR_ATUAL[PONTO],0)),0))</f>
        <v/>
      </c>
      <c r="AD131" t="str">
        <f t="shared" si="54"/>
        <v/>
      </c>
      <c r="AE131" t="str">
        <f>IF(X131="","",IF($E$9&gt;$E$8,IFERROR((INDEX(GERAL[SNAP],98)-$E$8)/($E$9-$E$8),0),0))</f>
        <v/>
      </c>
      <c r="AF131" t="str">
        <f t="shared" si="55"/>
        <v/>
      </c>
      <c r="AG131" t="str">
        <f>IFERROR(INDEX(GERAL[LADO],98),"")</f>
        <v/>
      </c>
    </row>
    <row r="132" spans="13:33" x14ac:dyDescent="0.3">
      <c r="M132" t="str">
        <f>IFERROR(INDEX(GERAL[PONTO],119),"")</f>
        <v/>
      </c>
      <c r="N132" t="str">
        <f>IF(M132="","",IFERROR(INDEX(GERAL[ACUMULADA],119),0))</f>
        <v/>
      </c>
      <c r="O132" t="str">
        <f t="shared" si="46"/>
        <v/>
      </c>
      <c r="P132" t="str">
        <f t="shared" si="47"/>
        <v/>
      </c>
      <c r="Q132" t="str">
        <f t="shared" si="48"/>
        <v/>
      </c>
      <c r="R132" t="str">
        <f>IF(M132="","",IFERROR(INDEX(Tabela7[QT %],MATCH(M132,Tabela7[PONTO],0)),0))</f>
        <v/>
      </c>
      <c r="S132" t="str">
        <f t="shared" si="49"/>
        <v/>
      </c>
      <c r="T132" t="str">
        <f>IF(M132="","",IF($B$9&gt;$B$8,IFERROR((INDEX(GERAL[SNAP],119)-$B$8)/($B$9-$B$8),0),0))</f>
        <v/>
      </c>
      <c r="U132" t="str">
        <f t="shared" si="50"/>
        <v/>
      </c>
      <c r="V132" t="str">
        <f>IFERROR(INDEX(GERAL[LADO],119),"")</f>
        <v/>
      </c>
      <c r="X132" t="str">
        <f>IFERROR(INDEX(GERAL[PONTO],99),"")</f>
        <v/>
      </c>
      <c r="Y132" t="str">
        <f>IF(X132="","",IFERROR(INDEX(GERAL[ACUMULADA],99),0))</f>
        <v/>
      </c>
      <c r="Z132" t="str">
        <f t="shared" si="51"/>
        <v/>
      </c>
      <c r="AA132" t="str">
        <f t="shared" si="52"/>
        <v/>
      </c>
      <c r="AB132" t="str">
        <f t="shared" si="53"/>
        <v/>
      </c>
      <c r="AC132" t="str">
        <f>IF(X132="","",IFERROR(INDEX(DIR_ATUAL[QT %],MATCH(X132,DIR_ATUAL[PONTO],0)),0))</f>
        <v/>
      </c>
      <c r="AD132" t="str">
        <f t="shared" si="54"/>
        <v/>
      </c>
      <c r="AE132" t="str">
        <f>IF(X132="","",IF($E$9&gt;$E$8,IFERROR((INDEX(GERAL[SNAP],99)-$E$8)/($E$9-$E$8),0),0))</f>
        <v/>
      </c>
      <c r="AF132" t="str">
        <f t="shared" si="55"/>
        <v/>
      </c>
      <c r="AG132" t="str">
        <f>IFERROR(INDEX(GERAL[LADO],99),"")</f>
        <v/>
      </c>
    </row>
    <row r="133" spans="13:33" x14ac:dyDescent="0.3">
      <c r="M133" t="str">
        <f>IFERROR(INDEX(GERAL[PONTO],120),"")</f>
        <v/>
      </c>
      <c r="N133" t="str">
        <f>IF(M133="","",IFERROR(INDEX(GERAL[ACUMULADA],120),0))</f>
        <v/>
      </c>
      <c r="O133" t="str">
        <f t="shared" si="46"/>
        <v/>
      </c>
      <c r="P133" t="str">
        <f t="shared" si="47"/>
        <v/>
      </c>
      <c r="Q133" t="str">
        <f t="shared" si="48"/>
        <v/>
      </c>
      <c r="R133" t="str">
        <f>IF(M133="","",IFERROR(INDEX(Tabela7[QT %],MATCH(M133,Tabela7[PONTO],0)),0))</f>
        <v/>
      </c>
      <c r="S133" t="str">
        <f t="shared" si="49"/>
        <v/>
      </c>
      <c r="T133" t="str">
        <f>IF(M133="","",IF($B$9&gt;$B$8,IFERROR((INDEX(GERAL[SNAP],120)-$B$8)/($B$9-$B$8),0),0))</f>
        <v/>
      </c>
      <c r="U133" t="str">
        <f t="shared" si="50"/>
        <v/>
      </c>
      <c r="V133" t="str">
        <f>IFERROR(INDEX(GERAL[LADO],120),"")</f>
        <v/>
      </c>
      <c r="X133" t="str">
        <f>IFERROR(INDEX(GERAL[PONTO],100),"")</f>
        <v/>
      </c>
      <c r="Y133" t="str">
        <f>IF(X133="","",IFERROR(INDEX(GERAL[ACUMULADA],100),0))</f>
        <v/>
      </c>
      <c r="Z133" t="str">
        <f t="shared" si="51"/>
        <v/>
      </c>
      <c r="AA133" t="str">
        <f t="shared" si="52"/>
        <v/>
      </c>
      <c r="AB133" t="str">
        <f t="shared" si="53"/>
        <v/>
      </c>
      <c r="AC133" t="str">
        <f>IF(X133="","",IFERROR(INDEX(DIR_ATUAL[QT %],MATCH(X133,DIR_ATUAL[PONTO],0)),0))</f>
        <v/>
      </c>
      <c r="AD133" t="str">
        <f t="shared" si="54"/>
        <v/>
      </c>
      <c r="AE133" t="str">
        <f>IF(X133="","",IF($E$9&gt;$E$8,IFERROR((INDEX(GERAL[SNAP],100)-$E$8)/($E$9-$E$8),0),0))</f>
        <v/>
      </c>
      <c r="AF133" t="str">
        <f t="shared" si="55"/>
        <v/>
      </c>
      <c r="AG133" t="str">
        <f>IFERROR(INDEX(GERAL[LADO],100),"")</f>
        <v/>
      </c>
    </row>
    <row r="134" spans="13:33" x14ac:dyDescent="0.3">
      <c r="M134" t="str">
        <f>IFERROR(INDEX(GERAL[PONTO],121),"")</f>
        <v/>
      </c>
      <c r="N134" t="str">
        <f>IF(M134="","",IFERROR(INDEX(GERAL[ACUMULADA],121),0))</f>
        <v/>
      </c>
      <c r="O134" t="str">
        <f t="shared" si="46"/>
        <v/>
      </c>
      <c r="P134" t="str">
        <f t="shared" si="47"/>
        <v/>
      </c>
      <c r="Q134" t="str">
        <f t="shared" si="48"/>
        <v/>
      </c>
      <c r="R134" t="str">
        <f>IF(M134="","",IFERROR(INDEX(Tabela7[QT %],MATCH(M134,Tabela7[PONTO],0)),0))</f>
        <v/>
      </c>
      <c r="S134" t="str">
        <f t="shared" si="49"/>
        <v/>
      </c>
      <c r="T134" t="str">
        <f>IF(M134="","",IF($B$9&gt;$B$8,IFERROR((INDEX(GERAL[SNAP],121)-$B$8)/($B$9-$B$8),0),0))</f>
        <v/>
      </c>
      <c r="U134" t="str">
        <f t="shared" si="50"/>
        <v/>
      </c>
      <c r="V134" t="str">
        <f>IFERROR(INDEX(GERAL[LADO],121),"")</f>
        <v/>
      </c>
      <c r="X134" t="str">
        <f>IFERROR(INDEX(GERAL[PONTO],101),"")</f>
        <v/>
      </c>
      <c r="Y134" t="str">
        <f>IF(X134="","",IFERROR(INDEX(GERAL[ACUMULADA],101),0))</f>
        <v/>
      </c>
      <c r="Z134" t="str">
        <f t="shared" si="51"/>
        <v/>
      </c>
      <c r="AA134" t="str">
        <f t="shared" si="52"/>
        <v/>
      </c>
      <c r="AB134" t="str">
        <f t="shared" si="53"/>
        <v/>
      </c>
      <c r="AC134" t="str">
        <f>IF(X134="","",IFERROR(INDEX(DIR_ATUAL[QT %],MATCH(X134,DIR_ATUAL[PONTO],0)),0))</f>
        <v/>
      </c>
      <c r="AD134" t="str">
        <f t="shared" si="54"/>
        <v/>
      </c>
      <c r="AE134" t="str">
        <f>IF(X134="","",IF($E$9&gt;$E$8,IFERROR((INDEX(GERAL[SNAP],101)-$E$8)/($E$9-$E$8),0),0))</f>
        <v/>
      </c>
      <c r="AF134" t="str">
        <f t="shared" si="55"/>
        <v/>
      </c>
      <c r="AG134" t="str">
        <f>IFERROR(INDEX(GERAL[LADO],101),"")</f>
        <v/>
      </c>
    </row>
    <row r="135" spans="13:33" x14ac:dyDescent="0.3">
      <c r="M135" t="str">
        <f>IFERROR(INDEX(GERAL[PONTO],122),"")</f>
        <v/>
      </c>
      <c r="N135" t="str">
        <f>IF(M135="","",IFERROR(INDEX(GERAL[ACUMULADA],122),0))</f>
        <v/>
      </c>
      <c r="O135" t="str">
        <f t="shared" si="46"/>
        <v/>
      </c>
      <c r="P135" t="str">
        <f t="shared" si="47"/>
        <v/>
      </c>
      <c r="Q135" t="str">
        <f t="shared" si="48"/>
        <v/>
      </c>
      <c r="R135" t="str">
        <f>IF(M135="","",IFERROR(INDEX(Tabela7[QT %],MATCH(M135,Tabela7[PONTO],0)),0))</f>
        <v/>
      </c>
      <c r="S135" t="str">
        <f t="shared" si="49"/>
        <v/>
      </c>
      <c r="T135" t="str">
        <f>IF(M135="","",IF($B$9&gt;$B$8,IFERROR((INDEX(GERAL[SNAP],122)-$B$8)/($B$9-$B$8),0),0))</f>
        <v/>
      </c>
      <c r="U135" t="str">
        <f t="shared" si="50"/>
        <v/>
      </c>
      <c r="V135" t="str">
        <f>IFERROR(INDEX(GERAL[LADO],122),"")</f>
        <v/>
      </c>
      <c r="X135" t="str">
        <f>IFERROR(INDEX(GERAL[PONTO],102),"")</f>
        <v/>
      </c>
      <c r="Y135" t="str">
        <f>IF(X135="","",IFERROR(INDEX(GERAL[ACUMULADA],102),0))</f>
        <v/>
      </c>
      <c r="Z135" t="str">
        <f t="shared" si="51"/>
        <v/>
      </c>
      <c r="AA135" t="str">
        <f t="shared" si="52"/>
        <v/>
      </c>
      <c r="AB135" t="str">
        <f t="shared" si="53"/>
        <v/>
      </c>
      <c r="AC135" t="str">
        <f>IF(X135="","",IFERROR(INDEX(DIR_ATUAL[QT %],MATCH(X135,DIR_ATUAL[PONTO],0)),0))</f>
        <v/>
      </c>
      <c r="AD135" t="str">
        <f t="shared" si="54"/>
        <v/>
      </c>
      <c r="AE135" t="str">
        <f>IF(X135="","",IF($E$9&gt;$E$8,IFERROR((INDEX(GERAL[SNAP],102)-$E$8)/($E$9-$E$8),0),0))</f>
        <v/>
      </c>
      <c r="AF135" t="str">
        <f t="shared" si="55"/>
        <v/>
      </c>
      <c r="AG135" t="str">
        <f>IFERROR(INDEX(GERAL[LADO],102),"")</f>
        <v/>
      </c>
    </row>
    <row r="136" spans="13:33" x14ac:dyDescent="0.3">
      <c r="M136" t="str">
        <f>IFERROR(INDEX(GERAL[PONTO],123),"")</f>
        <v/>
      </c>
      <c r="N136" t="str">
        <f>IF(M136="","",IFERROR(INDEX(GERAL[ACUMULADA],123),0))</f>
        <v/>
      </c>
      <c r="O136" t="str">
        <f t="shared" si="46"/>
        <v/>
      </c>
      <c r="P136" t="str">
        <f t="shared" si="47"/>
        <v/>
      </c>
      <c r="Q136" t="str">
        <f t="shared" si="48"/>
        <v/>
      </c>
      <c r="R136" t="str">
        <f>IF(M136="","",IFERROR(INDEX(Tabela7[QT %],MATCH(M136,Tabela7[PONTO],0)),0))</f>
        <v/>
      </c>
      <c r="S136" t="str">
        <f t="shared" si="49"/>
        <v/>
      </c>
      <c r="T136" t="str">
        <f>IF(M136="","",IF($B$9&gt;$B$8,IFERROR((INDEX(GERAL[SNAP],123)-$B$8)/($B$9-$B$8),0),0))</f>
        <v/>
      </c>
      <c r="U136" t="str">
        <f t="shared" si="50"/>
        <v/>
      </c>
      <c r="V136" t="str">
        <f>IFERROR(INDEX(GERAL[LADO],123),"")</f>
        <v/>
      </c>
      <c r="X136" t="str">
        <f>IFERROR(INDEX(GERAL[PONTO],103),"")</f>
        <v/>
      </c>
      <c r="Y136" t="str">
        <f>IF(X136="","",IFERROR(INDEX(GERAL[ACUMULADA],103),0))</f>
        <v/>
      </c>
      <c r="Z136" t="str">
        <f t="shared" si="51"/>
        <v/>
      </c>
      <c r="AA136" t="str">
        <f t="shared" si="52"/>
        <v/>
      </c>
      <c r="AB136" t="str">
        <f t="shared" si="53"/>
        <v/>
      </c>
      <c r="AC136" t="str">
        <f>IF(X136="","",IFERROR(INDEX(DIR_ATUAL[QT %],MATCH(X136,DIR_ATUAL[PONTO],0)),0))</f>
        <v/>
      </c>
      <c r="AD136" t="str">
        <f t="shared" si="54"/>
        <v/>
      </c>
      <c r="AE136" t="str">
        <f>IF(X136="","",IF($E$9&gt;$E$8,IFERROR((INDEX(GERAL[SNAP],103)-$E$8)/($E$9-$E$8),0),0))</f>
        <v/>
      </c>
      <c r="AF136" t="str">
        <f t="shared" si="55"/>
        <v/>
      </c>
      <c r="AG136" t="str">
        <f>IFERROR(INDEX(GERAL[LADO],103),"")</f>
        <v/>
      </c>
    </row>
    <row r="137" spans="13:33" x14ac:dyDescent="0.3">
      <c r="M137" t="str">
        <f>IFERROR(INDEX(GERAL[PONTO],124),"")</f>
        <v/>
      </c>
      <c r="N137" t="str">
        <f>IF(M137="","",IFERROR(INDEX(GERAL[ACUMULADA],124),0))</f>
        <v/>
      </c>
      <c r="O137" t="str">
        <f t="shared" si="46"/>
        <v/>
      </c>
      <c r="P137" t="str">
        <f t="shared" si="47"/>
        <v/>
      </c>
      <c r="Q137" t="str">
        <f t="shared" si="48"/>
        <v/>
      </c>
      <c r="R137" t="str">
        <f>IF(M137="","",IFERROR(INDEX(Tabela7[QT %],MATCH(M137,Tabela7[PONTO],0)),0))</f>
        <v/>
      </c>
      <c r="S137" t="str">
        <f t="shared" si="49"/>
        <v/>
      </c>
      <c r="T137" t="str">
        <f>IF(M137="","",IF($B$9&gt;$B$8,IFERROR((INDEX(GERAL[SNAP],124)-$B$8)/($B$9-$B$8),0),0))</f>
        <v/>
      </c>
      <c r="U137" t="str">
        <f t="shared" si="50"/>
        <v/>
      </c>
      <c r="V137" t="str">
        <f>IFERROR(INDEX(GERAL[LADO],124),"")</f>
        <v/>
      </c>
      <c r="X137" t="str">
        <f>IFERROR(INDEX(GERAL[PONTO],104),"")</f>
        <v/>
      </c>
      <c r="Y137" t="str">
        <f>IF(X137="","",IFERROR(INDEX(GERAL[ACUMULADA],104),0))</f>
        <v/>
      </c>
      <c r="Z137" t="str">
        <f t="shared" si="51"/>
        <v/>
      </c>
      <c r="AA137" t="str">
        <f t="shared" si="52"/>
        <v/>
      </c>
      <c r="AB137" t="str">
        <f t="shared" si="53"/>
        <v/>
      </c>
      <c r="AC137" t="str">
        <f>IF(X137="","",IFERROR(INDEX(DIR_ATUAL[QT %],MATCH(X137,DIR_ATUAL[PONTO],0)),0))</f>
        <v/>
      </c>
      <c r="AD137" t="str">
        <f t="shared" si="54"/>
        <v/>
      </c>
      <c r="AE137" t="str">
        <f>IF(X137="","",IF($E$9&gt;$E$8,IFERROR((INDEX(GERAL[SNAP],104)-$E$8)/($E$9-$E$8),0),0))</f>
        <v/>
      </c>
      <c r="AF137" t="str">
        <f t="shared" si="55"/>
        <v/>
      </c>
      <c r="AG137" t="str">
        <f>IFERROR(INDEX(GERAL[LADO],104),"")</f>
        <v/>
      </c>
    </row>
    <row r="138" spans="13:33" x14ac:dyDescent="0.3">
      <c r="M138" t="str">
        <f>IFERROR(INDEX(GERAL[PONTO],125),"")</f>
        <v/>
      </c>
      <c r="N138" t="str">
        <f>IF(M138="","",IFERROR(INDEX(GERAL[ACUMULADA],125),0))</f>
        <v/>
      </c>
      <c r="O138" t="str">
        <f t="shared" si="46"/>
        <v/>
      </c>
      <c r="P138" t="str">
        <f t="shared" si="47"/>
        <v/>
      </c>
      <c r="Q138" t="str">
        <f t="shared" si="48"/>
        <v/>
      </c>
      <c r="R138" t="str">
        <f>IF(M138="","",IFERROR(INDEX(Tabela7[QT %],MATCH(M138,Tabela7[PONTO],0)),0))</f>
        <v/>
      </c>
      <c r="S138" t="str">
        <f t="shared" si="49"/>
        <v/>
      </c>
      <c r="T138" t="str">
        <f>IF(M138="","",IF($B$9&gt;$B$8,IFERROR((INDEX(GERAL[SNAP],125)-$B$8)/($B$9-$B$8),0),0))</f>
        <v/>
      </c>
      <c r="U138" t="str">
        <f t="shared" si="50"/>
        <v/>
      </c>
      <c r="V138" t="str">
        <f>IFERROR(INDEX(GERAL[LADO],125),"")</f>
        <v/>
      </c>
      <c r="X138" t="str">
        <f>IFERROR(INDEX(GERAL[PONTO],105),"")</f>
        <v/>
      </c>
      <c r="Y138" t="str">
        <f>IF(X138="","",IFERROR(INDEX(GERAL[ACUMULADA],105),0))</f>
        <v/>
      </c>
      <c r="Z138" t="str">
        <f t="shared" si="51"/>
        <v/>
      </c>
      <c r="AA138" t="str">
        <f t="shared" si="52"/>
        <v/>
      </c>
      <c r="AB138" t="str">
        <f t="shared" si="53"/>
        <v/>
      </c>
      <c r="AC138" t="str">
        <f>IF(X138="","",IFERROR(INDEX(DIR_ATUAL[QT %],MATCH(X138,DIR_ATUAL[PONTO],0)),0))</f>
        <v/>
      </c>
      <c r="AD138" t="str">
        <f t="shared" si="54"/>
        <v/>
      </c>
      <c r="AE138" t="str">
        <f>IF(X138="","",IF($E$9&gt;$E$8,IFERROR((INDEX(GERAL[SNAP],105)-$E$8)/($E$9-$E$8),0),0))</f>
        <v/>
      </c>
      <c r="AF138" t="str">
        <f t="shared" si="55"/>
        <v/>
      </c>
      <c r="AG138" t="str">
        <f>IFERROR(INDEX(GERAL[LADO],105),"")</f>
        <v/>
      </c>
    </row>
    <row r="139" spans="13:33" x14ac:dyDescent="0.3">
      <c r="M139" t="str">
        <f>IFERROR(INDEX(GERAL[PONTO],126),"")</f>
        <v/>
      </c>
      <c r="N139" t="str">
        <f>IF(M139="","",IFERROR(INDEX(GERAL[ACUMULADA],126),0))</f>
        <v/>
      </c>
      <c r="O139" t="str">
        <f t="shared" si="46"/>
        <v/>
      </c>
      <c r="P139" t="str">
        <f t="shared" si="47"/>
        <v/>
      </c>
      <c r="Q139" t="str">
        <f t="shared" si="48"/>
        <v/>
      </c>
      <c r="R139" t="str">
        <f>IF(M139="","",IFERROR(INDEX(Tabela7[QT %],MATCH(M139,Tabela7[PONTO],0)),0))</f>
        <v/>
      </c>
      <c r="S139" t="str">
        <f t="shared" si="49"/>
        <v/>
      </c>
      <c r="T139" t="str">
        <f>IF(M139="","",IF($B$9&gt;$B$8,IFERROR((INDEX(GERAL[SNAP],126)-$B$8)/($B$9-$B$8),0),0))</f>
        <v/>
      </c>
      <c r="U139" t="str">
        <f t="shared" si="50"/>
        <v/>
      </c>
      <c r="V139" t="str">
        <f>IFERROR(INDEX(GERAL[LADO],126),"")</f>
        <v/>
      </c>
      <c r="X139" t="str">
        <f>IFERROR(INDEX(GERAL[PONTO],106),"")</f>
        <v/>
      </c>
      <c r="Y139" t="str">
        <f>IF(X139="","",IFERROR(INDEX(GERAL[ACUMULADA],106),0))</f>
        <v/>
      </c>
      <c r="Z139" t="str">
        <f t="shared" si="51"/>
        <v/>
      </c>
      <c r="AA139" t="str">
        <f t="shared" si="52"/>
        <v/>
      </c>
      <c r="AB139" t="str">
        <f t="shared" si="53"/>
        <v/>
      </c>
      <c r="AC139" t="str">
        <f>IF(X139="","",IFERROR(INDEX(DIR_ATUAL[QT %],MATCH(X139,DIR_ATUAL[PONTO],0)),0))</f>
        <v/>
      </c>
      <c r="AD139" t="str">
        <f t="shared" si="54"/>
        <v/>
      </c>
      <c r="AE139" t="str">
        <f>IF(X139="","",IF($E$9&gt;$E$8,IFERROR((INDEX(GERAL[SNAP],106)-$E$8)/($E$9-$E$8),0),0))</f>
        <v/>
      </c>
      <c r="AF139" t="str">
        <f t="shared" si="55"/>
        <v/>
      </c>
      <c r="AG139" t="str">
        <f>IFERROR(INDEX(GERAL[LADO],106),"")</f>
        <v/>
      </c>
    </row>
    <row r="140" spans="13:33" x14ac:dyDescent="0.3">
      <c r="M140" t="str">
        <f>IFERROR(INDEX(GERAL[PONTO],127),"")</f>
        <v/>
      </c>
      <c r="N140" t="str">
        <f>IF(M140="","",IFERROR(INDEX(GERAL[ACUMULADA],127),0))</f>
        <v/>
      </c>
      <c r="O140" t="str">
        <f t="shared" si="46"/>
        <v/>
      </c>
      <c r="P140" t="str">
        <f t="shared" si="47"/>
        <v/>
      </c>
      <c r="Q140" t="str">
        <f t="shared" si="48"/>
        <v/>
      </c>
      <c r="R140" t="str">
        <f>IF(M140="","",IFERROR(INDEX(Tabela7[QT %],MATCH(M140,Tabela7[PONTO],0)),0))</f>
        <v/>
      </c>
      <c r="S140" t="str">
        <f t="shared" si="49"/>
        <v/>
      </c>
      <c r="T140" t="str">
        <f>IF(M140="","",IF($B$9&gt;$B$8,IFERROR((INDEX(GERAL[SNAP],127)-$B$8)/($B$9-$B$8),0),0))</f>
        <v/>
      </c>
      <c r="U140" t="str">
        <f t="shared" si="50"/>
        <v/>
      </c>
      <c r="V140" t="str">
        <f>IFERROR(INDEX(GERAL[LADO],127),"")</f>
        <v/>
      </c>
      <c r="X140" t="str">
        <f>IFERROR(INDEX(GERAL[PONTO],107),"")</f>
        <v/>
      </c>
      <c r="Y140" t="str">
        <f>IF(X140="","",IFERROR(INDEX(GERAL[ACUMULADA],107),0))</f>
        <v/>
      </c>
      <c r="Z140" t="str">
        <f t="shared" si="51"/>
        <v/>
      </c>
      <c r="AA140" t="str">
        <f t="shared" si="52"/>
        <v/>
      </c>
      <c r="AB140" t="str">
        <f t="shared" si="53"/>
        <v/>
      </c>
      <c r="AC140" t="str">
        <f>IF(X140="","",IFERROR(INDEX(DIR_ATUAL[QT %],MATCH(X140,DIR_ATUAL[PONTO],0)),0))</f>
        <v/>
      </c>
      <c r="AD140" t="str">
        <f t="shared" si="54"/>
        <v/>
      </c>
      <c r="AE140" t="str">
        <f>IF(X140="","",IF($E$9&gt;$E$8,IFERROR((INDEX(GERAL[SNAP],107)-$E$8)/($E$9-$E$8),0),0))</f>
        <v/>
      </c>
      <c r="AF140" t="str">
        <f t="shared" si="55"/>
        <v/>
      </c>
      <c r="AG140" t="str">
        <f>IFERROR(INDEX(GERAL[LADO],107),"")</f>
        <v/>
      </c>
    </row>
    <row r="141" spans="13:33" x14ac:dyDescent="0.3">
      <c r="M141" t="str">
        <f>IFERROR(INDEX(GERAL[PONTO],128),"")</f>
        <v/>
      </c>
      <c r="N141" t="str">
        <f>IF(M141="","",IFERROR(INDEX(GERAL[ACUMULADA],128),0))</f>
        <v/>
      </c>
      <c r="O141" t="str">
        <f t="shared" si="46"/>
        <v/>
      </c>
      <c r="P141" t="str">
        <f t="shared" si="47"/>
        <v/>
      </c>
      <c r="Q141" t="str">
        <f t="shared" si="48"/>
        <v/>
      </c>
      <c r="R141" t="str">
        <f>IF(M141="","",IFERROR(INDEX(Tabela7[QT %],MATCH(M141,Tabela7[PONTO],0)),0))</f>
        <v/>
      </c>
      <c r="S141" t="str">
        <f t="shared" si="49"/>
        <v/>
      </c>
      <c r="T141" t="str">
        <f>IF(M141="","",IF($B$9&gt;$B$8,IFERROR((INDEX(GERAL[SNAP],128)-$B$8)/($B$9-$B$8),0),0))</f>
        <v/>
      </c>
      <c r="U141" t="str">
        <f t="shared" si="50"/>
        <v/>
      </c>
      <c r="V141" t="str">
        <f>IFERROR(INDEX(GERAL[LADO],128),"")</f>
        <v/>
      </c>
      <c r="X141" t="str">
        <f>IFERROR(INDEX(GERAL[PONTO],108),"")</f>
        <v/>
      </c>
      <c r="Y141" t="str">
        <f>IF(X141="","",IFERROR(INDEX(GERAL[ACUMULADA],108),0))</f>
        <v/>
      </c>
      <c r="Z141" t="str">
        <f t="shared" si="51"/>
        <v/>
      </c>
      <c r="AA141" t="str">
        <f t="shared" si="52"/>
        <v/>
      </c>
      <c r="AB141" t="str">
        <f t="shared" si="53"/>
        <v/>
      </c>
      <c r="AC141" t="str">
        <f>IF(X141="","",IFERROR(INDEX(DIR_ATUAL[QT %],MATCH(X141,DIR_ATUAL[PONTO],0)),0))</f>
        <v/>
      </c>
      <c r="AD141" t="str">
        <f t="shared" si="54"/>
        <v/>
      </c>
      <c r="AE141" t="str">
        <f>IF(X141="","",IF($E$9&gt;$E$8,IFERROR((INDEX(GERAL[SNAP],108)-$E$8)/($E$9-$E$8),0),0))</f>
        <v/>
      </c>
      <c r="AF141" t="str">
        <f t="shared" si="55"/>
        <v/>
      </c>
      <c r="AG141" t="str">
        <f>IFERROR(INDEX(GERAL[LADO],108),"")</f>
        <v/>
      </c>
    </row>
    <row r="142" spans="13:33" x14ac:dyDescent="0.3">
      <c r="M142" t="str">
        <f>IFERROR(INDEX(GERAL[PONTO],129),"")</f>
        <v/>
      </c>
      <c r="N142" t="str">
        <f>IF(M142="","",IFERROR(INDEX(GERAL[ACUMULADA],129),0))</f>
        <v/>
      </c>
      <c r="O142" t="str">
        <f t="shared" ref="O142:O173" si="56">IF(N142="","",$B$11-N142)</f>
        <v/>
      </c>
      <c r="P142" t="str">
        <f t="shared" ref="P142:P173" si="57">IF(N142="","",IF(N142*1.15&lt;=30,30,IF(N142*1.15&lt;=45,45,IF(N142*1.15&lt;=75,75,IF(N142*1.15&lt;=112.5,112.5,IF(N142*1.15&lt;=150,150,IF(N142*1.15&lt;=225,225,300)))))))</f>
        <v/>
      </c>
      <c r="Q142" t="str">
        <f t="shared" ref="Q142:Q173" si="58">IF(P142="","",IFERROR(N142/P142,0))</f>
        <v/>
      </c>
      <c r="R142" t="str">
        <f>IF(M142="","",IFERROR(INDEX(Tabela7[QT %],MATCH(M142,Tabela7[PONTO],0)),0))</f>
        <v/>
      </c>
      <c r="S142" t="str">
        <f t="shared" ref="S142:S173" si="59">IF(N142="","",IFERROR(1-ABS(N142-O142)/$B$11,0))</f>
        <v/>
      </c>
      <c r="T142" t="str">
        <f>IF(M142="","",IF($B$9&gt;$B$8,IFERROR((INDEX(GERAL[SNAP],129)-$B$8)/($B$9-$B$8),0),0))</f>
        <v/>
      </c>
      <c r="U142" t="str">
        <f t="shared" ref="U142:U173" si="60">IF(OR(M142="",V142&lt;&gt;"ESQUERDO"),"",$L$2*IFERROR(N142/$B$11,0)+$L$3*IF($D$11&gt;0,IFERROR(R142/$D$11,0),0)+$L$4*IFERROR(S142,0)-$L$5*IFERROR(T142,0)-$L$6*MAX(0,IFERROR(Q142,0)-$L$7)+ROW()/1000000)</f>
        <v/>
      </c>
      <c r="V142" t="str">
        <f>IFERROR(INDEX(GERAL[LADO],129),"")</f>
        <v/>
      </c>
      <c r="X142" t="str">
        <f>IFERROR(INDEX(GERAL[PONTO],109),"")</f>
        <v/>
      </c>
      <c r="Y142" t="str">
        <f>IF(X142="","",IFERROR(INDEX(GERAL[ACUMULADA],109),0))</f>
        <v/>
      </c>
      <c r="Z142" t="str">
        <f t="shared" si="51"/>
        <v/>
      </c>
      <c r="AA142" t="str">
        <f t="shared" si="52"/>
        <v/>
      </c>
      <c r="AB142" t="str">
        <f t="shared" si="53"/>
        <v/>
      </c>
      <c r="AC142" t="str">
        <f>IF(X142="","",IFERROR(INDEX(DIR_ATUAL[QT %],MATCH(X142,DIR_ATUAL[PONTO],0)),0))</f>
        <v/>
      </c>
      <c r="AD142" t="str">
        <f t="shared" si="54"/>
        <v/>
      </c>
      <c r="AE142" t="str">
        <f>IF(X142="","",IF($E$9&gt;$E$8,IFERROR((INDEX(GERAL[SNAP],109)-$E$8)/($E$9-$E$8),0),0))</f>
        <v/>
      </c>
      <c r="AF142" t="str">
        <f t="shared" si="55"/>
        <v/>
      </c>
      <c r="AG142" t="str">
        <f>IFERROR(INDEX(GERAL[LADO],109),"")</f>
        <v/>
      </c>
    </row>
    <row r="143" spans="13:33" x14ac:dyDescent="0.3">
      <c r="M143" t="str">
        <f>IFERROR(INDEX(GERAL[PONTO],130),"")</f>
        <v/>
      </c>
      <c r="N143" t="str">
        <f>IF(M143="","",IFERROR(INDEX(GERAL[ACUMULADA],130),0))</f>
        <v/>
      </c>
      <c r="O143" t="str">
        <f t="shared" si="56"/>
        <v/>
      </c>
      <c r="P143" t="str">
        <f t="shared" si="57"/>
        <v/>
      </c>
      <c r="Q143" t="str">
        <f t="shared" si="58"/>
        <v/>
      </c>
      <c r="R143" t="str">
        <f>IF(M143="","",IFERROR(INDEX(Tabela7[QT %],MATCH(M143,Tabela7[PONTO],0)),0))</f>
        <v/>
      </c>
      <c r="S143" t="str">
        <f t="shared" si="59"/>
        <v/>
      </c>
      <c r="T143" t="str">
        <f>IF(M143="","",IF($B$9&gt;$B$8,IFERROR((INDEX(GERAL[SNAP],130)-$B$8)/($B$9-$B$8),0),0))</f>
        <v/>
      </c>
      <c r="U143" t="str">
        <f t="shared" si="60"/>
        <v/>
      </c>
      <c r="V143" t="str">
        <f>IFERROR(INDEX(GERAL[LADO],130),"")</f>
        <v/>
      </c>
      <c r="X143" t="str">
        <f>IFERROR(INDEX(GERAL[PONTO],110),"")</f>
        <v/>
      </c>
      <c r="Y143" t="str">
        <f>IF(X143="","",IFERROR(INDEX(GERAL[ACUMULADA],110),0))</f>
        <v/>
      </c>
      <c r="Z143" t="str">
        <f t="shared" si="51"/>
        <v/>
      </c>
      <c r="AA143" t="str">
        <f t="shared" si="52"/>
        <v/>
      </c>
      <c r="AB143" t="str">
        <f t="shared" si="53"/>
        <v/>
      </c>
      <c r="AC143" t="str">
        <f>IF(X143="","",IFERROR(INDEX(DIR_ATUAL[QT %],MATCH(X143,DIR_ATUAL[PONTO],0)),0))</f>
        <v/>
      </c>
      <c r="AD143" t="str">
        <f t="shared" si="54"/>
        <v/>
      </c>
      <c r="AE143" t="str">
        <f>IF(X143="","",IF($E$9&gt;$E$8,IFERROR((INDEX(GERAL[SNAP],110)-$E$8)/($E$9-$E$8),0),0))</f>
        <v/>
      </c>
      <c r="AF143" t="str">
        <f t="shared" si="55"/>
        <v/>
      </c>
      <c r="AG143" t="str">
        <f>IFERROR(INDEX(GERAL[LADO],110),"")</f>
        <v/>
      </c>
    </row>
    <row r="144" spans="13:33" x14ac:dyDescent="0.3">
      <c r="M144" t="str">
        <f>IFERROR(INDEX(GERAL[PONTO],131),"")</f>
        <v/>
      </c>
      <c r="N144" t="str">
        <f>IF(M144="","",IFERROR(INDEX(GERAL[ACUMULADA],131),0))</f>
        <v/>
      </c>
      <c r="O144" t="str">
        <f t="shared" si="56"/>
        <v/>
      </c>
      <c r="P144" t="str">
        <f t="shared" si="57"/>
        <v/>
      </c>
      <c r="Q144" t="str">
        <f t="shared" si="58"/>
        <v/>
      </c>
      <c r="R144" t="str">
        <f>IF(M144="","",IFERROR(INDEX(Tabela7[QT %],MATCH(M144,Tabela7[PONTO],0)),0))</f>
        <v/>
      </c>
      <c r="S144" t="str">
        <f t="shared" si="59"/>
        <v/>
      </c>
      <c r="T144" t="str">
        <f>IF(M144="","",IF($B$9&gt;$B$8,IFERROR((INDEX(GERAL[SNAP],131)-$B$8)/($B$9-$B$8),0),0))</f>
        <v/>
      </c>
      <c r="U144" t="str">
        <f t="shared" si="60"/>
        <v/>
      </c>
      <c r="V144" t="str">
        <f>IFERROR(INDEX(GERAL[LADO],131),"")</f>
        <v/>
      </c>
      <c r="X144" t="str">
        <f>IFERROR(INDEX(GERAL[PONTO],111),"")</f>
        <v/>
      </c>
      <c r="Y144" t="str">
        <f>IF(X144="","",IFERROR(INDEX(GERAL[ACUMULADA],111),0))</f>
        <v/>
      </c>
      <c r="Z144" t="str">
        <f t="shared" si="51"/>
        <v/>
      </c>
      <c r="AA144" t="str">
        <f t="shared" si="52"/>
        <v/>
      </c>
      <c r="AB144" t="str">
        <f t="shared" si="53"/>
        <v/>
      </c>
      <c r="AC144" t="str">
        <f>IF(X144="","",IFERROR(INDEX(DIR_ATUAL[QT %],MATCH(X144,DIR_ATUAL[PONTO],0)),0))</f>
        <v/>
      </c>
      <c r="AD144" t="str">
        <f t="shared" si="54"/>
        <v/>
      </c>
      <c r="AE144" t="str">
        <f>IF(X144="","",IF($E$9&gt;$E$8,IFERROR((INDEX(GERAL[SNAP],111)-$E$8)/($E$9-$E$8),0),0))</f>
        <v/>
      </c>
      <c r="AF144" t="str">
        <f t="shared" si="55"/>
        <v/>
      </c>
      <c r="AG144" t="str">
        <f>IFERROR(INDEX(GERAL[LADO],111),"")</f>
        <v/>
      </c>
    </row>
    <row r="145" spans="13:33" x14ac:dyDescent="0.3">
      <c r="M145" t="str">
        <f>IFERROR(INDEX(GERAL[PONTO],132),"")</f>
        <v/>
      </c>
      <c r="N145" t="str">
        <f>IF(M145="","",IFERROR(INDEX(GERAL[ACUMULADA],132),0))</f>
        <v/>
      </c>
      <c r="O145" t="str">
        <f t="shared" si="56"/>
        <v/>
      </c>
      <c r="P145" t="str">
        <f t="shared" si="57"/>
        <v/>
      </c>
      <c r="Q145" t="str">
        <f t="shared" si="58"/>
        <v/>
      </c>
      <c r="R145" t="str">
        <f>IF(M145="","",IFERROR(INDEX(Tabela7[QT %],MATCH(M145,Tabela7[PONTO],0)),0))</f>
        <v/>
      </c>
      <c r="S145" t="str">
        <f t="shared" si="59"/>
        <v/>
      </c>
      <c r="T145" t="str">
        <f>IF(M145="","",IF($B$9&gt;$B$8,IFERROR((INDEX(GERAL[SNAP],132)-$B$8)/($B$9-$B$8),0),0))</f>
        <v/>
      </c>
      <c r="U145" t="str">
        <f t="shared" si="60"/>
        <v/>
      </c>
      <c r="V145" t="str">
        <f>IFERROR(INDEX(GERAL[LADO],132),"")</f>
        <v/>
      </c>
      <c r="X145" t="str">
        <f>IFERROR(INDEX(GERAL[PONTO],112),"")</f>
        <v/>
      </c>
      <c r="Y145" t="str">
        <f>IF(X145="","",IFERROR(INDEX(GERAL[ACUMULADA],112),0))</f>
        <v/>
      </c>
      <c r="Z145" t="str">
        <f t="shared" si="51"/>
        <v/>
      </c>
      <c r="AA145" t="str">
        <f t="shared" si="52"/>
        <v/>
      </c>
      <c r="AB145" t="str">
        <f t="shared" si="53"/>
        <v/>
      </c>
      <c r="AC145" t="str">
        <f>IF(X145="","",IFERROR(INDEX(DIR_ATUAL[QT %],MATCH(X145,DIR_ATUAL[PONTO],0)),0))</f>
        <v/>
      </c>
      <c r="AD145" t="str">
        <f t="shared" si="54"/>
        <v/>
      </c>
      <c r="AE145" t="str">
        <f>IF(X145="","",IF($E$9&gt;$E$8,IFERROR((INDEX(GERAL[SNAP],112)-$E$8)/($E$9-$E$8),0),0))</f>
        <v/>
      </c>
      <c r="AF145" t="str">
        <f t="shared" si="55"/>
        <v/>
      </c>
      <c r="AG145" t="str">
        <f>IFERROR(INDEX(GERAL[LADO],112),"")</f>
        <v/>
      </c>
    </row>
    <row r="146" spans="13:33" x14ac:dyDescent="0.3">
      <c r="M146" t="str">
        <f>IFERROR(INDEX(GERAL[PONTO],133),"")</f>
        <v/>
      </c>
      <c r="N146" t="str">
        <f>IF(M146="","",IFERROR(INDEX(GERAL[ACUMULADA],133),0))</f>
        <v/>
      </c>
      <c r="O146" t="str">
        <f t="shared" si="56"/>
        <v/>
      </c>
      <c r="P146" t="str">
        <f t="shared" si="57"/>
        <v/>
      </c>
      <c r="Q146" t="str">
        <f t="shared" si="58"/>
        <v/>
      </c>
      <c r="R146" t="str">
        <f>IF(M146="","",IFERROR(INDEX(Tabela7[QT %],MATCH(M146,Tabela7[PONTO],0)),0))</f>
        <v/>
      </c>
      <c r="S146" t="str">
        <f t="shared" si="59"/>
        <v/>
      </c>
      <c r="T146" t="str">
        <f>IF(M146="","",IF($B$9&gt;$B$8,IFERROR((INDEX(GERAL[SNAP],133)-$B$8)/($B$9-$B$8),0),0))</f>
        <v/>
      </c>
      <c r="U146" t="str">
        <f t="shared" si="60"/>
        <v/>
      </c>
      <c r="V146" t="str">
        <f>IFERROR(INDEX(GERAL[LADO],133),"")</f>
        <v/>
      </c>
      <c r="X146" t="str">
        <f>IFERROR(INDEX(GERAL[PONTO],113),"")</f>
        <v/>
      </c>
      <c r="Y146" t="str">
        <f>IF(X146="","",IFERROR(INDEX(GERAL[ACUMULADA],113),0))</f>
        <v/>
      </c>
      <c r="Z146" t="str">
        <f t="shared" si="51"/>
        <v/>
      </c>
      <c r="AA146" t="str">
        <f t="shared" si="52"/>
        <v/>
      </c>
      <c r="AB146" t="str">
        <f t="shared" si="53"/>
        <v/>
      </c>
      <c r="AC146" t="str">
        <f>IF(X146="","",IFERROR(INDEX(DIR_ATUAL[QT %],MATCH(X146,DIR_ATUAL[PONTO],0)),0))</f>
        <v/>
      </c>
      <c r="AD146" t="str">
        <f t="shared" si="54"/>
        <v/>
      </c>
      <c r="AE146" t="str">
        <f>IF(X146="","",IF($E$9&gt;$E$8,IFERROR((INDEX(GERAL[SNAP],113)-$E$8)/($E$9-$E$8),0),0))</f>
        <v/>
      </c>
      <c r="AF146" t="str">
        <f t="shared" si="55"/>
        <v/>
      </c>
      <c r="AG146" t="str">
        <f>IFERROR(INDEX(GERAL[LADO],113),"")</f>
        <v/>
      </c>
    </row>
    <row r="147" spans="13:33" x14ac:dyDescent="0.3">
      <c r="M147" t="str">
        <f>IFERROR(INDEX(GERAL[PONTO],134),"")</f>
        <v/>
      </c>
      <c r="N147" t="str">
        <f>IF(M147="","",IFERROR(INDEX(GERAL[ACUMULADA],134),0))</f>
        <v/>
      </c>
      <c r="O147" t="str">
        <f t="shared" si="56"/>
        <v/>
      </c>
      <c r="P147" t="str">
        <f t="shared" si="57"/>
        <v/>
      </c>
      <c r="Q147" t="str">
        <f t="shared" si="58"/>
        <v/>
      </c>
      <c r="R147" t="str">
        <f>IF(M147="","",IFERROR(INDEX(Tabela7[QT %],MATCH(M147,Tabela7[PONTO],0)),0))</f>
        <v/>
      </c>
      <c r="S147" t="str">
        <f t="shared" si="59"/>
        <v/>
      </c>
      <c r="T147" t="str">
        <f>IF(M147="","",IF($B$9&gt;$B$8,IFERROR((INDEX(GERAL[SNAP],134)-$B$8)/($B$9-$B$8),0),0))</f>
        <v/>
      </c>
      <c r="U147" t="str">
        <f t="shared" si="60"/>
        <v/>
      </c>
      <c r="V147" t="str">
        <f>IFERROR(INDEX(GERAL[LADO],134),"")</f>
        <v/>
      </c>
      <c r="X147" t="str">
        <f>IFERROR(INDEX(GERAL[PONTO],114),"")</f>
        <v/>
      </c>
      <c r="Y147" t="str">
        <f>IF(X147="","",IFERROR(INDEX(GERAL[ACUMULADA],114),0))</f>
        <v/>
      </c>
      <c r="Z147" t="str">
        <f t="shared" si="51"/>
        <v/>
      </c>
      <c r="AA147" t="str">
        <f t="shared" si="52"/>
        <v/>
      </c>
      <c r="AB147" t="str">
        <f t="shared" si="53"/>
        <v/>
      </c>
      <c r="AC147" t="str">
        <f>IF(X147="","",IFERROR(INDEX(DIR_ATUAL[QT %],MATCH(X147,DIR_ATUAL[PONTO],0)),0))</f>
        <v/>
      </c>
      <c r="AD147" t="str">
        <f t="shared" si="54"/>
        <v/>
      </c>
      <c r="AE147" t="str">
        <f>IF(X147="","",IF($E$9&gt;$E$8,IFERROR((INDEX(GERAL[SNAP],114)-$E$8)/($E$9-$E$8),0),0))</f>
        <v/>
      </c>
      <c r="AF147" t="str">
        <f t="shared" si="55"/>
        <v/>
      </c>
      <c r="AG147" t="str">
        <f>IFERROR(INDEX(GERAL[LADO],114),"")</f>
        <v/>
      </c>
    </row>
    <row r="148" spans="13:33" x14ac:dyDescent="0.3">
      <c r="M148" t="str">
        <f>IFERROR(INDEX(GERAL[PONTO],135),"")</f>
        <v/>
      </c>
      <c r="N148" t="str">
        <f>IF(M148="","",IFERROR(INDEX(GERAL[ACUMULADA],135),0))</f>
        <v/>
      </c>
      <c r="O148" t="str">
        <f t="shared" si="56"/>
        <v/>
      </c>
      <c r="P148" t="str">
        <f t="shared" si="57"/>
        <v/>
      </c>
      <c r="Q148" t="str">
        <f t="shared" si="58"/>
        <v/>
      </c>
      <c r="R148" t="str">
        <f>IF(M148="","",IFERROR(INDEX(Tabela7[QT %],MATCH(M148,Tabela7[PONTO],0)),0))</f>
        <v/>
      </c>
      <c r="S148" t="str">
        <f t="shared" si="59"/>
        <v/>
      </c>
      <c r="T148" t="str">
        <f>IF(M148="","",IF($B$9&gt;$B$8,IFERROR((INDEX(GERAL[SNAP],135)-$B$8)/($B$9-$B$8),0),0))</f>
        <v/>
      </c>
      <c r="U148" t="str">
        <f t="shared" si="60"/>
        <v/>
      </c>
      <c r="V148" t="str">
        <f>IFERROR(INDEX(GERAL[LADO],135),"")</f>
        <v/>
      </c>
      <c r="X148" t="str">
        <f>IFERROR(INDEX(GERAL[PONTO],115),"")</f>
        <v/>
      </c>
      <c r="Y148" t="str">
        <f>IF(X148="","",IFERROR(INDEX(GERAL[ACUMULADA],115),0))</f>
        <v/>
      </c>
      <c r="Z148" t="str">
        <f t="shared" si="51"/>
        <v/>
      </c>
      <c r="AA148" t="str">
        <f t="shared" si="52"/>
        <v/>
      </c>
      <c r="AB148" t="str">
        <f t="shared" si="53"/>
        <v/>
      </c>
      <c r="AC148" t="str">
        <f>IF(X148="","",IFERROR(INDEX(DIR_ATUAL[QT %],MATCH(X148,DIR_ATUAL[PONTO],0)),0))</f>
        <v/>
      </c>
      <c r="AD148" t="str">
        <f t="shared" si="54"/>
        <v/>
      </c>
      <c r="AE148" t="str">
        <f>IF(X148="","",IF($E$9&gt;$E$8,IFERROR((INDEX(GERAL[SNAP],115)-$E$8)/($E$9-$E$8),0),0))</f>
        <v/>
      </c>
      <c r="AF148" t="str">
        <f t="shared" si="55"/>
        <v/>
      </c>
      <c r="AG148" t="str">
        <f>IFERROR(INDEX(GERAL[LADO],115),"")</f>
        <v/>
      </c>
    </row>
    <row r="149" spans="13:33" x14ac:dyDescent="0.3">
      <c r="M149" t="str">
        <f>IFERROR(INDEX(GERAL[PONTO],136),"")</f>
        <v/>
      </c>
      <c r="N149" t="str">
        <f>IF(M149="","",IFERROR(INDEX(GERAL[ACUMULADA],136),0))</f>
        <v/>
      </c>
      <c r="O149" t="str">
        <f t="shared" si="56"/>
        <v/>
      </c>
      <c r="P149" t="str">
        <f t="shared" si="57"/>
        <v/>
      </c>
      <c r="Q149" t="str">
        <f t="shared" si="58"/>
        <v/>
      </c>
      <c r="R149" t="str">
        <f>IF(M149="","",IFERROR(INDEX(Tabela7[QT %],MATCH(M149,Tabela7[PONTO],0)),0))</f>
        <v/>
      </c>
      <c r="S149" t="str">
        <f t="shared" si="59"/>
        <v/>
      </c>
      <c r="T149" t="str">
        <f>IF(M149="","",IF($B$9&gt;$B$8,IFERROR((INDEX(GERAL[SNAP],136)-$B$8)/($B$9-$B$8),0),0))</f>
        <v/>
      </c>
      <c r="U149" t="str">
        <f t="shared" si="60"/>
        <v/>
      </c>
      <c r="V149" t="str">
        <f>IFERROR(INDEX(GERAL[LADO],136),"")</f>
        <v/>
      </c>
      <c r="X149" t="str">
        <f>IFERROR(INDEX(GERAL[PONTO],116),"")</f>
        <v/>
      </c>
      <c r="Y149" t="str">
        <f>IF(X149="","",IFERROR(INDEX(GERAL[ACUMULADA],116),0))</f>
        <v/>
      </c>
      <c r="Z149" t="str">
        <f t="shared" si="51"/>
        <v/>
      </c>
      <c r="AA149" t="str">
        <f t="shared" si="52"/>
        <v/>
      </c>
      <c r="AB149" t="str">
        <f t="shared" si="53"/>
        <v/>
      </c>
      <c r="AC149" t="str">
        <f>IF(X149="","",IFERROR(INDEX(DIR_ATUAL[QT %],MATCH(X149,DIR_ATUAL[PONTO],0)),0))</f>
        <v/>
      </c>
      <c r="AD149" t="str">
        <f t="shared" si="54"/>
        <v/>
      </c>
      <c r="AE149" t="str">
        <f>IF(X149="","",IF($E$9&gt;$E$8,IFERROR((INDEX(GERAL[SNAP],116)-$E$8)/($E$9-$E$8),0),0))</f>
        <v/>
      </c>
      <c r="AF149" t="str">
        <f t="shared" si="55"/>
        <v/>
      </c>
      <c r="AG149" t="str">
        <f>IFERROR(INDEX(GERAL[LADO],116),"")</f>
        <v/>
      </c>
    </row>
    <row r="150" spans="13:33" x14ac:dyDescent="0.3">
      <c r="M150" t="str">
        <f>IFERROR(INDEX(GERAL[PONTO],137),"")</f>
        <v/>
      </c>
      <c r="N150" t="str">
        <f>IF(M150="","",IFERROR(INDEX(GERAL[ACUMULADA],137),0))</f>
        <v/>
      </c>
      <c r="O150" t="str">
        <f t="shared" si="56"/>
        <v/>
      </c>
      <c r="P150" t="str">
        <f t="shared" si="57"/>
        <v/>
      </c>
      <c r="Q150" t="str">
        <f t="shared" si="58"/>
        <v/>
      </c>
      <c r="R150" t="str">
        <f>IF(M150="","",IFERROR(INDEX(Tabela7[QT %],MATCH(M150,Tabela7[PONTO],0)),0))</f>
        <v/>
      </c>
      <c r="S150" t="str">
        <f t="shared" si="59"/>
        <v/>
      </c>
      <c r="T150" t="str">
        <f>IF(M150="","",IF($B$9&gt;$B$8,IFERROR((INDEX(GERAL[SNAP],137)-$B$8)/($B$9-$B$8),0),0))</f>
        <v/>
      </c>
      <c r="U150" t="str">
        <f t="shared" si="60"/>
        <v/>
      </c>
      <c r="V150" t="str">
        <f>IFERROR(INDEX(GERAL[LADO],137),"")</f>
        <v/>
      </c>
      <c r="X150" t="str">
        <f>IFERROR(INDEX(GERAL[PONTO],117),"")</f>
        <v/>
      </c>
      <c r="Y150" t="str">
        <f>IF(X150="","",IFERROR(INDEX(GERAL[ACUMULADA],117),0))</f>
        <v/>
      </c>
      <c r="Z150" t="str">
        <f t="shared" si="51"/>
        <v/>
      </c>
      <c r="AA150" t="str">
        <f t="shared" si="52"/>
        <v/>
      </c>
      <c r="AB150" t="str">
        <f t="shared" si="53"/>
        <v/>
      </c>
      <c r="AC150" t="str">
        <f>IF(X150="","",IFERROR(INDEX(DIR_ATUAL[QT %],MATCH(X150,DIR_ATUAL[PONTO],0)),0))</f>
        <v/>
      </c>
      <c r="AD150" t="str">
        <f t="shared" si="54"/>
        <v/>
      </c>
      <c r="AE150" t="str">
        <f>IF(X150="","",IF($E$9&gt;$E$8,IFERROR((INDEX(GERAL[SNAP],117)-$E$8)/($E$9-$E$8),0),0))</f>
        <v/>
      </c>
      <c r="AF150" t="str">
        <f t="shared" si="55"/>
        <v/>
      </c>
      <c r="AG150" t="str">
        <f>IFERROR(INDEX(GERAL[LADO],117),"")</f>
        <v/>
      </c>
    </row>
    <row r="151" spans="13:33" x14ac:dyDescent="0.3">
      <c r="M151" t="str">
        <f>IFERROR(INDEX(GERAL[PONTO],138),"")</f>
        <v/>
      </c>
      <c r="N151" t="str">
        <f>IF(M151="","",IFERROR(INDEX(GERAL[ACUMULADA],138),0))</f>
        <v/>
      </c>
      <c r="O151" t="str">
        <f t="shared" si="56"/>
        <v/>
      </c>
      <c r="P151" t="str">
        <f t="shared" si="57"/>
        <v/>
      </c>
      <c r="Q151" t="str">
        <f t="shared" si="58"/>
        <v/>
      </c>
      <c r="R151" t="str">
        <f>IF(M151="","",IFERROR(INDEX(Tabela7[QT %],MATCH(M151,Tabela7[PONTO],0)),0))</f>
        <v/>
      </c>
      <c r="S151" t="str">
        <f t="shared" si="59"/>
        <v/>
      </c>
      <c r="T151" t="str">
        <f>IF(M151="","",IF($B$9&gt;$B$8,IFERROR((INDEX(GERAL[SNAP],138)-$B$8)/($B$9-$B$8),0),0))</f>
        <v/>
      </c>
      <c r="U151" t="str">
        <f t="shared" si="60"/>
        <v/>
      </c>
      <c r="V151" t="str">
        <f>IFERROR(INDEX(GERAL[LADO],138),"")</f>
        <v/>
      </c>
      <c r="X151" t="str">
        <f>IFERROR(INDEX(GERAL[PONTO],118),"")</f>
        <v/>
      </c>
      <c r="Y151" t="str">
        <f>IF(X151="","",IFERROR(INDEX(GERAL[ACUMULADA],118),0))</f>
        <v/>
      </c>
      <c r="Z151" t="str">
        <f t="shared" si="51"/>
        <v/>
      </c>
      <c r="AA151" t="str">
        <f t="shared" si="52"/>
        <v/>
      </c>
      <c r="AB151" t="str">
        <f t="shared" si="53"/>
        <v/>
      </c>
      <c r="AC151" t="str">
        <f>IF(X151="","",IFERROR(INDEX(DIR_ATUAL[QT %],MATCH(X151,DIR_ATUAL[PONTO],0)),0))</f>
        <v/>
      </c>
      <c r="AD151" t="str">
        <f t="shared" si="54"/>
        <v/>
      </c>
      <c r="AE151" t="str">
        <f>IF(X151="","",IF($E$9&gt;$E$8,IFERROR((INDEX(GERAL[SNAP],118)-$E$8)/($E$9-$E$8),0),0))</f>
        <v/>
      </c>
      <c r="AF151" t="str">
        <f t="shared" si="55"/>
        <v/>
      </c>
      <c r="AG151" t="str">
        <f>IFERROR(INDEX(GERAL[LADO],118),"")</f>
        <v/>
      </c>
    </row>
    <row r="152" spans="13:33" x14ac:dyDescent="0.3">
      <c r="M152" t="str">
        <f>IFERROR(INDEX(GERAL[PONTO],139),"")</f>
        <v/>
      </c>
      <c r="N152" t="str">
        <f>IF(M152="","",IFERROR(INDEX(GERAL[ACUMULADA],139),0))</f>
        <v/>
      </c>
      <c r="O152" t="str">
        <f t="shared" si="56"/>
        <v/>
      </c>
      <c r="P152" t="str">
        <f t="shared" si="57"/>
        <v/>
      </c>
      <c r="Q152" t="str">
        <f t="shared" si="58"/>
        <v/>
      </c>
      <c r="R152" t="str">
        <f>IF(M152="","",IFERROR(INDEX(Tabela7[QT %],MATCH(M152,Tabela7[PONTO],0)),0))</f>
        <v/>
      </c>
      <c r="S152" t="str">
        <f t="shared" si="59"/>
        <v/>
      </c>
      <c r="T152" t="str">
        <f>IF(M152="","",IF($B$9&gt;$B$8,IFERROR((INDEX(GERAL[SNAP],139)-$B$8)/($B$9-$B$8),0),0))</f>
        <v/>
      </c>
      <c r="U152" t="str">
        <f t="shared" si="60"/>
        <v/>
      </c>
      <c r="V152" t="str">
        <f>IFERROR(INDEX(GERAL[LADO],139),"")</f>
        <v/>
      </c>
      <c r="X152" t="str">
        <f>IFERROR(INDEX(GERAL[PONTO],119),"")</f>
        <v/>
      </c>
      <c r="Y152" t="str">
        <f>IF(X152="","",IFERROR(INDEX(GERAL[ACUMULADA],119),0))</f>
        <v/>
      </c>
      <c r="Z152" t="str">
        <f t="shared" si="51"/>
        <v/>
      </c>
      <c r="AA152" t="str">
        <f t="shared" si="52"/>
        <v/>
      </c>
      <c r="AB152" t="str">
        <f t="shared" si="53"/>
        <v/>
      </c>
      <c r="AC152" t="str">
        <f>IF(X152="","",IFERROR(INDEX(DIR_ATUAL[QT %],MATCH(X152,DIR_ATUAL[PONTO],0)),0))</f>
        <v/>
      </c>
      <c r="AD152" t="str">
        <f t="shared" si="54"/>
        <v/>
      </c>
      <c r="AE152" t="str">
        <f>IF(X152="","",IF($E$9&gt;$E$8,IFERROR((INDEX(GERAL[SNAP],119)-$E$8)/($E$9-$E$8),0),0))</f>
        <v/>
      </c>
      <c r="AF152" t="str">
        <f t="shared" si="55"/>
        <v/>
      </c>
      <c r="AG152" t="str">
        <f>IFERROR(INDEX(GERAL[LADO],119),"")</f>
        <v/>
      </c>
    </row>
    <row r="153" spans="13:33" x14ac:dyDescent="0.3">
      <c r="M153" t="str">
        <f>IFERROR(INDEX(GERAL[PONTO],140),"")</f>
        <v/>
      </c>
      <c r="N153" t="str">
        <f>IF(M153="","",IFERROR(INDEX(GERAL[ACUMULADA],140),0))</f>
        <v/>
      </c>
      <c r="O153" t="str">
        <f t="shared" si="56"/>
        <v/>
      </c>
      <c r="P153" t="str">
        <f t="shared" si="57"/>
        <v/>
      </c>
      <c r="Q153" t="str">
        <f t="shared" si="58"/>
        <v/>
      </c>
      <c r="R153" t="str">
        <f>IF(M153="","",IFERROR(INDEX(Tabela7[QT %],MATCH(M153,Tabela7[PONTO],0)),0))</f>
        <v/>
      </c>
      <c r="S153" t="str">
        <f t="shared" si="59"/>
        <v/>
      </c>
      <c r="T153" t="str">
        <f>IF(M153="","",IF($B$9&gt;$B$8,IFERROR((INDEX(GERAL[SNAP],140)-$B$8)/($B$9-$B$8),0),0))</f>
        <v/>
      </c>
      <c r="U153" t="str">
        <f t="shared" si="60"/>
        <v/>
      </c>
      <c r="V153" t="str">
        <f>IFERROR(INDEX(GERAL[LADO],140),"")</f>
        <v/>
      </c>
      <c r="X153" t="str">
        <f>IFERROR(INDEX(GERAL[PONTO],120),"")</f>
        <v/>
      </c>
      <c r="Y153" t="str">
        <f>IF(X153="","",IFERROR(INDEX(GERAL[ACUMULADA],120),0))</f>
        <v/>
      </c>
      <c r="Z153" t="str">
        <f t="shared" si="51"/>
        <v/>
      </c>
      <c r="AA153" t="str">
        <f t="shared" si="52"/>
        <v/>
      </c>
      <c r="AB153" t="str">
        <f t="shared" si="53"/>
        <v/>
      </c>
      <c r="AC153" t="str">
        <f>IF(X153="","",IFERROR(INDEX(DIR_ATUAL[QT %],MATCH(X153,DIR_ATUAL[PONTO],0)),0))</f>
        <v/>
      </c>
      <c r="AD153" t="str">
        <f t="shared" si="54"/>
        <v/>
      </c>
      <c r="AE153" t="str">
        <f>IF(X153="","",IF($E$9&gt;$E$8,IFERROR((INDEX(GERAL[SNAP],120)-$E$8)/($E$9-$E$8),0),0))</f>
        <v/>
      </c>
      <c r="AF153" t="str">
        <f t="shared" si="55"/>
        <v/>
      </c>
      <c r="AG153" t="str">
        <f>IFERROR(INDEX(GERAL[LADO],120),"")</f>
        <v/>
      </c>
    </row>
    <row r="154" spans="13:33" x14ac:dyDescent="0.3">
      <c r="M154" t="str">
        <f>IFERROR(INDEX(GERAL[PONTO],141),"")</f>
        <v/>
      </c>
      <c r="N154" t="str">
        <f>IF(M154="","",IFERROR(INDEX(GERAL[ACUMULADA],141),0))</f>
        <v/>
      </c>
      <c r="O154" t="str">
        <f t="shared" si="56"/>
        <v/>
      </c>
      <c r="P154" t="str">
        <f t="shared" si="57"/>
        <v/>
      </c>
      <c r="Q154" t="str">
        <f t="shared" si="58"/>
        <v/>
      </c>
      <c r="R154" t="str">
        <f>IF(M154="","",IFERROR(INDEX(Tabela7[QT %],MATCH(M154,Tabela7[PONTO],0)),0))</f>
        <v/>
      </c>
      <c r="S154" t="str">
        <f t="shared" si="59"/>
        <v/>
      </c>
      <c r="T154" t="str">
        <f>IF(M154="","",IF($B$9&gt;$B$8,IFERROR((INDEX(GERAL[SNAP],141)-$B$8)/($B$9-$B$8),0),0))</f>
        <v/>
      </c>
      <c r="U154" t="str">
        <f t="shared" si="60"/>
        <v/>
      </c>
      <c r="V154" t="str">
        <f>IFERROR(INDEX(GERAL[LADO],141),"")</f>
        <v/>
      </c>
      <c r="X154" t="str">
        <f>IFERROR(INDEX(GERAL[PONTO],121),"")</f>
        <v/>
      </c>
      <c r="Y154" t="str">
        <f>IF(X154="","",IFERROR(INDEX(GERAL[ACUMULADA],121),0))</f>
        <v/>
      </c>
      <c r="Z154" t="str">
        <f t="shared" si="51"/>
        <v/>
      </c>
      <c r="AA154" t="str">
        <f t="shared" si="52"/>
        <v/>
      </c>
      <c r="AB154" t="str">
        <f t="shared" si="53"/>
        <v/>
      </c>
      <c r="AC154" t="str">
        <f>IF(X154="","",IFERROR(INDEX(DIR_ATUAL[QT %],MATCH(X154,DIR_ATUAL[PONTO],0)),0))</f>
        <v/>
      </c>
      <c r="AD154" t="str">
        <f t="shared" si="54"/>
        <v/>
      </c>
      <c r="AE154" t="str">
        <f>IF(X154="","",IF($E$9&gt;$E$8,IFERROR((INDEX(GERAL[SNAP],121)-$E$8)/($E$9-$E$8),0),0))</f>
        <v/>
      </c>
      <c r="AF154" t="str">
        <f t="shared" si="55"/>
        <v/>
      </c>
      <c r="AG154" t="str">
        <f>IFERROR(INDEX(GERAL[LADO],121),"")</f>
        <v/>
      </c>
    </row>
    <row r="155" spans="13:33" x14ac:dyDescent="0.3">
      <c r="M155" t="str">
        <f>IFERROR(INDEX(GERAL[PONTO],142),"")</f>
        <v/>
      </c>
      <c r="N155" t="str">
        <f>IF(M155="","",IFERROR(INDEX(GERAL[ACUMULADA],142),0))</f>
        <v/>
      </c>
      <c r="O155" t="str">
        <f t="shared" si="56"/>
        <v/>
      </c>
      <c r="P155" t="str">
        <f t="shared" si="57"/>
        <v/>
      </c>
      <c r="Q155" t="str">
        <f t="shared" si="58"/>
        <v/>
      </c>
      <c r="R155" t="str">
        <f>IF(M155="","",IFERROR(INDEX(Tabela7[QT %],MATCH(M155,Tabela7[PONTO],0)),0))</f>
        <v/>
      </c>
      <c r="S155" t="str">
        <f t="shared" si="59"/>
        <v/>
      </c>
      <c r="T155" t="str">
        <f>IF(M155="","",IF($B$9&gt;$B$8,IFERROR((INDEX(GERAL[SNAP],142)-$B$8)/($B$9-$B$8),0),0))</f>
        <v/>
      </c>
      <c r="U155" t="str">
        <f t="shared" si="60"/>
        <v/>
      </c>
      <c r="V155" t="str">
        <f>IFERROR(INDEX(GERAL[LADO],142),"")</f>
        <v/>
      </c>
      <c r="X155" t="str">
        <f>IFERROR(INDEX(GERAL[PONTO],122),"")</f>
        <v/>
      </c>
      <c r="Y155" t="str">
        <f>IF(X155="","",IFERROR(INDEX(GERAL[ACUMULADA],122),0))</f>
        <v/>
      </c>
      <c r="Z155" t="str">
        <f t="shared" si="51"/>
        <v/>
      </c>
      <c r="AA155" t="str">
        <f t="shared" si="52"/>
        <v/>
      </c>
      <c r="AB155" t="str">
        <f t="shared" si="53"/>
        <v/>
      </c>
      <c r="AC155" t="str">
        <f>IF(X155="","",IFERROR(INDEX(DIR_ATUAL[QT %],MATCH(X155,DIR_ATUAL[PONTO],0)),0))</f>
        <v/>
      </c>
      <c r="AD155" t="str">
        <f t="shared" si="54"/>
        <v/>
      </c>
      <c r="AE155" t="str">
        <f>IF(X155="","",IF($E$9&gt;$E$8,IFERROR((INDEX(GERAL[SNAP],122)-$E$8)/($E$9-$E$8),0),0))</f>
        <v/>
      </c>
      <c r="AF155" t="str">
        <f t="shared" si="55"/>
        <v/>
      </c>
      <c r="AG155" t="str">
        <f>IFERROR(INDEX(GERAL[LADO],122),"")</f>
        <v/>
      </c>
    </row>
    <row r="156" spans="13:33" x14ac:dyDescent="0.3">
      <c r="M156" t="str">
        <f>IFERROR(INDEX(GERAL[PONTO],143),"")</f>
        <v/>
      </c>
      <c r="N156" t="str">
        <f>IF(M156="","",IFERROR(INDEX(GERAL[ACUMULADA],143),0))</f>
        <v/>
      </c>
      <c r="O156" t="str">
        <f t="shared" si="56"/>
        <v/>
      </c>
      <c r="P156" t="str">
        <f t="shared" si="57"/>
        <v/>
      </c>
      <c r="Q156" t="str">
        <f t="shared" si="58"/>
        <v/>
      </c>
      <c r="R156" t="str">
        <f>IF(M156="","",IFERROR(INDEX(Tabela7[QT %],MATCH(M156,Tabela7[PONTO],0)),0))</f>
        <v/>
      </c>
      <c r="S156" t="str">
        <f t="shared" si="59"/>
        <v/>
      </c>
      <c r="T156" t="str">
        <f>IF(M156="","",IF($B$9&gt;$B$8,IFERROR((INDEX(GERAL[SNAP],143)-$B$8)/($B$9-$B$8),0),0))</f>
        <v/>
      </c>
      <c r="U156" t="str">
        <f t="shared" si="60"/>
        <v/>
      </c>
      <c r="V156" t="str">
        <f>IFERROR(INDEX(GERAL[LADO],143),"")</f>
        <v/>
      </c>
      <c r="X156" t="str">
        <f>IFERROR(INDEX(GERAL[PONTO],123),"")</f>
        <v/>
      </c>
      <c r="Y156" t="str">
        <f>IF(X156="","",IFERROR(INDEX(GERAL[ACUMULADA],123),0))</f>
        <v/>
      </c>
      <c r="Z156" t="str">
        <f t="shared" si="51"/>
        <v/>
      </c>
      <c r="AA156" t="str">
        <f t="shared" si="52"/>
        <v/>
      </c>
      <c r="AB156" t="str">
        <f t="shared" si="53"/>
        <v/>
      </c>
      <c r="AC156" t="str">
        <f>IF(X156="","",IFERROR(INDEX(DIR_ATUAL[QT %],MATCH(X156,DIR_ATUAL[PONTO],0)),0))</f>
        <v/>
      </c>
      <c r="AD156" t="str">
        <f t="shared" si="54"/>
        <v/>
      </c>
      <c r="AE156" t="str">
        <f>IF(X156="","",IF($E$9&gt;$E$8,IFERROR((INDEX(GERAL[SNAP],123)-$E$8)/($E$9-$E$8),0),0))</f>
        <v/>
      </c>
      <c r="AF156" t="str">
        <f t="shared" si="55"/>
        <v/>
      </c>
      <c r="AG156" t="str">
        <f>IFERROR(INDEX(GERAL[LADO],123),"")</f>
        <v/>
      </c>
    </row>
    <row r="157" spans="13:33" x14ac:dyDescent="0.3">
      <c r="M157" t="str">
        <f>IFERROR(INDEX(GERAL[PONTO],144),"")</f>
        <v/>
      </c>
      <c r="N157" t="str">
        <f>IF(M157="","",IFERROR(INDEX(GERAL[ACUMULADA],144),0))</f>
        <v/>
      </c>
      <c r="O157" t="str">
        <f t="shared" si="56"/>
        <v/>
      </c>
      <c r="P157" t="str">
        <f t="shared" si="57"/>
        <v/>
      </c>
      <c r="Q157" t="str">
        <f t="shared" si="58"/>
        <v/>
      </c>
      <c r="R157" t="str">
        <f>IF(M157="","",IFERROR(INDEX(Tabela7[QT %],MATCH(M157,Tabela7[PONTO],0)),0))</f>
        <v/>
      </c>
      <c r="S157" t="str">
        <f t="shared" si="59"/>
        <v/>
      </c>
      <c r="T157" t="str">
        <f>IF(M157="","",IF($B$9&gt;$B$8,IFERROR((INDEX(GERAL[SNAP],144)-$B$8)/($B$9-$B$8),0),0))</f>
        <v/>
      </c>
      <c r="U157" t="str">
        <f t="shared" si="60"/>
        <v/>
      </c>
      <c r="V157" t="str">
        <f>IFERROR(INDEX(GERAL[LADO],144),"")</f>
        <v/>
      </c>
      <c r="X157" t="str">
        <f>IFERROR(INDEX(GERAL[PONTO],124),"")</f>
        <v/>
      </c>
      <c r="Y157" t="str">
        <f>IF(X157="","",IFERROR(INDEX(GERAL[ACUMULADA],124),0))</f>
        <v/>
      </c>
      <c r="Z157" t="str">
        <f t="shared" si="51"/>
        <v/>
      </c>
      <c r="AA157" t="str">
        <f t="shared" si="52"/>
        <v/>
      </c>
      <c r="AB157" t="str">
        <f t="shared" si="53"/>
        <v/>
      </c>
      <c r="AC157" t="str">
        <f>IF(X157="","",IFERROR(INDEX(DIR_ATUAL[QT %],MATCH(X157,DIR_ATUAL[PONTO],0)),0))</f>
        <v/>
      </c>
      <c r="AD157" t="str">
        <f t="shared" si="54"/>
        <v/>
      </c>
      <c r="AE157" t="str">
        <f>IF(X157="","",IF($E$9&gt;$E$8,IFERROR((INDEX(GERAL[SNAP],124)-$E$8)/($E$9-$E$8),0),0))</f>
        <v/>
      </c>
      <c r="AF157" t="str">
        <f t="shared" si="55"/>
        <v/>
      </c>
      <c r="AG157" t="str">
        <f>IFERROR(INDEX(GERAL[LADO],124),"")</f>
        <v/>
      </c>
    </row>
    <row r="158" spans="13:33" x14ac:dyDescent="0.3">
      <c r="M158" t="str">
        <f>IFERROR(INDEX(GERAL[PONTO],145),"")</f>
        <v/>
      </c>
      <c r="N158" t="str">
        <f>IF(M158="","",IFERROR(INDEX(GERAL[ACUMULADA],145),0))</f>
        <v/>
      </c>
      <c r="O158" t="str">
        <f t="shared" si="56"/>
        <v/>
      </c>
      <c r="P158" t="str">
        <f t="shared" si="57"/>
        <v/>
      </c>
      <c r="Q158" t="str">
        <f t="shared" si="58"/>
        <v/>
      </c>
      <c r="R158" t="str">
        <f>IF(M158="","",IFERROR(INDEX(Tabela7[QT %],MATCH(M158,Tabela7[PONTO],0)),0))</f>
        <v/>
      </c>
      <c r="S158" t="str">
        <f t="shared" si="59"/>
        <v/>
      </c>
      <c r="T158" t="str">
        <f>IF(M158="","",IF($B$9&gt;$B$8,IFERROR((INDEX(GERAL[SNAP],145)-$B$8)/($B$9-$B$8),0),0))</f>
        <v/>
      </c>
      <c r="U158" t="str">
        <f t="shared" si="60"/>
        <v/>
      </c>
      <c r="V158" t="str">
        <f>IFERROR(INDEX(GERAL[LADO],145),"")</f>
        <v/>
      </c>
      <c r="X158" t="str">
        <f>IFERROR(INDEX(GERAL[PONTO],125),"")</f>
        <v/>
      </c>
      <c r="Y158" t="str">
        <f>IF(X158="","",IFERROR(INDEX(GERAL[ACUMULADA],125),0))</f>
        <v/>
      </c>
      <c r="Z158" t="str">
        <f t="shared" si="51"/>
        <v/>
      </c>
      <c r="AA158" t="str">
        <f t="shared" si="52"/>
        <v/>
      </c>
      <c r="AB158" t="str">
        <f t="shared" si="53"/>
        <v/>
      </c>
      <c r="AC158" t="str">
        <f>IF(X158="","",IFERROR(INDEX(DIR_ATUAL[QT %],MATCH(X158,DIR_ATUAL[PONTO],0)),0))</f>
        <v/>
      </c>
      <c r="AD158" t="str">
        <f t="shared" si="54"/>
        <v/>
      </c>
      <c r="AE158" t="str">
        <f>IF(X158="","",IF($E$9&gt;$E$8,IFERROR((INDEX(GERAL[SNAP],125)-$E$8)/($E$9-$E$8),0),0))</f>
        <v/>
      </c>
      <c r="AF158" t="str">
        <f t="shared" si="55"/>
        <v/>
      </c>
      <c r="AG158" t="str">
        <f>IFERROR(INDEX(GERAL[LADO],125),"")</f>
        <v/>
      </c>
    </row>
    <row r="159" spans="13:33" x14ac:dyDescent="0.3">
      <c r="M159" t="str">
        <f>IFERROR(INDEX(GERAL[PONTO],146),"")</f>
        <v/>
      </c>
      <c r="N159" t="str">
        <f>IF(M159="","",IFERROR(INDEX(GERAL[ACUMULADA],146),0))</f>
        <v/>
      </c>
      <c r="O159" t="str">
        <f t="shared" si="56"/>
        <v/>
      </c>
      <c r="P159" t="str">
        <f t="shared" si="57"/>
        <v/>
      </c>
      <c r="Q159" t="str">
        <f t="shared" si="58"/>
        <v/>
      </c>
      <c r="R159" t="str">
        <f>IF(M159="","",IFERROR(INDEX(Tabela7[QT %],MATCH(M159,Tabela7[PONTO],0)),0))</f>
        <v/>
      </c>
      <c r="S159" t="str">
        <f t="shared" si="59"/>
        <v/>
      </c>
      <c r="T159" t="str">
        <f>IF(M159="","",IF($B$9&gt;$B$8,IFERROR((INDEX(GERAL[SNAP],146)-$B$8)/($B$9-$B$8),0),0))</f>
        <v/>
      </c>
      <c r="U159" t="str">
        <f t="shared" si="60"/>
        <v/>
      </c>
      <c r="V159" t="str">
        <f>IFERROR(INDEX(GERAL[LADO],146),"")</f>
        <v/>
      </c>
      <c r="X159" t="str">
        <f>IFERROR(INDEX(GERAL[PONTO],126),"")</f>
        <v/>
      </c>
      <c r="Y159" t="str">
        <f>IF(X159="","",IFERROR(INDEX(GERAL[ACUMULADA],126),0))</f>
        <v/>
      </c>
      <c r="Z159" t="str">
        <f t="shared" si="51"/>
        <v/>
      </c>
      <c r="AA159" t="str">
        <f t="shared" si="52"/>
        <v/>
      </c>
      <c r="AB159" t="str">
        <f t="shared" si="53"/>
        <v/>
      </c>
      <c r="AC159" t="str">
        <f>IF(X159="","",IFERROR(INDEX(DIR_ATUAL[QT %],MATCH(X159,DIR_ATUAL[PONTO],0)),0))</f>
        <v/>
      </c>
      <c r="AD159" t="str">
        <f t="shared" si="54"/>
        <v/>
      </c>
      <c r="AE159" t="str">
        <f>IF(X159="","",IF($E$9&gt;$E$8,IFERROR((INDEX(GERAL[SNAP],126)-$E$8)/($E$9-$E$8),0),0))</f>
        <v/>
      </c>
      <c r="AF159" t="str">
        <f t="shared" si="55"/>
        <v/>
      </c>
      <c r="AG159" t="str">
        <f>IFERROR(INDEX(GERAL[LADO],126),"")</f>
        <v/>
      </c>
    </row>
    <row r="160" spans="13:33" x14ac:dyDescent="0.3">
      <c r="M160" t="str">
        <f>IFERROR(INDEX(GERAL[PONTO],147),"")</f>
        <v/>
      </c>
      <c r="N160" t="str">
        <f>IF(M160="","",IFERROR(INDEX(GERAL[ACUMULADA],147),0))</f>
        <v/>
      </c>
      <c r="O160" t="str">
        <f t="shared" si="56"/>
        <v/>
      </c>
      <c r="P160" t="str">
        <f t="shared" si="57"/>
        <v/>
      </c>
      <c r="Q160" t="str">
        <f t="shared" si="58"/>
        <v/>
      </c>
      <c r="R160" t="str">
        <f>IF(M160="","",IFERROR(INDEX(Tabela7[QT %],MATCH(M160,Tabela7[PONTO],0)),0))</f>
        <v/>
      </c>
      <c r="S160" t="str">
        <f t="shared" si="59"/>
        <v/>
      </c>
      <c r="T160" t="str">
        <f>IF(M160="","",IF($B$9&gt;$B$8,IFERROR((INDEX(GERAL[SNAP],147)-$B$8)/($B$9-$B$8),0),0))</f>
        <v/>
      </c>
      <c r="U160" t="str">
        <f t="shared" si="60"/>
        <v/>
      </c>
      <c r="V160" t="str">
        <f>IFERROR(INDEX(GERAL[LADO],147),"")</f>
        <v/>
      </c>
      <c r="X160" t="str">
        <f>IFERROR(INDEX(GERAL[PONTO],127),"")</f>
        <v/>
      </c>
      <c r="Y160" t="str">
        <f>IF(X160="","",IFERROR(INDEX(GERAL[ACUMULADA],127),0))</f>
        <v/>
      </c>
      <c r="Z160" t="str">
        <f t="shared" si="51"/>
        <v/>
      </c>
      <c r="AA160" t="str">
        <f t="shared" si="52"/>
        <v/>
      </c>
      <c r="AB160" t="str">
        <f t="shared" si="53"/>
        <v/>
      </c>
      <c r="AC160" t="str">
        <f>IF(X160="","",IFERROR(INDEX(DIR_ATUAL[QT %],MATCH(X160,DIR_ATUAL[PONTO],0)),0))</f>
        <v/>
      </c>
      <c r="AD160" t="str">
        <f t="shared" si="54"/>
        <v/>
      </c>
      <c r="AE160" t="str">
        <f>IF(X160="","",IF($E$9&gt;$E$8,IFERROR((INDEX(GERAL[SNAP],127)-$E$8)/($E$9-$E$8),0),0))</f>
        <v/>
      </c>
      <c r="AF160" t="str">
        <f t="shared" si="55"/>
        <v/>
      </c>
      <c r="AG160" t="str">
        <f>IFERROR(INDEX(GERAL[LADO],127),"")</f>
        <v/>
      </c>
    </row>
    <row r="161" spans="13:33" x14ac:dyDescent="0.3">
      <c r="M161" t="str">
        <f>IFERROR(INDEX(GERAL[PONTO],148),"")</f>
        <v/>
      </c>
      <c r="N161" t="str">
        <f>IF(M161="","",IFERROR(INDEX(GERAL[ACUMULADA],148),0))</f>
        <v/>
      </c>
      <c r="O161" t="str">
        <f t="shared" si="56"/>
        <v/>
      </c>
      <c r="P161" t="str">
        <f t="shared" si="57"/>
        <v/>
      </c>
      <c r="Q161" t="str">
        <f t="shared" si="58"/>
        <v/>
      </c>
      <c r="R161" t="str">
        <f>IF(M161="","",IFERROR(INDEX(Tabela7[QT %],MATCH(M161,Tabela7[PONTO],0)),0))</f>
        <v/>
      </c>
      <c r="S161" t="str">
        <f t="shared" si="59"/>
        <v/>
      </c>
      <c r="T161" t="str">
        <f>IF(M161="","",IF($B$9&gt;$B$8,IFERROR((INDEX(GERAL[SNAP],148)-$B$8)/($B$9-$B$8),0),0))</f>
        <v/>
      </c>
      <c r="U161" t="str">
        <f t="shared" si="60"/>
        <v/>
      </c>
      <c r="V161" t="str">
        <f>IFERROR(INDEX(GERAL[LADO],148),"")</f>
        <v/>
      </c>
      <c r="X161" t="str">
        <f>IFERROR(INDEX(GERAL[PONTO],128),"")</f>
        <v/>
      </c>
      <c r="Y161" t="str">
        <f>IF(X161="","",IFERROR(INDEX(GERAL[ACUMULADA],128),0))</f>
        <v/>
      </c>
      <c r="Z161" t="str">
        <f t="shared" si="51"/>
        <v/>
      </c>
      <c r="AA161" t="str">
        <f t="shared" si="52"/>
        <v/>
      </c>
      <c r="AB161" t="str">
        <f t="shared" si="53"/>
        <v/>
      </c>
      <c r="AC161" t="str">
        <f>IF(X161="","",IFERROR(INDEX(DIR_ATUAL[QT %],MATCH(X161,DIR_ATUAL[PONTO],0)),0))</f>
        <v/>
      </c>
      <c r="AD161" t="str">
        <f t="shared" si="54"/>
        <v/>
      </c>
      <c r="AE161" t="str">
        <f>IF(X161="","",IF($E$9&gt;$E$8,IFERROR((INDEX(GERAL[SNAP],128)-$E$8)/($E$9-$E$8),0),0))</f>
        <v/>
      </c>
      <c r="AF161" t="str">
        <f t="shared" si="55"/>
        <v/>
      </c>
      <c r="AG161" t="str">
        <f>IFERROR(INDEX(GERAL[LADO],128),"")</f>
        <v/>
      </c>
    </row>
    <row r="162" spans="13:33" x14ac:dyDescent="0.3">
      <c r="M162" t="str">
        <f>IFERROR(INDEX(GERAL[PONTO],149),"")</f>
        <v/>
      </c>
      <c r="N162" t="str">
        <f>IF(M162="","",IFERROR(INDEX(GERAL[ACUMULADA],149),0))</f>
        <v/>
      </c>
      <c r="O162" t="str">
        <f t="shared" si="56"/>
        <v/>
      </c>
      <c r="P162" t="str">
        <f t="shared" si="57"/>
        <v/>
      </c>
      <c r="Q162" t="str">
        <f t="shared" si="58"/>
        <v/>
      </c>
      <c r="R162" t="str">
        <f>IF(M162="","",IFERROR(INDEX(Tabela7[QT %],MATCH(M162,Tabela7[PONTO],0)),0))</f>
        <v/>
      </c>
      <c r="S162" t="str">
        <f t="shared" si="59"/>
        <v/>
      </c>
      <c r="T162" t="str">
        <f>IF(M162="","",IF($B$9&gt;$B$8,IFERROR((INDEX(GERAL[SNAP],149)-$B$8)/($B$9-$B$8),0),0))</f>
        <v/>
      </c>
      <c r="U162" t="str">
        <f t="shared" si="60"/>
        <v/>
      </c>
      <c r="V162" t="str">
        <f>IFERROR(INDEX(GERAL[LADO],149),"")</f>
        <v/>
      </c>
      <c r="X162" t="str">
        <f>IFERROR(INDEX(GERAL[PONTO],129),"")</f>
        <v/>
      </c>
      <c r="Y162" t="str">
        <f>IF(X162="","",IFERROR(INDEX(GERAL[ACUMULADA],129),0))</f>
        <v/>
      </c>
      <c r="Z162" t="str">
        <f t="shared" ref="Z162:Z193" si="61">IF(Y162="","",$B$31-Y162)</f>
        <v/>
      </c>
      <c r="AA162" t="str">
        <f t="shared" ref="AA162:AA193" si="62">IF(Y162="","",IF(Y162*1.15&lt;=30,30,IF(Y162*1.15&lt;=45,45,IF(Y162*1.15&lt;=75,75,IF(Y162*1.15&lt;=112.5,112.5,IF(Y162*1.15&lt;=150,150,IF(Y162*1.15&lt;=225,225,300)))))))</f>
        <v/>
      </c>
      <c r="AB162" t="str">
        <f t="shared" ref="AB162:AB193" si="63">IF(AA162="","",IFERROR(Y162/AA162,0))</f>
        <v/>
      </c>
      <c r="AC162" t="str">
        <f>IF(X162="","",IFERROR(INDEX(DIR_ATUAL[QT %],MATCH(X162,DIR_ATUAL[PONTO],0)),0))</f>
        <v/>
      </c>
      <c r="AD162" t="str">
        <f t="shared" ref="AD162:AD193" si="64">IF(Y162="","",IFERROR(1-ABS(Y162-Z162)/$B$31,0))</f>
        <v/>
      </c>
      <c r="AE162" t="str">
        <f>IF(X162="","",IF($E$9&gt;$E$8,IFERROR((INDEX(GERAL[SNAP],129)-$E$8)/($E$9-$E$8),0),0))</f>
        <v/>
      </c>
      <c r="AF162" t="str">
        <f t="shared" ref="AF162:AF193" si="65">IF(OR(X162="",AG162&lt;&gt;"DIREITO"),"",$L$2*IFERROR(Y162/$B$31,0)+$L$3*IF($D$31&gt;0,IFERROR(AC162/$D$31,0),0)+$L$4*IFERROR(AD162,0)-$L$5*IFERROR(AE162,0)-$L$6*MAX(0,IFERROR(AB162,0)-$L$7)+ROW()/1000000)</f>
        <v/>
      </c>
      <c r="AG162" t="str">
        <f>IFERROR(INDEX(GERAL[LADO],129),"")</f>
        <v/>
      </c>
    </row>
    <row r="163" spans="13:33" x14ac:dyDescent="0.3">
      <c r="M163" t="str">
        <f>IFERROR(INDEX(GERAL[PONTO],150),"")</f>
        <v/>
      </c>
      <c r="N163" t="str">
        <f>IF(M163="","",IFERROR(INDEX(GERAL[ACUMULADA],150),0))</f>
        <v/>
      </c>
      <c r="O163" t="str">
        <f t="shared" si="56"/>
        <v/>
      </c>
      <c r="P163" t="str">
        <f t="shared" si="57"/>
        <v/>
      </c>
      <c r="Q163" t="str">
        <f t="shared" si="58"/>
        <v/>
      </c>
      <c r="R163" t="str">
        <f>IF(M163="","",IFERROR(INDEX(Tabela7[QT %],MATCH(M163,Tabela7[PONTO],0)),0))</f>
        <v/>
      </c>
      <c r="S163" t="str">
        <f t="shared" si="59"/>
        <v/>
      </c>
      <c r="T163" t="str">
        <f>IF(M163="","",IF($B$9&gt;$B$8,IFERROR((INDEX(GERAL[SNAP],150)-$B$8)/($B$9-$B$8),0),0))</f>
        <v/>
      </c>
      <c r="U163" t="str">
        <f t="shared" si="60"/>
        <v/>
      </c>
      <c r="V163" t="str">
        <f>IFERROR(INDEX(GERAL[LADO],150),"")</f>
        <v/>
      </c>
      <c r="X163" t="str">
        <f>IFERROR(INDEX(GERAL[PONTO],130),"")</f>
        <v/>
      </c>
      <c r="Y163" t="str">
        <f>IF(X163="","",IFERROR(INDEX(GERAL[ACUMULADA],130),0))</f>
        <v/>
      </c>
      <c r="Z163" t="str">
        <f t="shared" si="61"/>
        <v/>
      </c>
      <c r="AA163" t="str">
        <f t="shared" si="62"/>
        <v/>
      </c>
      <c r="AB163" t="str">
        <f t="shared" si="63"/>
        <v/>
      </c>
      <c r="AC163" t="str">
        <f>IF(X163="","",IFERROR(INDEX(DIR_ATUAL[QT %],MATCH(X163,DIR_ATUAL[PONTO],0)),0))</f>
        <v/>
      </c>
      <c r="AD163" t="str">
        <f t="shared" si="64"/>
        <v/>
      </c>
      <c r="AE163" t="str">
        <f>IF(X163="","",IF($E$9&gt;$E$8,IFERROR((INDEX(GERAL[SNAP],130)-$E$8)/($E$9-$E$8),0),0))</f>
        <v/>
      </c>
      <c r="AF163" t="str">
        <f t="shared" si="65"/>
        <v/>
      </c>
      <c r="AG163" t="str">
        <f>IFERROR(INDEX(GERAL[LADO],130),"")</f>
        <v/>
      </c>
    </row>
    <row r="164" spans="13:33" x14ac:dyDescent="0.3">
      <c r="M164" t="str">
        <f>IFERROR(INDEX(GERAL[PONTO],151),"")</f>
        <v/>
      </c>
      <c r="N164" t="str">
        <f>IF(M164="","",IFERROR(INDEX(GERAL[ACUMULADA],151),0))</f>
        <v/>
      </c>
      <c r="O164" t="str">
        <f t="shared" si="56"/>
        <v/>
      </c>
      <c r="P164" t="str">
        <f t="shared" si="57"/>
        <v/>
      </c>
      <c r="Q164" t="str">
        <f t="shared" si="58"/>
        <v/>
      </c>
      <c r="R164" t="str">
        <f>IF(M164="","",IFERROR(INDEX(Tabela7[QT %],MATCH(M164,Tabela7[PONTO],0)),0))</f>
        <v/>
      </c>
      <c r="S164" t="str">
        <f t="shared" si="59"/>
        <v/>
      </c>
      <c r="T164" t="str">
        <f>IF(M164="","",IF($B$9&gt;$B$8,IFERROR((INDEX(GERAL[SNAP],151)-$B$8)/($B$9-$B$8),0),0))</f>
        <v/>
      </c>
      <c r="U164" t="str">
        <f t="shared" si="60"/>
        <v/>
      </c>
      <c r="V164" t="str">
        <f>IFERROR(INDEX(GERAL[LADO],151),"")</f>
        <v/>
      </c>
      <c r="X164" t="str">
        <f>IFERROR(INDEX(GERAL[PONTO],131),"")</f>
        <v/>
      </c>
      <c r="Y164" t="str">
        <f>IF(X164="","",IFERROR(INDEX(GERAL[ACUMULADA],131),0))</f>
        <v/>
      </c>
      <c r="Z164" t="str">
        <f t="shared" si="61"/>
        <v/>
      </c>
      <c r="AA164" t="str">
        <f t="shared" si="62"/>
        <v/>
      </c>
      <c r="AB164" t="str">
        <f t="shared" si="63"/>
        <v/>
      </c>
      <c r="AC164" t="str">
        <f>IF(X164="","",IFERROR(INDEX(DIR_ATUAL[QT %],MATCH(X164,DIR_ATUAL[PONTO],0)),0))</f>
        <v/>
      </c>
      <c r="AD164" t="str">
        <f t="shared" si="64"/>
        <v/>
      </c>
      <c r="AE164" t="str">
        <f>IF(X164="","",IF($E$9&gt;$E$8,IFERROR((INDEX(GERAL[SNAP],131)-$E$8)/($E$9-$E$8),0),0))</f>
        <v/>
      </c>
      <c r="AF164" t="str">
        <f t="shared" si="65"/>
        <v/>
      </c>
      <c r="AG164" t="str">
        <f>IFERROR(INDEX(GERAL[LADO],131),"")</f>
        <v/>
      </c>
    </row>
    <row r="165" spans="13:33" x14ac:dyDescent="0.3">
      <c r="M165" t="str">
        <f>IFERROR(INDEX(GERAL[PONTO],152),"")</f>
        <v/>
      </c>
      <c r="N165" t="str">
        <f>IF(M165="","",IFERROR(INDEX(GERAL[ACUMULADA],152),0))</f>
        <v/>
      </c>
      <c r="O165" t="str">
        <f t="shared" si="56"/>
        <v/>
      </c>
      <c r="P165" t="str">
        <f t="shared" si="57"/>
        <v/>
      </c>
      <c r="Q165" t="str">
        <f t="shared" si="58"/>
        <v/>
      </c>
      <c r="R165" t="str">
        <f>IF(M165="","",IFERROR(INDEX(Tabela7[QT %],MATCH(M165,Tabela7[PONTO],0)),0))</f>
        <v/>
      </c>
      <c r="S165" t="str">
        <f t="shared" si="59"/>
        <v/>
      </c>
      <c r="T165" t="str">
        <f>IF(M165="","",IF($B$9&gt;$B$8,IFERROR((INDEX(GERAL[SNAP],152)-$B$8)/($B$9-$B$8),0),0))</f>
        <v/>
      </c>
      <c r="U165" t="str">
        <f t="shared" si="60"/>
        <v/>
      </c>
      <c r="V165" t="str">
        <f>IFERROR(INDEX(GERAL[LADO],152),"")</f>
        <v/>
      </c>
      <c r="X165" t="str">
        <f>IFERROR(INDEX(GERAL[PONTO],132),"")</f>
        <v/>
      </c>
      <c r="Y165" t="str">
        <f>IF(X165="","",IFERROR(INDEX(GERAL[ACUMULADA],132),0))</f>
        <v/>
      </c>
      <c r="Z165" t="str">
        <f t="shared" si="61"/>
        <v/>
      </c>
      <c r="AA165" t="str">
        <f t="shared" si="62"/>
        <v/>
      </c>
      <c r="AB165" t="str">
        <f t="shared" si="63"/>
        <v/>
      </c>
      <c r="AC165" t="str">
        <f>IF(X165="","",IFERROR(INDEX(DIR_ATUAL[QT %],MATCH(X165,DIR_ATUAL[PONTO],0)),0))</f>
        <v/>
      </c>
      <c r="AD165" t="str">
        <f t="shared" si="64"/>
        <v/>
      </c>
      <c r="AE165" t="str">
        <f>IF(X165="","",IF($E$9&gt;$E$8,IFERROR((INDEX(GERAL[SNAP],132)-$E$8)/($E$9-$E$8),0),0))</f>
        <v/>
      </c>
      <c r="AF165" t="str">
        <f t="shared" si="65"/>
        <v/>
      </c>
      <c r="AG165" t="str">
        <f>IFERROR(INDEX(GERAL[LADO],132),"")</f>
        <v/>
      </c>
    </row>
    <row r="166" spans="13:33" x14ac:dyDescent="0.3">
      <c r="M166" t="str">
        <f>IFERROR(INDEX(GERAL[PONTO],153),"")</f>
        <v/>
      </c>
      <c r="N166" t="str">
        <f>IF(M166="","",IFERROR(INDEX(GERAL[ACUMULADA],153),0))</f>
        <v/>
      </c>
      <c r="O166" t="str">
        <f t="shared" si="56"/>
        <v/>
      </c>
      <c r="P166" t="str">
        <f t="shared" si="57"/>
        <v/>
      </c>
      <c r="Q166" t="str">
        <f t="shared" si="58"/>
        <v/>
      </c>
      <c r="R166" t="str">
        <f>IF(M166="","",IFERROR(INDEX(Tabela7[QT %],MATCH(M166,Tabela7[PONTO],0)),0))</f>
        <v/>
      </c>
      <c r="S166" t="str">
        <f t="shared" si="59"/>
        <v/>
      </c>
      <c r="T166" t="str">
        <f>IF(M166="","",IF($B$9&gt;$B$8,IFERROR((INDEX(GERAL[SNAP],153)-$B$8)/($B$9-$B$8),0),0))</f>
        <v/>
      </c>
      <c r="U166" t="str">
        <f t="shared" si="60"/>
        <v/>
      </c>
      <c r="V166" t="str">
        <f>IFERROR(INDEX(GERAL[LADO],153),"")</f>
        <v/>
      </c>
      <c r="X166" t="str">
        <f>IFERROR(INDEX(GERAL[PONTO],133),"")</f>
        <v/>
      </c>
      <c r="Y166" t="str">
        <f>IF(X166="","",IFERROR(INDEX(GERAL[ACUMULADA],133),0))</f>
        <v/>
      </c>
      <c r="Z166" t="str">
        <f t="shared" si="61"/>
        <v/>
      </c>
      <c r="AA166" t="str">
        <f t="shared" si="62"/>
        <v/>
      </c>
      <c r="AB166" t="str">
        <f t="shared" si="63"/>
        <v/>
      </c>
      <c r="AC166" t="str">
        <f>IF(X166="","",IFERROR(INDEX(DIR_ATUAL[QT %],MATCH(X166,DIR_ATUAL[PONTO],0)),0))</f>
        <v/>
      </c>
      <c r="AD166" t="str">
        <f t="shared" si="64"/>
        <v/>
      </c>
      <c r="AE166" t="str">
        <f>IF(X166="","",IF($E$9&gt;$E$8,IFERROR((INDEX(GERAL[SNAP],133)-$E$8)/($E$9-$E$8),0),0))</f>
        <v/>
      </c>
      <c r="AF166" t="str">
        <f t="shared" si="65"/>
        <v/>
      </c>
      <c r="AG166" t="str">
        <f>IFERROR(INDEX(GERAL[LADO],133),"")</f>
        <v/>
      </c>
    </row>
    <row r="167" spans="13:33" x14ac:dyDescent="0.3">
      <c r="M167" t="str">
        <f>IFERROR(INDEX(GERAL[PONTO],154),"")</f>
        <v/>
      </c>
      <c r="N167" t="str">
        <f>IF(M167="","",IFERROR(INDEX(GERAL[ACUMULADA],154),0))</f>
        <v/>
      </c>
      <c r="O167" t="str">
        <f t="shared" si="56"/>
        <v/>
      </c>
      <c r="P167" t="str">
        <f t="shared" si="57"/>
        <v/>
      </c>
      <c r="Q167" t="str">
        <f t="shared" si="58"/>
        <v/>
      </c>
      <c r="R167" t="str">
        <f>IF(M167="","",IFERROR(INDEX(Tabela7[QT %],MATCH(M167,Tabela7[PONTO],0)),0))</f>
        <v/>
      </c>
      <c r="S167" t="str">
        <f t="shared" si="59"/>
        <v/>
      </c>
      <c r="T167" t="str">
        <f>IF(M167="","",IF($B$9&gt;$B$8,IFERROR((INDEX(GERAL[SNAP],154)-$B$8)/($B$9-$B$8),0),0))</f>
        <v/>
      </c>
      <c r="U167" t="str">
        <f t="shared" si="60"/>
        <v/>
      </c>
      <c r="V167" t="str">
        <f>IFERROR(INDEX(GERAL[LADO],154),"")</f>
        <v/>
      </c>
      <c r="X167" t="str">
        <f>IFERROR(INDEX(GERAL[PONTO],134),"")</f>
        <v/>
      </c>
      <c r="Y167" t="str">
        <f>IF(X167="","",IFERROR(INDEX(GERAL[ACUMULADA],134),0))</f>
        <v/>
      </c>
      <c r="Z167" t="str">
        <f t="shared" si="61"/>
        <v/>
      </c>
      <c r="AA167" t="str">
        <f t="shared" si="62"/>
        <v/>
      </c>
      <c r="AB167" t="str">
        <f t="shared" si="63"/>
        <v/>
      </c>
      <c r="AC167" t="str">
        <f>IF(X167="","",IFERROR(INDEX(DIR_ATUAL[QT %],MATCH(X167,DIR_ATUAL[PONTO],0)),0))</f>
        <v/>
      </c>
      <c r="AD167" t="str">
        <f t="shared" si="64"/>
        <v/>
      </c>
      <c r="AE167" t="str">
        <f>IF(X167="","",IF($E$9&gt;$E$8,IFERROR((INDEX(GERAL[SNAP],134)-$E$8)/($E$9-$E$8),0),0))</f>
        <v/>
      </c>
      <c r="AF167" t="str">
        <f t="shared" si="65"/>
        <v/>
      </c>
      <c r="AG167" t="str">
        <f>IFERROR(INDEX(GERAL[LADO],134),"")</f>
        <v/>
      </c>
    </row>
    <row r="168" spans="13:33" x14ac:dyDescent="0.3">
      <c r="M168" t="str">
        <f>IFERROR(INDEX(GERAL[PONTO],155),"")</f>
        <v/>
      </c>
      <c r="N168" t="str">
        <f>IF(M168="","",IFERROR(INDEX(GERAL[ACUMULADA],155),0))</f>
        <v/>
      </c>
      <c r="O168" t="str">
        <f t="shared" si="56"/>
        <v/>
      </c>
      <c r="P168" t="str">
        <f t="shared" si="57"/>
        <v/>
      </c>
      <c r="Q168" t="str">
        <f t="shared" si="58"/>
        <v/>
      </c>
      <c r="R168" t="str">
        <f>IF(M168="","",IFERROR(INDEX(Tabela7[QT %],MATCH(M168,Tabela7[PONTO],0)),0))</f>
        <v/>
      </c>
      <c r="S168" t="str">
        <f t="shared" si="59"/>
        <v/>
      </c>
      <c r="T168" t="str">
        <f>IF(M168="","",IF($B$9&gt;$B$8,IFERROR((INDEX(GERAL[SNAP],155)-$B$8)/($B$9-$B$8),0),0))</f>
        <v/>
      </c>
      <c r="U168" t="str">
        <f t="shared" si="60"/>
        <v/>
      </c>
      <c r="V168" t="str">
        <f>IFERROR(INDEX(GERAL[LADO],155),"")</f>
        <v/>
      </c>
      <c r="X168" t="str">
        <f>IFERROR(INDEX(GERAL[PONTO],135),"")</f>
        <v/>
      </c>
      <c r="Y168" t="str">
        <f>IF(X168="","",IFERROR(INDEX(GERAL[ACUMULADA],135),0))</f>
        <v/>
      </c>
      <c r="Z168" t="str">
        <f t="shared" si="61"/>
        <v/>
      </c>
      <c r="AA168" t="str">
        <f t="shared" si="62"/>
        <v/>
      </c>
      <c r="AB168" t="str">
        <f t="shared" si="63"/>
        <v/>
      </c>
      <c r="AC168" t="str">
        <f>IF(X168="","",IFERROR(INDEX(DIR_ATUAL[QT %],MATCH(X168,DIR_ATUAL[PONTO],0)),0))</f>
        <v/>
      </c>
      <c r="AD168" t="str">
        <f t="shared" si="64"/>
        <v/>
      </c>
      <c r="AE168" t="str">
        <f>IF(X168="","",IF($E$9&gt;$E$8,IFERROR((INDEX(GERAL[SNAP],135)-$E$8)/($E$9-$E$8),0),0))</f>
        <v/>
      </c>
      <c r="AF168" t="str">
        <f t="shared" si="65"/>
        <v/>
      </c>
      <c r="AG168" t="str">
        <f>IFERROR(INDEX(GERAL[LADO],135),"")</f>
        <v/>
      </c>
    </row>
    <row r="169" spans="13:33" x14ac:dyDescent="0.3">
      <c r="M169" t="str">
        <f>IFERROR(INDEX(GERAL[PONTO],156),"")</f>
        <v/>
      </c>
      <c r="N169" t="str">
        <f>IF(M169="","",IFERROR(INDEX(GERAL[ACUMULADA],156),0))</f>
        <v/>
      </c>
      <c r="O169" t="str">
        <f t="shared" si="56"/>
        <v/>
      </c>
      <c r="P169" t="str">
        <f t="shared" si="57"/>
        <v/>
      </c>
      <c r="Q169" t="str">
        <f t="shared" si="58"/>
        <v/>
      </c>
      <c r="R169" t="str">
        <f>IF(M169="","",IFERROR(INDEX(Tabela7[QT %],MATCH(M169,Tabela7[PONTO],0)),0))</f>
        <v/>
      </c>
      <c r="S169" t="str">
        <f t="shared" si="59"/>
        <v/>
      </c>
      <c r="T169" t="str">
        <f>IF(M169="","",IF($B$9&gt;$B$8,IFERROR((INDEX(GERAL[SNAP],156)-$B$8)/($B$9-$B$8),0),0))</f>
        <v/>
      </c>
      <c r="U169" t="str">
        <f t="shared" si="60"/>
        <v/>
      </c>
      <c r="V169" t="str">
        <f>IFERROR(INDEX(GERAL[LADO],156),"")</f>
        <v/>
      </c>
      <c r="X169" t="str">
        <f>IFERROR(INDEX(GERAL[PONTO],136),"")</f>
        <v/>
      </c>
      <c r="Y169" t="str">
        <f>IF(X169="","",IFERROR(INDEX(GERAL[ACUMULADA],136),0))</f>
        <v/>
      </c>
      <c r="Z169" t="str">
        <f t="shared" si="61"/>
        <v/>
      </c>
      <c r="AA169" t="str">
        <f t="shared" si="62"/>
        <v/>
      </c>
      <c r="AB169" t="str">
        <f t="shared" si="63"/>
        <v/>
      </c>
      <c r="AC169" t="str">
        <f>IF(X169="","",IFERROR(INDEX(DIR_ATUAL[QT %],MATCH(X169,DIR_ATUAL[PONTO],0)),0))</f>
        <v/>
      </c>
      <c r="AD169" t="str">
        <f t="shared" si="64"/>
        <v/>
      </c>
      <c r="AE169" t="str">
        <f>IF(X169="","",IF($E$9&gt;$E$8,IFERROR((INDEX(GERAL[SNAP],136)-$E$8)/($E$9-$E$8),0),0))</f>
        <v/>
      </c>
      <c r="AF169" t="str">
        <f t="shared" si="65"/>
        <v/>
      </c>
      <c r="AG169" t="str">
        <f>IFERROR(INDEX(GERAL[LADO],136),"")</f>
        <v/>
      </c>
    </row>
    <row r="170" spans="13:33" x14ac:dyDescent="0.3">
      <c r="M170" t="str">
        <f>IFERROR(INDEX(GERAL[PONTO],157),"")</f>
        <v/>
      </c>
      <c r="N170" t="str">
        <f>IF(M170="","",IFERROR(INDEX(GERAL[ACUMULADA],157),0))</f>
        <v/>
      </c>
      <c r="O170" t="str">
        <f t="shared" si="56"/>
        <v/>
      </c>
      <c r="P170" t="str">
        <f t="shared" si="57"/>
        <v/>
      </c>
      <c r="Q170" t="str">
        <f t="shared" si="58"/>
        <v/>
      </c>
      <c r="R170" t="str">
        <f>IF(M170="","",IFERROR(INDEX(Tabela7[QT %],MATCH(M170,Tabela7[PONTO],0)),0))</f>
        <v/>
      </c>
      <c r="S170" t="str">
        <f t="shared" si="59"/>
        <v/>
      </c>
      <c r="T170" t="str">
        <f>IF(M170="","",IF($B$9&gt;$B$8,IFERROR((INDEX(GERAL[SNAP],157)-$B$8)/($B$9-$B$8),0),0))</f>
        <v/>
      </c>
      <c r="U170" t="str">
        <f t="shared" si="60"/>
        <v/>
      </c>
      <c r="V170" t="str">
        <f>IFERROR(INDEX(GERAL[LADO],157),"")</f>
        <v/>
      </c>
      <c r="X170" t="str">
        <f>IFERROR(INDEX(GERAL[PONTO],137),"")</f>
        <v/>
      </c>
      <c r="Y170" t="str">
        <f>IF(X170="","",IFERROR(INDEX(GERAL[ACUMULADA],137),0))</f>
        <v/>
      </c>
      <c r="Z170" t="str">
        <f t="shared" si="61"/>
        <v/>
      </c>
      <c r="AA170" t="str">
        <f t="shared" si="62"/>
        <v/>
      </c>
      <c r="AB170" t="str">
        <f t="shared" si="63"/>
        <v/>
      </c>
      <c r="AC170" t="str">
        <f>IF(X170="","",IFERROR(INDEX(DIR_ATUAL[QT %],MATCH(X170,DIR_ATUAL[PONTO],0)),0))</f>
        <v/>
      </c>
      <c r="AD170" t="str">
        <f t="shared" si="64"/>
        <v/>
      </c>
      <c r="AE170" t="str">
        <f>IF(X170="","",IF($E$9&gt;$E$8,IFERROR((INDEX(GERAL[SNAP],137)-$E$8)/($E$9-$E$8),0),0))</f>
        <v/>
      </c>
      <c r="AF170" t="str">
        <f t="shared" si="65"/>
        <v/>
      </c>
      <c r="AG170" t="str">
        <f>IFERROR(INDEX(GERAL[LADO],137),"")</f>
        <v/>
      </c>
    </row>
    <row r="171" spans="13:33" x14ac:dyDescent="0.3">
      <c r="M171" t="str">
        <f>IFERROR(INDEX(GERAL[PONTO],158),"")</f>
        <v/>
      </c>
      <c r="N171" t="str">
        <f>IF(M171="","",IFERROR(INDEX(GERAL[ACUMULADA],158),0))</f>
        <v/>
      </c>
      <c r="O171" t="str">
        <f t="shared" si="56"/>
        <v/>
      </c>
      <c r="P171" t="str">
        <f t="shared" si="57"/>
        <v/>
      </c>
      <c r="Q171" t="str">
        <f t="shared" si="58"/>
        <v/>
      </c>
      <c r="R171" t="str">
        <f>IF(M171="","",IFERROR(INDEX(Tabela7[QT %],MATCH(M171,Tabela7[PONTO],0)),0))</f>
        <v/>
      </c>
      <c r="S171" t="str">
        <f t="shared" si="59"/>
        <v/>
      </c>
      <c r="T171" t="str">
        <f>IF(M171="","",IF($B$9&gt;$B$8,IFERROR((INDEX(GERAL[SNAP],158)-$B$8)/($B$9-$B$8),0),0))</f>
        <v/>
      </c>
      <c r="U171" t="str">
        <f t="shared" si="60"/>
        <v/>
      </c>
      <c r="V171" t="str">
        <f>IFERROR(INDEX(GERAL[LADO],158),"")</f>
        <v/>
      </c>
      <c r="X171" t="str">
        <f>IFERROR(INDEX(GERAL[PONTO],138),"")</f>
        <v/>
      </c>
      <c r="Y171" t="str">
        <f>IF(X171="","",IFERROR(INDEX(GERAL[ACUMULADA],138),0))</f>
        <v/>
      </c>
      <c r="Z171" t="str">
        <f t="shared" si="61"/>
        <v/>
      </c>
      <c r="AA171" t="str">
        <f t="shared" si="62"/>
        <v/>
      </c>
      <c r="AB171" t="str">
        <f t="shared" si="63"/>
        <v/>
      </c>
      <c r="AC171" t="str">
        <f>IF(X171="","",IFERROR(INDEX(DIR_ATUAL[QT %],MATCH(X171,DIR_ATUAL[PONTO],0)),0))</f>
        <v/>
      </c>
      <c r="AD171" t="str">
        <f t="shared" si="64"/>
        <v/>
      </c>
      <c r="AE171" t="str">
        <f>IF(X171="","",IF($E$9&gt;$E$8,IFERROR((INDEX(GERAL[SNAP],138)-$E$8)/($E$9-$E$8),0),0))</f>
        <v/>
      </c>
      <c r="AF171" t="str">
        <f t="shared" si="65"/>
        <v/>
      </c>
      <c r="AG171" t="str">
        <f>IFERROR(INDEX(GERAL[LADO],138),"")</f>
        <v/>
      </c>
    </row>
    <row r="172" spans="13:33" x14ac:dyDescent="0.3">
      <c r="M172" t="str">
        <f>IFERROR(INDEX(GERAL[PONTO],159),"")</f>
        <v/>
      </c>
      <c r="N172" t="str">
        <f>IF(M172="","",IFERROR(INDEX(GERAL[ACUMULADA],159),0))</f>
        <v/>
      </c>
      <c r="O172" t="str">
        <f t="shared" si="56"/>
        <v/>
      </c>
      <c r="P172" t="str">
        <f t="shared" si="57"/>
        <v/>
      </c>
      <c r="Q172" t="str">
        <f t="shared" si="58"/>
        <v/>
      </c>
      <c r="R172" t="str">
        <f>IF(M172="","",IFERROR(INDEX(Tabela7[QT %],MATCH(M172,Tabela7[PONTO],0)),0))</f>
        <v/>
      </c>
      <c r="S172" t="str">
        <f t="shared" si="59"/>
        <v/>
      </c>
      <c r="T172" t="str">
        <f>IF(M172="","",IF($B$9&gt;$B$8,IFERROR((INDEX(GERAL[SNAP],159)-$B$8)/($B$9-$B$8),0),0))</f>
        <v/>
      </c>
      <c r="U172" t="str">
        <f t="shared" si="60"/>
        <v/>
      </c>
      <c r="V172" t="str">
        <f>IFERROR(INDEX(GERAL[LADO],159),"")</f>
        <v/>
      </c>
      <c r="X172" t="str">
        <f>IFERROR(INDEX(GERAL[PONTO],139),"")</f>
        <v/>
      </c>
      <c r="Y172" t="str">
        <f>IF(X172="","",IFERROR(INDEX(GERAL[ACUMULADA],139),0))</f>
        <v/>
      </c>
      <c r="Z172" t="str">
        <f t="shared" si="61"/>
        <v/>
      </c>
      <c r="AA172" t="str">
        <f t="shared" si="62"/>
        <v/>
      </c>
      <c r="AB172" t="str">
        <f t="shared" si="63"/>
        <v/>
      </c>
      <c r="AC172" t="str">
        <f>IF(X172="","",IFERROR(INDEX(DIR_ATUAL[QT %],MATCH(X172,DIR_ATUAL[PONTO],0)),0))</f>
        <v/>
      </c>
      <c r="AD172" t="str">
        <f t="shared" si="64"/>
        <v/>
      </c>
      <c r="AE172" t="str">
        <f>IF(X172="","",IF($E$9&gt;$E$8,IFERROR((INDEX(GERAL[SNAP],139)-$E$8)/($E$9-$E$8),0),0))</f>
        <v/>
      </c>
      <c r="AF172" t="str">
        <f t="shared" si="65"/>
        <v/>
      </c>
      <c r="AG172" t="str">
        <f>IFERROR(INDEX(GERAL[LADO],139),"")</f>
        <v/>
      </c>
    </row>
    <row r="173" spans="13:33" x14ac:dyDescent="0.3">
      <c r="M173" t="str">
        <f>IFERROR(INDEX(GERAL[PONTO],160),"")</f>
        <v/>
      </c>
      <c r="N173" t="str">
        <f>IF(M173="","",IFERROR(INDEX(GERAL[ACUMULADA],160),0))</f>
        <v/>
      </c>
      <c r="O173" t="str">
        <f t="shared" si="56"/>
        <v/>
      </c>
      <c r="P173" t="str">
        <f t="shared" si="57"/>
        <v/>
      </c>
      <c r="Q173" t="str">
        <f t="shared" si="58"/>
        <v/>
      </c>
      <c r="R173" t="str">
        <f>IF(M173="","",IFERROR(INDEX(Tabela7[QT %],MATCH(M173,Tabela7[PONTO],0)),0))</f>
        <v/>
      </c>
      <c r="S173" t="str">
        <f t="shared" si="59"/>
        <v/>
      </c>
      <c r="T173" t="str">
        <f>IF(M173="","",IF($B$9&gt;$B$8,IFERROR((INDEX(GERAL[SNAP],160)-$B$8)/($B$9-$B$8),0),0))</f>
        <v/>
      </c>
      <c r="U173" t="str">
        <f t="shared" si="60"/>
        <v/>
      </c>
      <c r="V173" t="str">
        <f>IFERROR(INDEX(GERAL[LADO],160),"")</f>
        <v/>
      </c>
      <c r="X173" t="str">
        <f>IFERROR(INDEX(GERAL[PONTO],140),"")</f>
        <v/>
      </c>
      <c r="Y173" t="str">
        <f>IF(X173="","",IFERROR(INDEX(GERAL[ACUMULADA],140),0))</f>
        <v/>
      </c>
      <c r="Z173" t="str">
        <f t="shared" si="61"/>
        <v/>
      </c>
      <c r="AA173" t="str">
        <f t="shared" si="62"/>
        <v/>
      </c>
      <c r="AB173" t="str">
        <f t="shared" si="63"/>
        <v/>
      </c>
      <c r="AC173" t="str">
        <f>IF(X173="","",IFERROR(INDEX(DIR_ATUAL[QT %],MATCH(X173,DIR_ATUAL[PONTO],0)),0))</f>
        <v/>
      </c>
      <c r="AD173" t="str">
        <f t="shared" si="64"/>
        <v/>
      </c>
      <c r="AE173" t="str">
        <f>IF(X173="","",IF($E$9&gt;$E$8,IFERROR((INDEX(GERAL[SNAP],140)-$E$8)/($E$9-$E$8),0),0))</f>
        <v/>
      </c>
      <c r="AF173" t="str">
        <f t="shared" si="65"/>
        <v/>
      </c>
      <c r="AG173" t="str">
        <f>IFERROR(INDEX(GERAL[LADO],140),"")</f>
        <v/>
      </c>
    </row>
    <row r="174" spans="13:33" x14ac:dyDescent="0.3">
      <c r="M174" t="str">
        <f>IFERROR(INDEX(GERAL[PONTO],161),"")</f>
        <v/>
      </c>
      <c r="N174" t="str">
        <f>IF(M174="","",IFERROR(INDEX(GERAL[ACUMULADA],161),0))</f>
        <v/>
      </c>
      <c r="O174" t="str">
        <f t="shared" ref="O174:O200" si="66">IF(N174="","",$B$11-N174)</f>
        <v/>
      </c>
      <c r="P174" t="str">
        <f t="shared" ref="P174:P200" si="67">IF(N174="","",IF(N174*1.15&lt;=30,30,IF(N174*1.15&lt;=45,45,IF(N174*1.15&lt;=75,75,IF(N174*1.15&lt;=112.5,112.5,IF(N174*1.15&lt;=150,150,IF(N174*1.15&lt;=225,225,300)))))))</f>
        <v/>
      </c>
      <c r="Q174" t="str">
        <f t="shared" ref="Q174:Q200" si="68">IF(P174="","",IFERROR(N174/P174,0))</f>
        <v/>
      </c>
      <c r="R174" t="str">
        <f>IF(M174="","",IFERROR(INDEX(Tabela7[QT %],MATCH(M174,Tabela7[PONTO],0)),0))</f>
        <v/>
      </c>
      <c r="S174" t="str">
        <f t="shared" ref="S174:S200" si="69">IF(N174="","",IFERROR(1-ABS(N174-O174)/$B$11,0))</f>
        <v/>
      </c>
      <c r="T174" t="str">
        <f>IF(M174="","",IF($B$9&gt;$B$8,IFERROR((INDEX(GERAL[SNAP],161)-$B$8)/($B$9-$B$8),0),0))</f>
        <v/>
      </c>
      <c r="U174" t="str">
        <f t="shared" ref="U174:U200" si="70">IF(OR(M174="",V174&lt;&gt;"ESQUERDO"),"",$L$2*IFERROR(N174/$B$11,0)+$L$3*IF($D$11&gt;0,IFERROR(R174/$D$11,0),0)+$L$4*IFERROR(S174,0)-$L$5*IFERROR(T174,0)-$L$6*MAX(0,IFERROR(Q174,0)-$L$7)+ROW()/1000000)</f>
        <v/>
      </c>
      <c r="V174" t="str">
        <f>IFERROR(INDEX(GERAL[LADO],161),"")</f>
        <v/>
      </c>
      <c r="X174" t="str">
        <f>IFERROR(INDEX(GERAL[PONTO],141),"")</f>
        <v/>
      </c>
      <c r="Y174" t="str">
        <f>IF(X174="","",IFERROR(INDEX(GERAL[ACUMULADA],141),0))</f>
        <v/>
      </c>
      <c r="Z174" t="str">
        <f t="shared" si="61"/>
        <v/>
      </c>
      <c r="AA174" t="str">
        <f t="shared" si="62"/>
        <v/>
      </c>
      <c r="AB174" t="str">
        <f t="shared" si="63"/>
        <v/>
      </c>
      <c r="AC174" t="str">
        <f>IF(X174="","",IFERROR(INDEX(DIR_ATUAL[QT %],MATCH(X174,DIR_ATUAL[PONTO],0)),0))</f>
        <v/>
      </c>
      <c r="AD174" t="str">
        <f t="shared" si="64"/>
        <v/>
      </c>
      <c r="AE174" t="str">
        <f>IF(X174="","",IF($E$9&gt;$E$8,IFERROR((INDEX(GERAL[SNAP],141)-$E$8)/($E$9-$E$8),0),0))</f>
        <v/>
      </c>
      <c r="AF174" t="str">
        <f t="shared" si="65"/>
        <v/>
      </c>
      <c r="AG174" t="str">
        <f>IFERROR(INDEX(GERAL[LADO],141),"")</f>
        <v/>
      </c>
    </row>
    <row r="175" spans="13:33" x14ac:dyDescent="0.3">
      <c r="M175" t="str">
        <f>IFERROR(INDEX(GERAL[PONTO],162),"")</f>
        <v/>
      </c>
      <c r="N175" t="str">
        <f>IF(M175="","",IFERROR(INDEX(GERAL[ACUMULADA],162),0))</f>
        <v/>
      </c>
      <c r="O175" t="str">
        <f t="shared" si="66"/>
        <v/>
      </c>
      <c r="P175" t="str">
        <f t="shared" si="67"/>
        <v/>
      </c>
      <c r="Q175" t="str">
        <f t="shared" si="68"/>
        <v/>
      </c>
      <c r="R175" t="str">
        <f>IF(M175="","",IFERROR(INDEX(Tabela7[QT %],MATCH(M175,Tabela7[PONTO],0)),0))</f>
        <v/>
      </c>
      <c r="S175" t="str">
        <f t="shared" si="69"/>
        <v/>
      </c>
      <c r="T175" t="str">
        <f>IF(M175="","",IF($B$9&gt;$B$8,IFERROR((INDEX(GERAL[SNAP],162)-$B$8)/($B$9-$B$8),0),0))</f>
        <v/>
      </c>
      <c r="U175" t="str">
        <f t="shared" si="70"/>
        <v/>
      </c>
      <c r="V175" t="str">
        <f>IFERROR(INDEX(GERAL[LADO],162),"")</f>
        <v/>
      </c>
      <c r="X175" t="str">
        <f>IFERROR(INDEX(GERAL[PONTO],142),"")</f>
        <v/>
      </c>
      <c r="Y175" t="str">
        <f>IF(X175="","",IFERROR(INDEX(GERAL[ACUMULADA],142),0))</f>
        <v/>
      </c>
      <c r="Z175" t="str">
        <f t="shared" si="61"/>
        <v/>
      </c>
      <c r="AA175" t="str">
        <f t="shared" si="62"/>
        <v/>
      </c>
      <c r="AB175" t="str">
        <f t="shared" si="63"/>
        <v/>
      </c>
      <c r="AC175" t="str">
        <f>IF(X175="","",IFERROR(INDEX(DIR_ATUAL[QT %],MATCH(X175,DIR_ATUAL[PONTO],0)),0))</f>
        <v/>
      </c>
      <c r="AD175" t="str">
        <f t="shared" si="64"/>
        <v/>
      </c>
      <c r="AE175" t="str">
        <f>IF(X175="","",IF($E$9&gt;$E$8,IFERROR((INDEX(GERAL[SNAP],142)-$E$8)/($E$9-$E$8),0),0))</f>
        <v/>
      </c>
      <c r="AF175" t="str">
        <f t="shared" si="65"/>
        <v/>
      </c>
      <c r="AG175" t="str">
        <f>IFERROR(INDEX(GERAL[LADO],142),"")</f>
        <v/>
      </c>
    </row>
    <row r="176" spans="13:33" x14ac:dyDescent="0.3">
      <c r="M176" t="str">
        <f>IFERROR(INDEX(GERAL[PONTO],163),"")</f>
        <v/>
      </c>
      <c r="N176" t="str">
        <f>IF(M176="","",IFERROR(INDEX(GERAL[ACUMULADA],163),0))</f>
        <v/>
      </c>
      <c r="O176" t="str">
        <f t="shared" si="66"/>
        <v/>
      </c>
      <c r="P176" t="str">
        <f t="shared" si="67"/>
        <v/>
      </c>
      <c r="Q176" t="str">
        <f t="shared" si="68"/>
        <v/>
      </c>
      <c r="R176" t="str">
        <f>IF(M176="","",IFERROR(INDEX(Tabela7[QT %],MATCH(M176,Tabela7[PONTO],0)),0))</f>
        <v/>
      </c>
      <c r="S176" t="str">
        <f t="shared" si="69"/>
        <v/>
      </c>
      <c r="T176" t="str">
        <f>IF(M176="","",IF($B$9&gt;$B$8,IFERROR((INDEX(GERAL[SNAP],163)-$B$8)/($B$9-$B$8),0),0))</f>
        <v/>
      </c>
      <c r="U176" t="str">
        <f t="shared" si="70"/>
        <v/>
      </c>
      <c r="V176" t="str">
        <f>IFERROR(INDEX(GERAL[LADO],163),"")</f>
        <v/>
      </c>
      <c r="X176" t="str">
        <f>IFERROR(INDEX(GERAL[PONTO],143),"")</f>
        <v/>
      </c>
      <c r="Y176" t="str">
        <f>IF(X176="","",IFERROR(INDEX(GERAL[ACUMULADA],143),0))</f>
        <v/>
      </c>
      <c r="Z176" t="str">
        <f t="shared" si="61"/>
        <v/>
      </c>
      <c r="AA176" t="str">
        <f t="shared" si="62"/>
        <v/>
      </c>
      <c r="AB176" t="str">
        <f t="shared" si="63"/>
        <v/>
      </c>
      <c r="AC176" t="str">
        <f>IF(X176="","",IFERROR(INDEX(DIR_ATUAL[QT %],MATCH(X176,DIR_ATUAL[PONTO],0)),0))</f>
        <v/>
      </c>
      <c r="AD176" t="str">
        <f t="shared" si="64"/>
        <v/>
      </c>
      <c r="AE176" t="str">
        <f>IF(X176="","",IF($E$9&gt;$E$8,IFERROR((INDEX(GERAL[SNAP],143)-$E$8)/($E$9-$E$8),0),0))</f>
        <v/>
      </c>
      <c r="AF176" t="str">
        <f t="shared" si="65"/>
        <v/>
      </c>
      <c r="AG176" t="str">
        <f>IFERROR(INDEX(GERAL[LADO],143),"")</f>
        <v/>
      </c>
    </row>
    <row r="177" spans="13:33" x14ac:dyDescent="0.3">
      <c r="M177" t="str">
        <f>IFERROR(INDEX(GERAL[PONTO],164),"")</f>
        <v/>
      </c>
      <c r="N177" t="str">
        <f>IF(M177="","",IFERROR(INDEX(GERAL[ACUMULADA],164),0))</f>
        <v/>
      </c>
      <c r="O177" t="str">
        <f t="shared" si="66"/>
        <v/>
      </c>
      <c r="P177" t="str">
        <f t="shared" si="67"/>
        <v/>
      </c>
      <c r="Q177" t="str">
        <f t="shared" si="68"/>
        <v/>
      </c>
      <c r="R177" t="str">
        <f>IF(M177="","",IFERROR(INDEX(Tabela7[QT %],MATCH(M177,Tabela7[PONTO],0)),0))</f>
        <v/>
      </c>
      <c r="S177" t="str">
        <f t="shared" si="69"/>
        <v/>
      </c>
      <c r="T177" t="str">
        <f>IF(M177="","",IF($B$9&gt;$B$8,IFERROR((INDEX(GERAL[SNAP],164)-$B$8)/($B$9-$B$8),0),0))</f>
        <v/>
      </c>
      <c r="U177" t="str">
        <f t="shared" si="70"/>
        <v/>
      </c>
      <c r="V177" t="str">
        <f>IFERROR(INDEX(GERAL[LADO],164),"")</f>
        <v/>
      </c>
      <c r="X177" t="str">
        <f>IFERROR(INDEX(GERAL[PONTO],144),"")</f>
        <v/>
      </c>
      <c r="Y177" t="str">
        <f>IF(X177="","",IFERROR(INDEX(GERAL[ACUMULADA],144),0))</f>
        <v/>
      </c>
      <c r="Z177" t="str">
        <f t="shared" si="61"/>
        <v/>
      </c>
      <c r="AA177" t="str">
        <f t="shared" si="62"/>
        <v/>
      </c>
      <c r="AB177" t="str">
        <f t="shared" si="63"/>
        <v/>
      </c>
      <c r="AC177" t="str">
        <f>IF(X177="","",IFERROR(INDEX(DIR_ATUAL[QT %],MATCH(X177,DIR_ATUAL[PONTO],0)),0))</f>
        <v/>
      </c>
      <c r="AD177" t="str">
        <f t="shared" si="64"/>
        <v/>
      </c>
      <c r="AE177" t="str">
        <f>IF(X177="","",IF($E$9&gt;$E$8,IFERROR((INDEX(GERAL[SNAP],144)-$E$8)/($E$9-$E$8),0),0))</f>
        <v/>
      </c>
      <c r="AF177" t="str">
        <f t="shared" si="65"/>
        <v/>
      </c>
      <c r="AG177" t="str">
        <f>IFERROR(INDEX(GERAL[LADO],144),"")</f>
        <v/>
      </c>
    </row>
    <row r="178" spans="13:33" x14ac:dyDescent="0.3">
      <c r="M178" t="str">
        <f>IFERROR(INDEX(GERAL[PONTO],165),"")</f>
        <v/>
      </c>
      <c r="N178" t="str">
        <f>IF(M178="","",IFERROR(INDEX(GERAL[ACUMULADA],165),0))</f>
        <v/>
      </c>
      <c r="O178" t="str">
        <f t="shared" si="66"/>
        <v/>
      </c>
      <c r="P178" t="str">
        <f t="shared" si="67"/>
        <v/>
      </c>
      <c r="Q178" t="str">
        <f t="shared" si="68"/>
        <v/>
      </c>
      <c r="R178" t="str">
        <f>IF(M178="","",IFERROR(INDEX(Tabela7[QT %],MATCH(M178,Tabela7[PONTO],0)),0))</f>
        <v/>
      </c>
      <c r="S178" t="str">
        <f t="shared" si="69"/>
        <v/>
      </c>
      <c r="T178" t="str">
        <f>IF(M178="","",IF($B$9&gt;$B$8,IFERROR((INDEX(GERAL[SNAP],165)-$B$8)/($B$9-$B$8),0),0))</f>
        <v/>
      </c>
      <c r="U178" t="str">
        <f t="shared" si="70"/>
        <v/>
      </c>
      <c r="V178" t="str">
        <f>IFERROR(INDEX(GERAL[LADO],165),"")</f>
        <v/>
      </c>
      <c r="X178" t="str">
        <f>IFERROR(INDEX(GERAL[PONTO],145),"")</f>
        <v/>
      </c>
      <c r="Y178" t="str">
        <f>IF(X178="","",IFERROR(INDEX(GERAL[ACUMULADA],145),0))</f>
        <v/>
      </c>
      <c r="Z178" t="str">
        <f t="shared" si="61"/>
        <v/>
      </c>
      <c r="AA178" t="str">
        <f t="shared" si="62"/>
        <v/>
      </c>
      <c r="AB178" t="str">
        <f t="shared" si="63"/>
        <v/>
      </c>
      <c r="AC178" t="str">
        <f>IF(X178="","",IFERROR(INDEX(DIR_ATUAL[QT %],MATCH(X178,DIR_ATUAL[PONTO],0)),0))</f>
        <v/>
      </c>
      <c r="AD178" t="str">
        <f t="shared" si="64"/>
        <v/>
      </c>
      <c r="AE178" t="str">
        <f>IF(X178="","",IF($E$9&gt;$E$8,IFERROR((INDEX(GERAL[SNAP],145)-$E$8)/($E$9-$E$8),0),0))</f>
        <v/>
      </c>
      <c r="AF178" t="str">
        <f t="shared" si="65"/>
        <v/>
      </c>
      <c r="AG178" t="str">
        <f>IFERROR(INDEX(GERAL[LADO],145),"")</f>
        <v/>
      </c>
    </row>
    <row r="179" spans="13:33" x14ac:dyDescent="0.3">
      <c r="M179" t="str">
        <f>IFERROR(INDEX(GERAL[PONTO],166),"")</f>
        <v/>
      </c>
      <c r="N179" t="str">
        <f>IF(M179="","",IFERROR(INDEX(GERAL[ACUMULADA],166),0))</f>
        <v/>
      </c>
      <c r="O179" t="str">
        <f t="shared" si="66"/>
        <v/>
      </c>
      <c r="P179" t="str">
        <f t="shared" si="67"/>
        <v/>
      </c>
      <c r="Q179" t="str">
        <f t="shared" si="68"/>
        <v/>
      </c>
      <c r="R179" t="str">
        <f>IF(M179="","",IFERROR(INDEX(Tabela7[QT %],MATCH(M179,Tabela7[PONTO],0)),0))</f>
        <v/>
      </c>
      <c r="S179" t="str">
        <f t="shared" si="69"/>
        <v/>
      </c>
      <c r="T179" t="str">
        <f>IF(M179="","",IF($B$9&gt;$B$8,IFERROR((INDEX(GERAL[SNAP],166)-$B$8)/($B$9-$B$8),0),0))</f>
        <v/>
      </c>
      <c r="U179" t="str">
        <f t="shared" si="70"/>
        <v/>
      </c>
      <c r="V179" t="str">
        <f>IFERROR(INDEX(GERAL[LADO],166),"")</f>
        <v/>
      </c>
      <c r="X179" t="str">
        <f>IFERROR(INDEX(GERAL[PONTO],146),"")</f>
        <v/>
      </c>
      <c r="Y179" t="str">
        <f>IF(X179="","",IFERROR(INDEX(GERAL[ACUMULADA],146),0))</f>
        <v/>
      </c>
      <c r="Z179" t="str">
        <f t="shared" si="61"/>
        <v/>
      </c>
      <c r="AA179" t="str">
        <f t="shared" si="62"/>
        <v/>
      </c>
      <c r="AB179" t="str">
        <f t="shared" si="63"/>
        <v/>
      </c>
      <c r="AC179" t="str">
        <f>IF(X179="","",IFERROR(INDEX(DIR_ATUAL[QT %],MATCH(X179,DIR_ATUAL[PONTO],0)),0))</f>
        <v/>
      </c>
      <c r="AD179" t="str">
        <f t="shared" si="64"/>
        <v/>
      </c>
      <c r="AE179" t="str">
        <f>IF(X179="","",IF($E$9&gt;$E$8,IFERROR((INDEX(GERAL[SNAP],146)-$E$8)/($E$9-$E$8),0),0))</f>
        <v/>
      </c>
      <c r="AF179" t="str">
        <f t="shared" si="65"/>
        <v/>
      </c>
      <c r="AG179" t="str">
        <f>IFERROR(INDEX(GERAL[LADO],146),"")</f>
        <v/>
      </c>
    </row>
    <row r="180" spans="13:33" x14ac:dyDescent="0.3">
      <c r="M180" t="str">
        <f>IFERROR(INDEX(GERAL[PONTO],167),"")</f>
        <v/>
      </c>
      <c r="N180" t="str">
        <f>IF(M180="","",IFERROR(INDEX(GERAL[ACUMULADA],167),0))</f>
        <v/>
      </c>
      <c r="O180" t="str">
        <f t="shared" si="66"/>
        <v/>
      </c>
      <c r="P180" t="str">
        <f t="shared" si="67"/>
        <v/>
      </c>
      <c r="Q180" t="str">
        <f t="shared" si="68"/>
        <v/>
      </c>
      <c r="R180" t="str">
        <f>IF(M180="","",IFERROR(INDEX(Tabela7[QT %],MATCH(M180,Tabela7[PONTO],0)),0))</f>
        <v/>
      </c>
      <c r="S180" t="str">
        <f t="shared" si="69"/>
        <v/>
      </c>
      <c r="T180" t="str">
        <f>IF(M180="","",IF($B$9&gt;$B$8,IFERROR((INDEX(GERAL[SNAP],167)-$B$8)/($B$9-$B$8),0),0))</f>
        <v/>
      </c>
      <c r="U180" t="str">
        <f t="shared" si="70"/>
        <v/>
      </c>
      <c r="V180" t="str">
        <f>IFERROR(INDEX(GERAL[LADO],167),"")</f>
        <v/>
      </c>
      <c r="X180" t="str">
        <f>IFERROR(INDEX(GERAL[PONTO],147),"")</f>
        <v/>
      </c>
      <c r="Y180" t="str">
        <f>IF(X180="","",IFERROR(INDEX(GERAL[ACUMULADA],147),0))</f>
        <v/>
      </c>
      <c r="Z180" t="str">
        <f t="shared" si="61"/>
        <v/>
      </c>
      <c r="AA180" t="str">
        <f t="shared" si="62"/>
        <v/>
      </c>
      <c r="AB180" t="str">
        <f t="shared" si="63"/>
        <v/>
      </c>
      <c r="AC180" t="str">
        <f>IF(X180="","",IFERROR(INDEX(DIR_ATUAL[QT %],MATCH(X180,DIR_ATUAL[PONTO],0)),0))</f>
        <v/>
      </c>
      <c r="AD180" t="str">
        <f t="shared" si="64"/>
        <v/>
      </c>
      <c r="AE180" t="str">
        <f>IF(X180="","",IF($E$9&gt;$E$8,IFERROR((INDEX(GERAL[SNAP],147)-$E$8)/($E$9-$E$8),0),0))</f>
        <v/>
      </c>
      <c r="AF180" t="str">
        <f t="shared" si="65"/>
        <v/>
      </c>
      <c r="AG180" t="str">
        <f>IFERROR(INDEX(GERAL[LADO],147),"")</f>
        <v/>
      </c>
    </row>
    <row r="181" spans="13:33" x14ac:dyDescent="0.3">
      <c r="M181" t="str">
        <f>IFERROR(INDEX(GERAL[PONTO],168),"")</f>
        <v/>
      </c>
      <c r="N181" t="str">
        <f>IF(M181="","",IFERROR(INDEX(GERAL[ACUMULADA],168),0))</f>
        <v/>
      </c>
      <c r="O181" t="str">
        <f t="shared" si="66"/>
        <v/>
      </c>
      <c r="P181" t="str">
        <f t="shared" si="67"/>
        <v/>
      </c>
      <c r="Q181" t="str">
        <f t="shared" si="68"/>
        <v/>
      </c>
      <c r="R181" t="str">
        <f>IF(M181="","",IFERROR(INDEX(Tabela7[QT %],MATCH(M181,Tabela7[PONTO],0)),0))</f>
        <v/>
      </c>
      <c r="S181" t="str">
        <f t="shared" si="69"/>
        <v/>
      </c>
      <c r="T181" t="str">
        <f>IF(M181="","",IF($B$9&gt;$B$8,IFERROR((INDEX(GERAL[SNAP],168)-$B$8)/($B$9-$B$8),0),0))</f>
        <v/>
      </c>
      <c r="U181" t="str">
        <f t="shared" si="70"/>
        <v/>
      </c>
      <c r="V181" t="str">
        <f>IFERROR(INDEX(GERAL[LADO],168),"")</f>
        <v/>
      </c>
      <c r="X181" t="str">
        <f>IFERROR(INDEX(GERAL[PONTO],148),"")</f>
        <v/>
      </c>
      <c r="Y181" t="str">
        <f>IF(X181="","",IFERROR(INDEX(GERAL[ACUMULADA],148),0))</f>
        <v/>
      </c>
      <c r="Z181" t="str">
        <f t="shared" si="61"/>
        <v/>
      </c>
      <c r="AA181" t="str">
        <f t="shared" si="62"/>
        <v/>
      </c>
      <c r="AB181" t="str">
        <f t="shared" si="63"/>
        <v/>
      </c>
      <c r="AC181" t="str">
        <f>IF(X181="","",IFERROR(INDEX(DIR_ATUAL[QT %],MATCH(X181,DIR_ATUAL[PONTO],0)),0))</f>
        <v/>
      </c>
      <c r="AD181" t="str">
        <f t="shared" si="64"/>
        <v/>
      </c>
      <c r="AE181" t="str">
        <f>IF(X181="","",IF($E$9&gt;$E$8,IFERROR((INDEX(GERAL[SNAP],148)-$E$8)/($E$9-$E$8),0),0))</f>
        <v/>
      </c>
      <c r="AF181" t="str">
        <f t="shared" si="65"/>
        <v/>
      </c>
      <c r="AG181" t="str">
        <f>IFERROR(INDEX(GERAL[LADO],148),"")</f>
        <v/>
      </c>
    </row>
    <row r="182" spans="13:33" x14ac:dyDescent="0.3">
      <c r="M182" t="str">
        <f>IFERROR(INDEX(GERAL[PONTO],169),"")</f>
        <v/>
      </c>
      <c r="N182" t="str">
        <f>IF(M182="","",IFERROR(INDEX(GERAL[ACUMULADA],169),0))</f>
        <v/>
      </c>
      <c r="O182" t="str">
        <f t="shared" si="66"/>
        <v/>
      </c>
      <c r="P182" t="str">
        <f t="shared" si="67"/>
        <v/>
      </c>
      <c r="Q182" t="str">
        <f t="shared" si="68"/>
        <v/>
      </c>
      <c r="R182" t="str">
        <f>IF(M182="","",IFERROR(INDEX(Tabela7[QT %],MATCH(M182,Tabela7[PONTO],0)),0))</f>
        <v/>
      </c>
      <c r="S182" t="str">
        <f t="shared" si="69"/>
        <v/>
      </c>
      <c r="T182" t="str">
        <f>IF(M182="","",IF($B$9&gt;$B$8,IFERROR((INDEX(GERAL[SNAP],169)-$B$8)/($B$9-$B$8),0),0))</f>
        <v/>
      </c>
      <c r="U182" t="str">
        <f t="shared" si="70"/>
        <v/>
      </c>
      <c r="V182" t="str">
        <f>IFERROR(INDEX(GERAL[LADO],169),"")</f>
        <v/>
      </c>
      <c r="X182" t="str">
        <f>IFERROR(INDEX(GERAL[PONTO],149),"")</f>
        <v/>
      </c>
      <c r="Y182" t="str">
        <f>IF(X182="","",IFERROR(INDEX(GERAL[ACUMULADA],149),0))</f>
        <v/>
      </c>
      <c r="Z182" t="str">
        <f t="shared" si="61"/>
        <v/>
      </c>
      <c r="AA182" t="str">
        <f t="shared" si="62"/>
        <v/>
      </c>
      <c r="AB182" t="str">
        <f t="shared" si="63"/>
        <v/>
      </c>
      <c r="AC182" t="str">
        <f>IF(X182="","",IFERROR(INDEX(DIR_ATUAL[QT %],MATCH(X182,DIR_ATUAL[PONTO],0)),0))</f>
        <v/>
      </c>
      <c r="AD182" t="str">
        <f t="shared" si="64"/>
        <v/>
      </c>
      <c r="AE182" t="str">
        <f>IF(X182="","",IF($E$9&gt;$E$8,IFERROR((INDEX(GERAL[SNAP],149)-$E$8)/($E$9-$E$8),0),0))</f>
        <v/>
      </c>
      <c r="AF182" t="str">
        <f t="shared" si="65"/>
        <v/>
      </c>
      <c r="AG182" t="str">
        <f>IFERROR(INDEX(GERAL[LADO],149),"")</f>
        <v/>
      </c>
    </row>
    <row r="183" spans="13:33" x14ac:dyDescent="0.3">
      <c r="M183" t="str">
        <f>IFERROR(INDEX(GERAL[PONTO],170),"")</f>
        <v/>
      </c>
      <c r="N183" t="str">
        <f>IF(M183="","",IFERROR(INDEX(GERAL[ACUMULADA],170),0))</f>
        <v/>
      </c>
      <c r="O183" t="str">
        <f t="shared" si="66"/>
        <v/>
      </c>
      <c r="P183" t="str">
        <f t="shared" si="67"/>
        <v/>
      </c>
      <c r="Q183" t="str">
        <f t="shared" si="68"/>
        <v/>
      </c>
      <c r="R183" t="str">
        <f>IF(M183="","",IFERROR(INDEX(Tabela7[QT %],MATCH(M183,Tabela7[PONTO],0)),0))</f>
        <v/>
      </c>
      <c r="S183" t="str">
        <f t="shared" si="69"/>
        <v/>
      </c>
      <c r="T183" t="str">
        <f>IF(M183="","",IF($B$9&gt;$B$8,IFERROR((INDEX(GERAL[SNAP],170)-$B$8)/($B$9-$B$8),0),0))</f>
        <v/>
      </c>
      <c r="U183" t="str">
        <f t="shared" si="70"/>
        <v/>
      </c>
      <c r="V183" t="str">
        <f>IFERROR(INDEX(GERAL[LADO],170),"")</f>
        <v/>
      </c>
      <c r="X183" t="str">
        <f>IFERROR(INDEX(GERAL[PONTO],150),"")</f>
        <v/>
      </c>
      <c r="Y183" t="str">
        <f>IF(X183="","",IFERROR(INDEX(GERAL[ACUMULADA],150),0))</f>
        <v/>
      </c>
      <c r="Z183" t="str">
        <f t="shared" si="61"/>
        <v/>
      </c>
      <c r="AA183" t="str">
        <f t="shared" si="62"/>
        <v/>
      </c>
      <c r="AB183" t="str">
        <f t="shared" si="63"/>
        <v/>
      </c>
      <c r="AC183" t="str">
        <f>IF(X183="","",IFERROR(INDEX(DIR_ATUAL[QT %],MATCH(X183,DIR_ATUAL[PONTO],0)),0))</f>
        <v/>
      </c>
      <c r="AD183" t="str">
        <f t="shared" si="64"/>
        <v/>
      </c>
      <c r="AE183" t="str">
        <f>IF(X183="","",IF($E$9&gt;$E$8,IFERROR((INDEX(GERAL[SNAP],150)-$E$8)/($E$9-$E$8),0),0))</f>
        <v/>
      </c>
      <c r="AF183" t="str">
        <f t="shared" si="65"/>
        <v/>
      </c>
      <c r="AG183" t="str">
        <f>IFERROR(INDEX(GERAL[LADO],150),"")</f>
        <v/>
      </c>
    </row>
    <row r="184" spans="13:33" x14ac:dyDescent="0.3">
      <c r="M184" t="str">
        <f>IFERROR(INDEX(GERAL[PONTO],171),"")</f>
        <v/>
      </c>
      <c r="N184" t="str">
        <f>IF(M184="","",IFERROR(INDEX(GERAL[ACUMULADA],171),0))</f>
        <v/>
      </c>
      <c r="O184" t="str">
        <f t="shared" si="66"/>
        <v/>
      </c>
      <c r="P184" t="str">
        <f t="shared" si="67"/>
        <v/>
      </c>
      <c r="Q184" t="str">
        <f t="shared" si="68"/>
        <v/>
      </c>
      <c r="R184" t="str">
        <f>IF(M184="","",IFERROR(INDEX(Tabela7[QT %],MATCH(M184,Tabela7[PONTO],0)),0))</f>
        <v/>
      </c>
      <c r="S184" t="str">
        <f t="shared" si="69"/>
        <v/>
      </c>
      <c r="T184" t="str">
        <f>IF(M184="","",IF($B$9&gt;$B$8,IFERROR((INDEX(GERAL[SNAP],171)-$B$8)/($B$9-$B$8),0),0))</f>
        <v/>
      </c>
      <c r="U184" t="str">
        <f t="shared" si="70"/>
        <v/>
      </c>
      <c r="V184" t="str">
        <f>IFERROR(INDEX(GERAL[LADO],171),"")</f>
        <v/>
      </c>
      <c r="X184" t="str">
        <f>IFERROR(INDEX(GERAL[PONTO],151),"")</f>
        <v/>
      </c>
      <c r="Y184" t="str">
        <f>IF(X184="","",IFERROR(INDEX(GERAL[ACUMULADA],151),0))</f>
        <v/>
      </c>
      <c r="Z184" t="str">
        <f t="shared" si="61"/>
        <v/>
      </c>
      <c r="AA184" t="str">
        <f t="shared" si="62"/>
        <v/>
      </c>
      <c r="AB184" t="str">
        <f t="shared" si="63"/>
        <v/>
      </c>
      <c r="AC184" t="str">
        <f>IF(X184="","",IFERROR(INDEX(DIR_ATUAL[QT %],MATCH(X184,DIR_ATUAL[PONTO],0)),0))</f>
        <v/>
      </c>
      <c r="AD184" t="str">
        <f t="shared" si="64"/>
        <v/>
      </c>
      <c r="AE184" t="str">
        <f>IF(X184="","",IF($E$9&gt;$E$8,IFERROR((INDEX(GERAL[SNAP],151)-$E$8)/($E$9-$E$8),0),0))</f>
        <v/>
      </c>
      <c r="AF184" t="str">
        <f t="shared" si="65"/>
        <v/>
      </c>
      <c r="AG184" t="str">
        <f>IFERROR(INDEX(GERAL[LADO],151),"")</f>
        <v/>
      </c>
    </row>
    <row r="185" spans="13:33" x14ac:dyDescent="0.3">
      <c r="M185" t="str">
        <f>IFERROR(INDEX(GERAL[PONTO],172),"")</f>
        <v/>
      </c>
      <c r="N185" t="str">
        <f>IF(M185="","",IFERROR(INDEX(GERAL[ACUMULADA],172),0))</f>
        <v/>
      </c>
      <c r="O185" t="str">
        <f t="shared" si="66"/>
        <v/>
      </c>
      <c r="P185" t="str">
        <f t="shared" si="67"/>
        <v/>
      </c>
      <c r="Q185" t="str">
        <f t="shared" si="68"/>
        <v/>
      </c>
      <c r="R185" t="str">
        <f>IF(M185="","",IFERROR(INDEX(Tabela7[QT %],MATCH(M185,Tabela7[PONTO],0)),0))</f>
        <v/>
      </c>
      <c r="S185" t="str">
        <f t="shared" si="69"/>
        <v/>
      </c>
      <c r="T185" t="str">
        <f>IF(M185="","",IF($B$9&gt;$B$8,IFERROR((INDEX(GERAL[SNAP],172)-$B$8)/($B$9-$B$8),0),0))</f>
        <v/>
      </c>
      <c r="U185" t="str">
        <f t="shared" si="70"/>
        <v/>
      </c>
      <c r="V185" t="str">
        <f>IFERROR(INDEX(GERAL[LADO],172),"")</f>
        <v/>
      </c>
      <c r="X185" t="str">
        <f>IFERROR(INDEX(GERAL[PONTO],152),"")</f>
        <v/>
      </c>
      <c r="Y185" t="str">
        <f>IF(X185="","",IFERROR(INDEX(GERAL[ACUMULADA],152),0))</f>
        <v/>
      </c>
      <c r="Z185" t="str">
        <f t="shared" si="61"/>
        <v/>
      </c>
      <c r="AA185" t="str">
        <f t="shared" si="62"/>
        <v/>
      </c>
      <c r="AB185" t="str">
        <f t="shared" si="63"/>
        <v/>
      </c>
      <c r="AC185" t="str">
        <f>IF(X185="","",IFERROR(INDEX(DIR_ATUAL[QT %],MATCH(X185,DIR_ATUAL[PONTO],0)),0))</f>
        <v/>
      </c>
      <c r="AD185" t="str">
        <f t="shared" si="64"/>
        <v/>
      </c>
      <c r="AE185" t="str">
        <f>IF(X185="","",IF($E$9&gt;$E$8,IFERROR((INDEX(GERAL[SNAP],152)-$E$8)/($E$9-$E$8),0),0))</f>
        <v/>
      </c>
      <c r="AF185" t="str">
        <f t="shared" si="65"/>
        <v/>
      </c>
      <c r="AG185" t="str">
        <f>IFERROR(INDEX(GERAL[LADO],152),"")</f>
        <v/>
      </c>
    </row>
    <row r="186" spans="13:33" x14ac:dyDescent="0.3">
      <c r="M186" t="str">
        <f>IFERROR(INDEX(GERAL[PONTO],173),"")</f>
        <v/>
      </c>
      <c r="N186" t="str">
        <f>IF(M186="","",IFERROR(INDEX(GERAL[ACUMULADA],173),0))</f>
        <v/>
      </c>
      <c r="O186" t="str">
        <f t="shared" si="66"/>
        <v/>
      </c>
      <c r="P186" t="str">
        <f t="shared" si="67"/>
        <v/>
      </c>
      <c r="Q186" t="str">
        <f t="shared" si="68"/>
        <v/>
      </c>
      <c r="R186" t="str">
        <f>IF(M186="","",IFERROR(INDEX(Tabela7[QT %],MATCH(M186,Tabela7[PONTO],0)),0))</f>
        <v/>
      </c>
      <c r="S186" t="str">
        <f t="shared" si="69"/>
        <v/>
      </c>
      <c r="T186" t="str">
        <f>IF(M186="","",IF($B$9&gt;$B$8,IFERROR((INDEX(GERAL[SNAP],173)-$B$8)/($B$9-$B$8),0),0))</f>
        <v/>
      </c>
      <c r="U186" t="str">
        <f t="shared" si="70"/>
        <v/>
      </c>
      <c r="V186" t="str">
        <f>IFERROR(INDEX(GERAL[LADO],173),"")</f>
        <v/>
      </c>
      <c r="X186" t="str">
        <f>IFERROR(INDEX(GERAL[PONTO],153),"")</f>
        <v/>
      </c>
      <c r="Y186" t="str">
        <f>IF(X186="","",IFERROR(INDEX(GERAL[ACUMULADA],153),0))</f>
        <v/>
      </c>
      <c r="Z186" t="str">
        <f t="shared" si="61"/>
        <v/>
      </c>
      <c r="AA186" t="str">
        <f t="shared" si="62"/>
        <v/>
      </c>
      <c r="AB186" t="str">
        <f t="shared" si="63"/>
        <v/>
      </c>
      <c r="AC186" t="str">
        <f>IF(X186="","",IFERROR(INDEX(DIR_ATUAL[QT %],MATCH(X186,DIR_ATUAL[PONTO],0)),0))</f>
        <v/>
      </c>
      <c r="AD186" t="str">
        <f t="shared" si="64"/>
        <v/>
      </c>
      <c r="AE186" t="str">
        <f>IF(X186="","",IF($E$9&gt;$E$8,IFERROR((INDEX(GERAL[SNAP],153)-$E$8)/($E$9-$E$8),0),0))</f>
        <v/>
      </c>
      <c r="AF186" t="str">
        <f t="shared" si="65"/>
        <v/>
      </c>
      <c r="AG186" t="str">
        <f>IFERROR(INDEX(GERAL[LADO],153),"")</f>
        <v/>
      </c>
    </row>
    <row r="187" spans="13:33" x14ac:dyDescent="0.3">
      <c r="M187" t="str">
        <f>IFERROR(INDEX(GERAL[PONTO],174),"")</f>
        <v/>
      </c>
      <c r="N187" t="str">
        <f>IF(M187="","",IFERROR(INDEX(GERAL[ACUMULADA],174),0))</f>
        <v/>
      </c>
      <c r="O187" t="str">
        <f t="shared" si="66"/>
        <v/>
      </c>
      <c r="P187" t="str">
        <f t="shared" si="67"/>
        <v/>
      </c>
      <c r="Q187" t="str">
        <f t="shared" si="68"/>
        <v/>
      </c>
      <c r="R187" t="str">
        <f>IF(M187="","",IFERROR(INDEX(Tabela7[QT %],MATCH(M187,Tabela7[PONTO],0)),0))</f>
        <v/>
      </c>
      <c r="S187" t="str">
        <f t="shared" si="69"/>
        <v/>
      </c>
      <c r="T187" t="str">
        <f>IF(M187="","",IF($B$9&gt;$B$8,IFERROR((INDEX(GERAL[SNAP],174)-$B$8)/($B$9-$B$8),0),0))</f>
        <v/>
      </c>
      <c r="U187" t="str">
        <f t="shared" si="70"/>
        <v/>
      </c>
      <c r="V187" t="str">
        <f>IFERROR(INDEX(GERAL[LADO],174),"")</f>
        <v/>
      </c>
      <c r="X187" t="str">
        <f>IFERROR(INDEX(GERAL[PONTO],154),"")</f>
        <v/>
      </c>
      <c r="Y187" t="str">
        <f>IF(X187="","",IFERROR(INDEX(GERAL[ACUMULADA],154),0))</f>
        <v/>
      </c>
      <c r="Z187" t="str">
        <f t="shared" si="61"/>
        <v/>
      </c>
      <c r="AA187" t="str">
        <f t="shared" si="62"/>
        <v/>
      </c>
      <c r="AB187" t="str">
        <f t="shared" si="63"/>
        <v/>
      </c>
      <c r="AC187" t="str">
        <f>IF(X187="","",IFERROR(INDEX(DIR_ATUAL[QT %],MATCH(X187,DIR_ATUAL[PONTO],0)),0))</f>
        <v/>
      </c>
      <c r="AD187" t="str">
        <f t="shared" si="64"/>
        <v/>
      </c>
      <c r="AE187" t="str">
        <f>IF(X187="","",IF($E$9&gt;$E$8,IFERROR((INDEX(GERAL[SNAP],154)-$E$8)/($E$9-$E$8),0),0))</f>
        <v/>
      </c>
      <c r="AF187" t="str">
        <f t="shared" si="65"/>
        <v/>
      </c>
      <c r="AG187" t="str">
        <f>IFERROR(INDEX(GERAL[LADO],154),"")</f>
        <v/>
      </c>
    </row>
    <row r="188" spans="13:33" x14ac:dyDescent="0.3">
      <c r="M188" t="str">
        <f>IFERROR(INDEX(GERAL[PONTO],175),"")</f>
        <v/>
      </c>
      <c r="N188" t="str">
        <f>IF(M188="","",IFERROR(INDEX(GERAL[ACUMULADA],175),0))</f>
        <v/>
      </c>
      <c r="O188" t="str">
        <f t="shared" si="66"/>
        <v/>
      </c>
      <c r="P188" t="str">
        <f t="shared" si="67"/>
        <v/>
      </c>
      <c r="Q188" t="str">
        <f t="shared" si="68"/>
        <v/>
      </c>
      <c r="R188" t="str">
        <f>IF(M188="","",IFERROR(INDEX(Tabela7[QT %],MATCH(M188,Tabela7[PONTO],0)),0))</f>
        <v/>
      </c>
      <c r="S188" t="str">
        <f t="shared" si="69"/>
        <v/>
      </c>
      <c r="T188" t="str">
        <f>IF(M188="","",IF($B$9&gt;$B$8,IFERROR((INDEX(GERAL[SNAP],175)-$B$8)/($B$9-$B$8),0),0))</f>
        <v/>
      </c>
      <c r="U188" t="str">
        <f t="shared" si="70"/>
        <v/>
      </c>
      <c r="V188" t="str">
        <f>IFERROR(INDEX(GERAL[LADO],175),"")</f>
        <v/>
      </c>
      <c r="X188" t="str">
        <f>IFERROR(INDEX(GERAL[PONTO],155),"")</f>
        <v/>
      </c>
      <c r="Y188" t="str">
        <f>IF(X188="","",IFERROR(INDEX(GERAL[ACUMULADA],155),0))</f>
        <v/>
      </c>
      <c r="Z188" t="str">
        <f t="shared" si="61"/>
        <v/>
      </c>
      <c r="AA188" t="str">
        <f t="shared" si="62"/>
        <v/>
      </c>
      <c r="AB188" t="str">
        <f t="shared" si="63"/>
        <v/>
      </c>
      <c r="AC188" t="str">
        <f>IF(X188="","",IFERROR(INDEX(DIR_ATUAL[QT %],MATCH(X188,DIR_ATUAL[PONTO],0)),0))</f>
        <v/>
      </c>
      <c r="AD188" t="str">
        <f t="shared" si="64"/>
        <v/>
      </c>
      <c r="AE188" t="str">
        <f>IF(X188="","",IF($E$9&gt;$E$8,IFERROR((INDEX(GERAL[SNAP],155)-$E$8)/($E$9-$E$8),0),0))</f>
        <v/>
      </c>
      <c r="AF188" t="str">
        <f t="shared" si="65"/>
        <v/>
      </c>
      <c r="AG188" t="str">
        <f>IFERROR(INDEX(GERAL[LADO],155),"")</f>
        <v/>
      </c>
    </row>
    <row r="189" spans="13:33" x14ac:dyDescent="0.3">
      <c r="M189" t="str">
        <f>IFERROR(INDEX(GERAL[PONTO],176),"")</f>
        <v/>
      </c>
      <c r="N189" t="str">
        <f>IF(M189="","",IFERROR(INDEX(GERAL[ACUMULADA],176),0))</f>
        <v/>
      </c>
      <c r="O189" t="str">
        <f t="shared" si="66"/>
        <v/>
      </c>
      <c r="P189" t="str">
        <f t="shared" si="67"/>
        <v/>
      </c>
      <c r="Q189" t="str">
        <f t="shared" si="68"/>
        <v/>
      </c>
      <c r="R189" t="str">
        <f>IF(M189="","",IFERROR(INDEX(Tabela7[QT %],MATCH(M189,Tabela7[PONTO],0)),0))</f>
        <v/>
      </c>
      <c r="S189" t="str">
        <f t="shared" si="69"/>
        <v/>
      </c>
      <c r="T189" t="str">
        <f>IF(M189="","",IF($B$9&gt;$B$8,IFERROR((INDEX(GERAL[SNAP],176)-$B$8)/($B$9-$B$8),0),0))</f>
        <v/>
      </c>
      <c r="U189" t="str">
        <f t="shared" si="70"/>
        <v/>
      </c>
      <c r="V189" t="str">
        <f>IFERROR(INDEX(GERAL[LADO],176),"")</f>
        <v/>
      </c>
      <c r="X189" t="str">
        <f>IFERROR(INDEX(GERAL[PONTO],156),"")</f>
        <v/>
      </c>
      <c r="Y189" t="str">
        <f>IF(X189="","",IFERROR(INDEX(GERAL[ACUMULADA],156),0))</f>
        <v/>
      </c>
      <c r="Z189" t="str">
        <f t="shared" si="61"/>
        <v/>
      </c>
      <c r="AA189" t="str">
        <f t="shared" si="62"/>
        <v/>
      </c>
      <c r="AB189" t="str">
        <f t="shared" si="63"/>
        <v/>
      </c>
      <c r="AC189" t="str">
        <f>IF(X189="","",IFERROR(INDEX(DIR_ATUAL[QT %],MATCH(X189,DIR_ATUAL[PONTO],0)),0))</f>
        <v/>
      </c>
      <c r="AD189" t="str">
        <f t="shared" si="64"/>
        <v/>
      </c>
      <c r="AE189" t="str">
        <f>IF(X189="","",IF($E$9&gt;$E$8,IFERROR((INDEX(GERAL[SNAP],156)-$E$8)/($E$9-$E$8),0),0))</f>
        <v/>
      </c>
      <c r="AF189" t="str">
        <f t="shared" si="65"/>
        <v/>
      </c>
      <c r="AG189" t="str">
        <f>IFERROR(INDEX(GERAL[LADO],156),"")</f>
        <v/>
      </c>
    </row>
    <row r="190" spans="13:33" x14ac:dyDescent="0.3">
      <c r="M190" t="str">
        <f>IFERROR(INDEX(GERAL[PONTO],177),"")</f>
        <v/>
      </c>
      <c r="N190" t="str">
        <f>IF(M190="","",IFERROR(INDEX(GERAL[ACUMULADA],177),0))</f>
        <v/>
      </c>
      <c r="O190" t="str">
        <f t="shared" si="66"/>
        <v/>
      </c>
      <c r="P190" t="str">
        <f t="shared" si="67"/>
        <v/>
      </c>
      <c r="Q190" t="str">
        <f t="shared" si="68"/>
        <v/>
      </c>
      <c r="R190" t="str">
        <f>IF(M190="","",IFERROR(INDEX(Tabela7[QT %],MATCH(M190,Tabela7[PONTO],0)),0))</f>
        <v/>
      </c>
      <c r="S190" t="str">
        <f t="shared" si="69"/>
        <v/>
      </c>
      <c r="T190" t="str">
        <f>IF(M190="","",IF($B$9&gt;$B$8,IFERROR((INDEX(GERAL[SNAP],177)-$B$8)/($B$9-$B$8),0),0))</f>
        <v/>
      </c>
      <c r="U190" t="str">
        <f t="shared" si="70"/>
        <v/>
      </c>
      <c r="V190" t="str">
        <f>IFERROR(INDEX(GERAL[LADO],177),"")</f>
        <v/>
      </c>
      <c r="X190" t="str">
        <f>IFERROR(INDEX(GERAL[PONTO],157),"")</f>
        <v/>
      </c>
      <c r="Y190" t="str">
        <f>IF(X190="","",IFERROR(INDEX(GERAL[ACUMULADA],157),0))</f>
        <v/>
      </c>
      <c r="Z190" t="str">
        <f t="shared" si="61"/>
        <v/>
      </c>
      <c r="AA190" t="str">
        <f t="shared" si="62"/>
        <v/>
      </c>
      <c r="AB190" t="str">
        <f t="shared" si="63"/>
        <v/>
      </c>
      <c r="AC190" t="str">
        <f>IF(X190="","",IFERROR(INDEX(DIR_ATUAL[QT %],MATCH(X190,DIR_ATUAL[PONTO],0)),0))</f>
        <v/>
      </c>
      <c r="AD190" t="str">
        <f t="shared" si="64"/>
        <v/>
      </c>
      <c r="AE190" t="str">
        <f>IF(X190="","",IF($E$9&gt;$E$8,IFERROR((INDEX(GERAL[SNAP],157)-$E$8)/($E$9-$E$8),0),0))</f>
        <v/>
      </c>
      <c r="AF190" t="str">
        <f t="shared" si="65"/>
        <v/>
      </c>
      <c r="AG190" t="str">
        <f>IFERROR(INDEX(GERAL[LADO],157),"")</f>
        <v/>
      </c>
    </row>
    <row r="191" spans="13:33" x14ac:dyDescent="0.3">
      <c r="M191" t="str">
        <f>IFERROR(INDEX(GERAL[PONTO],178),"")</f>
        <v/>
      </c>
      <c r="N191" t="str">
        <f>IF(M191="","",IFERROR(INDEX(GERAL[ACUMULADA],178),0))</f>
        <v/>
      </c>
      <c r="O191" t="str">
        <f t="shared" si="66"/>
        <v/>
      </c>
      <c r="P191" t="str">
        <f t="shared" si="67"/>
        <v/>
      </c>
      <c r="Q191" t="str">
        <f t="shared" si="68"/>
        <v/>
      </c>
      <c r="R191" t="str">
        <f>IF(M191="","",IFERROR(INDEX(Tabela7[QT %],MATCH(M191,Tabela7[PONTO],0)),0))</f>
        <v/>
      </c>
      <c r="S191" t="str">
        <f t="shared" si="69"/>
        <v/>
      </c>
      <c r="T191" t="str">
        <f>IF(M191="","",IF($B$9&gt;$B$8,IFERROR((INDEX(GERAL[SNAP],178)-$B$8)/($B$9-$B$8),0),0))</f>
        <v/>
      </c>
      <c r="U191" t="str">
        <f t="shared" si="70"/>
        <v/>
      </c>
      <c r="V191" t="str">
        <f>IFERROR(INDEX(GERAL[LADO],178),"")</f>
        <v/>
      </c>
      <c r="X191" t="str">
        <f>IFERROR(INDEX(GERAL[PONTO],158),"")</f>
        <v/>
      </c>
      <c r="Y191" t="str">
        <f>IF(X191="","",IFERROR(INDEX(GERAL[ACUMULADA],158),0))</f>
        <v/>
      </c>
      <c r="Z191" t="str">
        <f t="shared" si="61"/>
        <v/>
      </c>
      <c r="AA191" t="str">
        <f t="shared" si="62"/>
        <v/>
      </c>
      <c r="AB191" t="str">
        <f t="shared" si="63"/>
        <v/>
      </c>
      <c r="AC191" t="str">
        <f>IF(X191="","",IFERROR(INDEX(DIR_ATUAL[QT %],MATCH(X191,DIR_ATUAL[PONTO],0)),0))</f>
        <v/>
      </c>
      <c r="AD191" t="str">
        <f t="shared" si="64"/>
        <v/>
      </c>
      <c r="AE191" t="str">
        <f>IF(X191="","",IF($E$9&gt;$E$8,IFERROR((INDEX(GERAL[SNAP],158)-$E$8)/($E$9-$E$8),0),0))</f>
        <v/>
      </c>
      <c r="AF191" t="str">
        <f t="shared" si="65"/>
        <v/>
      </c>
      <c r="AG191" t="str">
        <f>IFERROR(INDEX(GERAL[LADO],158),"")</f>
        <v/>
      </c>
    </row>
    <row r="192" spans="13:33" x14ac:dyDescent="0.3">
      <c r="M192" t="str">
        <f>IFERROR(INDEX(GERAL[PONTO],179),"")</f>
        <v/>
      </c>
      <c r="N192" t="str">
        <f>IF(M192="","",IFERROR(INDEX(GERAL[ACUMULADA],179),0))</f>
        <v/>
      </c>
      <c r="O192" t="str">
        <f t="shared" si="66"/>
        <v/>
      </c>
      <c r="P192" t="str">
        <f t="shared" si="67"/>
        <v/>
      </c>
      <c r="Q192" t="str">
        <f t="shared" si="68"/>
        <v/>
      </c>
      <c r="R192" t="str">
        <f>IF(M192="","",IFERROR(INDEX(Tabela7[QT %],MATCH(M192,Tabela7[PONTO],0)),0))</f>
        <v/>
      </c>
      <c r="S192" t="str">
        <f t="shared" si="69"/>
        <v/>
      </c>
      <c r="T192" t="str">
        <f>IF(M192="","",IF($B$9&gt;$B$8,IFERROR((INDEX(GERAL[SNAP],179)-$B$8)/($B$9-$B$8),0),0))</f>
        <v/>
      </c>
      <c r="U192" t="str">
        <f t="shared" si="70"/>
        <v/>
      </c>
      <c r="V192" t="str">
        <f>IFERROR(INDEX(GERAL[LADO],179),"")</f>
        <v/>
      </c>
      <c r="X192" t="str">
        <f>IFERROR(INDEX(GERAL[PONTO],159),"")</f>
        <v/>
      </c>
      <c r="Y192" t="str">
        <f>IF(X192="","",IFERROR(INDEX(GERAL[ACUMULADA],159),0))</f>
        <v/>
      </c>
      <c r="Z192" t="str">
        <f t="shared" si="61"/>
        <v/>
      </c>
      <c r="AA192" t="str">
        <f t="shared" si="62"/>
        <v/>
      </c>
      <c r="AB192" t="str">
        <f t="shared" si="63"/>
        <v/>
      </c>
      <c r="AC192" t="str">
        <f>IF(X192="","",IFERROR(INDEX(DIR_ATUAL[QT %],MATCH(X192,DIR_ATUAL[PONTO],0)),0))</f>
        <v/>
      </c>
      <c r="AD192" t="str">
        <f t="shared" si="64"/>
        <v/>
      </c>
      <c r="AE192" t="str">
        <f>IF(X192="","",IF($E$9&gt;$E$8,IFERROR((INDEX(GERAL[SNAP],159)-$E$8)/($E$9-$E$8),0),0))</f>
        <v/>
      </c>
      <c r="AF192" t="str">
        <f t="shared" si="65"/>
        <v/>
      </c>
      <c r="AG192" t="str">
        <f>IFERROR(INDEX(GERAL[LADO],159),"")</f>
        <v/>
      </c>
    </row>
    <row r="193" spans="13:33" x14ac:dyDescent="0.3">
      <c r="M193" t="str">
        <f>IFERROR(INDEX(GERAL[PONTO],180),"")</f>
        <v/>
      </c>
      <c r="N193" t="str">
        <f>IF(M193="","",IFERROR(INDEX(GERAL[ACUMULADA],180),0))</f>
        <v/>
      </c>
      <c r="O193" t="str">
        <f t="shared" si="66"/>
        <v/>
      </c>
      <c r="P193" t="str">
        <f t="shared" si="67"/>
        <v/>
      </c>
      <c r="Q193" t="str">
        <f t="shared" si="68"/>
        <v/>
      </c>
      <c r="R193" t="str">
        <f>IF(M193="","",IFERROR(INDEX(Tabela7[QT %],MATCH(M193,Tabela7[PONTO],0)),0))</f>
        <v/>
      </c>
      <c r="S193" t="str">
        <f t="shared" si="69"/>
        <v/>
      </c>
      <c r="T193" t="str">
        <f>IF(M193="","",IF($B$9&gt;$B$8,IFERROR((INDEX(GERAL[SNAP],180)-$B$8)/($B$9-$B$8),0),0))</f>
        <v/>
      </c>
      <c r="U193" t="str">
        <f t="shared" si="70"/>
        <v/>
      </c>
      <c r="V193" t="str">
        <f>IFERROR(INDEX(GERAL[LADO],180),"")</f>
        <v/>
      </c>
      <c r="X193" t="str">
        <f>IFERROR(INDEX(GERAL[PONTO],160),"")</f>
        <v/>
      </c>
      <c r="Y193" t="str">
        <f>IF(X193="","",IFERROR(INDEX(GERAL[ACUMULADA],160),0))</f>
        <v/>
      </c>
      <c r="Z193" t="str">
        <f t="shared" si="61"/>
        <v/>
      </c>
      <c r="AA193" t="str">
        <f t="shared" si="62"/>
        <v/>
      </c>
      <c r="AB193" t="str">
        <f t="shared" si="63"/>
        <v/>
      </c>
      <c r="AC193" t="str">
        <f>IF(X193="","",IFERROR(INDEX(DIR_ATUAL[QT %],MATCH(X193,DIR_ATUAL[PONTO],0)),0))</f>
        <v/>
      </c>
      <c r="AD193" t="str">
        <f t="shared" si="64"/>
        <v/>
      </c>
      <c r="AE193" t="str">
        <f>IF(X193="","",IF($E$9&gt;$E$8,IFERROR((INDEX(GERAL[SNAP],160)-$E$8)/($E$9-$E$8),0),0))</f>
        <v/>
      </c>
      <c r="AF193" t="str">
        <f t="shared" si="65"/>
        <v/>
      </c>
      <c r="AG193" t="str">
        <f>IFERROR(INDEX(GERAL[LADO],160),"")</f>
        <v/>
      </c>
    </row>
    <row r="194" spans="13:33" x14ac:dyDescent="0.3">
      <c r="M194" t="str">
        <f>IFERROR(INDEX(GERAL[PONTO],181),"")</f>
        <v/>
      </c>
      <c r="N194" t="str">
        <f>IF(M194="","",IFERROR(INDEX(GERAL[ACUMULADA],181),0))</f>
        <v/>
      </c>
      <c r="O194" t="str">
        <f t="shared" si="66"/>
        <v/>
      </c>
      <c r="P194" t="str">
        <f t="shared" si="67"/>
        <v/>
      </c>
      <c r="Q194" t="str">
        <f t="shared" si="68"/>
        <v/>
      </c>
      <c r="R194" t="str">
        <f>IF(M194="","",IFERROR(INDEX(Tabela7[QT %],MATCH(M194,Tabela7[PONTO],0)),0))</f>
        <v/>
      </c>
      <c r="S194" t="str">
        <f t="shared" si="69"/>
        <v/>
      </c>
      <c r="T194" t="str">
        <f>IF(M194="","",IF($B$9&gt;$B$8,IFERROR((INDEX(GERAL[SNAP],181)-$B$8)/($B$9-$B$8),0),0))</f>
        <v/>
      </c>
      <c r="U194" t="str">
        <f t="shared" si="70"/>
        <v/>
      </c>
      <c r="V194" t="str">
        <f>IFERROR(INDEX(GERAL[LADO],181),"")</f>
        <v/>
      </c>
      <c r="X194" t="str">
        <f>IFERROR(INDEX(GERAL[PONTO],161),"")</f>
        <v/>
      </c>
      <c r="Y194" t="str">
        <f>IF(X194="","",IFERROR(INDEX(GERAL[ACUMULADA],161),0))</f>
        <v/>
      </c>
      <c r="Z194" t="str">
        <f t="shared" ref="Z194:Z220" si="71">IF(Y194="","",$B$31-Y194)</f>
        <v/>
      </c>
      <c r="AA194" t="str">
        <f t="shared" ref="AA194:AA220" si="72">IF(Y194="","",IF(Y194*1.15&lt;=30,30,IF(Y194*1.15&lt;=45,45,IF(Y194*1.15&lt;=75,75,IF(Y194*1.15&lt;=112.5,112.5,IF(Y194*1.15&lt;=150,150,IF(Y194*1.15&lt;=225,225,300)))))))</f>
        <v/>
      </c>
      <c r="AB194" t="str">
        <f t="shared" ref="AB194:AB220" si="73">IF(AA194="","",IFERROR(Y194/AA194,0))</f>
        <v/>
      </c>
      <c r="AC194" t="str">
        <f>IF(X194="","",IFERROR(INDEX(DIR_ATUAL[QT %],MATCH(X194,DIR_ATUAL[PONTO],0)),0))</f>
        <v/>
      </c>
      <c r="AD194" t="str">
        <f t="shared" ref="AD194:AD220" si="74">IF(Y194="","",IFERROR(1-ABS(Y194-Z194)/$B$31,0))</f>
        <v/>
      </c>
      <c r="AE194" t="str">
        <f>IF(X194="","",IF($E$9&gt;$E$8,IFERROR((INDEX(GERAL[SNAP],161)-$E$8)/($E$9-$E$8),0),0))</f>
        <v/>
      </c>
      <c r="AF194" t="str">
        <f t="shared" ref="AF194:AF220" si="75">IF(OR(X194="",AG194&lt;&gt;"DIREITO"),"",$L$2*IFERROR(Y194/$B$31,0)+$L$3*IF($D$31&gt;0,IFERROR(AC194/$D$31,0),0)+$L$4*IFERROR(AD194,0)-$L$5*IFERROR(AE194,0)-$L$6*MAX(0,IFERROR(AB194,0)-$L$7)+ROW()/1000000)</f>
        <v/>
      </c>
      <c r="AG194" t="str">
        <f>IFERROR(INDEX(GERAL[LADO],161),"")</f>
        <v/>
      </c>
    </row>
    <row r="195" spans="13:33" x14ac:dyDescent="0.3">
      <c r="M195" t="str">
        <f>IFERROR(INDEX(GERAL[PONTO],182),"")</f>
        <v/>
      </c>
      <c r="N195" t="str">
        <f>IF(M195="","",IFERROR(INDEX(GERAL[ACUMULADA],182),0))</f>
        <v/>
      </c>
      <c r="O195" t="str">
        <f t="shared" si="66"/>
        <v/>
      </c>
      <c r="P195" t="str">
        <f t="shared" si="67"/>
        <v/>
      </c>
      <c r="Q195" t="str">
        <f t="shared" si="68"/>
        <v/>
      </c>
      <c r="R195" t="str">
        <f>IF(M195="","",IFERROR(INDEX(Tabela7[QT %],MATCH(M195,Tabela7[PONTO],0)),0))</f>
        <v/>
      </c>
      <c r="S195" t="str">
        <f t="shared" si="69"/>
        <v/>
      </c>
      <c r="T195" t="str">
        <f>IF(M195="","",IF($B$9&gt;$B$8,IFERROR((INDEX(GERAL[SNAP],182)-$B$8)/($B$9-$B$8),0),0))</f>
        <v/>
      </c>
      <c r="U195" t="str">
        <f t="shared" si="70"/>
        <v/>
      </c>
      <c r="V195" t="str">
        <f>IFERROR(INDEX(GERAL[LADO],182),"")</f>
        <v/>
      </c>
      <c r="X195" t="str">
        <f>IFERROR(INDEX(GERAL[PONTO],162),"")</f>
        <v/>
      </c>
      <c r="Y195" t="str">
        <f>IF(X195="","",IFERROR(INDEX(GERAL[ACUMULADA],162),0))</f>
        <v/>
      </c>
      <c r="Z195" t="str">
        <f t="shared" si="71"/>
        <v/>
      </c>
      <c r="AA195" t="str">
        <f t="shared" si="72"/>
        <v/>
      </c>
      <c r="AB195" t="str">
        <f t="shared" si="73"/>
        <v/>
      </c>
      <c r="AC195" t="str">
        <f>IF(X195="","",IFERROR(INDEX(DIR_ATUAL[QT %],MATCH(X195,DIR_ATUAL[PONTO],0)),0))</f>
        <v/>
      </c>
      <c r="AD195" t="str">
        <f t="shared" si="74"/>
        <v/>
      </c>
      <c r="AE195" t="str">
        <f>IF(X195="","",IF($E$9&gt;$E$8,IFERROR((INDEX(GERAL[SNAP],162)-$E$8)/($E$9-$E$8),0),0))</f>
        <v/>
      </c>
      <c r="AF195" t="str">
        <f t="shared" si="75"/>
        <v/>
      </c>
      <c r="AG195" t="str">
        <f>IFERROR(INDEX(GERAL[LADO],162),"")</f>
        <v/>
      </c>
    </row>
    <row r="196" spans="13:33" x14ac:dyDescent="0.3">
      <c r="M196" t="str">
        <f>IFERROR(INDEX(GERAL[PONTO],183),"")</f>
        <v/>
      </c>
      <c r="N196" t="str">
        <f>IF(M196="","",IFERROR(INDEX(GERAL[ACUMULADA],183),0))</f>
        <v/>
      </c>
      <c r="O196" t="str">
        <f t="shared" si="66"/>
        <v/>
      </c>
      <c r="P196" t="str">
        <f t="shared" si="67"/>
        <v/>
      </c>
      <c r="Q196" t="str">
        <f t="shared" si="68"/>
        <v/>
      </c>
      <c r="R196" t="str">
        <f>IF(M196="","",IFERROR(INDEX(Tabela7[QT %],MATCH(M196,Tabela7[PONTO],0)),0))</f>
        <v/>
      </c>
      <c r="S196" t="str">
        <f t="shared" si="69"/>
        <v/>
      </c>
      <c r="T196" t="str">
        <f>IF(M196="","",IF($B$9&gt;$B$8,IFERROR((INDEX(GERAL[SNAP],183)-$B$8)/($B$9-$B$8),0),0))</f>
        <v/>
      </c>
      <c r="U196" t="str">
        <f t="shared" si="70"/>
        <v/>
      </c>
      <c r="V196" t="str">
        <f>IFERROR(INDEX(GERAL[LADO],183),"")</f>
        <v/>
      </c>
      <c r="X196" t="str">
        <f>IFERROR(INDEX(GERAL[PONTO],163),"")</f>
        <v/>
      </c>
      <c r="Y196" t="str">
        <f>IF(X196="","",IFERROR(INDEX(GERAL[ACUMULADA],163),0))</f>
        <v/>
      </c>
      <c r="Z196" t="str">
        <f t="shared" si="71"/>
        <v/>
      </c>
      <c r="AA196" t="str">
        <f t="shared" si="72"/>
        <v/>
      </c>
      <c r="AB196" t="str">
        <f t="shared" si="73"/>
        <v/>
      </c>
      <c r="AC196" t="str">
        <f>IF(X196="","",IFERROR(INDEX(DIR_ATUAL[QT %],MATCH(X196,DIR_ATUAL[PONTO],0)),0))</f>
        <v/>
      </c>
      <c r="AD196" t="str">
        <f t="shared" si="74"/>
        <v/>
      </c>
      <c r="AE196" t="str">
        <f>IF(X196="","",IF($E$9&gt;$E$8,IFERROR((INDEX(GERAL[SNAP],163)-$E$8)/($E$9-$E$8),0),0))</f>
        <v/>
      </c>
      <c r="AF196" t="str">
        <f t="shared" si="75"/>
        <v/>
      </c>
      <c r="AG196" t="str">
        <f>IFERROR(INDEX(GERAL[LADO],163),"")</f>
        <v/>
      </c>
    </row>
    <row r="197" spans="13:33" x14ac:dyDescent="0.3">
      <c r="M197" t="str">
        <f>IFERROR(INDEX(GERAL[PONTO],184),"")</f>
        <v/>
      </c>
      <c r="N197" t="str">
        <f>IF(M197="","",IFERROR(INDEX(GERAL[ACUMULADA],184),0))</f>
        <v/>
      </c>
      <c r="O197" t="str">
        <f t="shared" si="66"/>
        <v/>
      </c>
      <c r="P197" t="str">
        <f t="shared" si="67"/>
        <v/>
      </c>
      <c r="Q197" t="str">
        <f t="shared" si="68"/>
        <v/>
      </c>
      <c r="R197" t="str">
        <f>IF(M197="","",IFERROR(INDEX(Tabela7[QT %],MATCH(M197,Tabela7[PONTO],0)),0))</f>
        <v/>
      </c>
      <c r="S197" t="str">
        <f t="shared" si="69"/>
        <v/>
      </c>
      <c r="T197" t="str">
        <f>IF(M197="","",IF($B$9&gt;$B$8,IFERROR((INDEX(GERAL[SNAP],184)-$B$8)/($B$9-$B$8),0),0))</f>
        <v/>
      </c>
      <c r="U197" t="str">
        <f t="shared" si="70"/>
        <v/>
      </c>
      <c r="V197" t="str">
        <f>IFERROR(INDEX(GERAL[LADO],184),"")</f>
        <v/>
      </c>
      <c r="X197" t="str">
        <f>IFERROR(INDEX(GERAL[PONTO],164),"")</f>
        <v/>
      </c>
      <c r="Y197" t="str">
        <f>IF(X197="","",IFERROR(INDEX(GERAL[ACUMULADA],164),0))</f>
        <v/>
      </c>
      <c r="Z197" t="str">
        <f t="shared" si="71"/>
        <v/>
      </c>
      <c r="AA197" t="str">
        <f t="shared" si="72"/>
        <v/>
      </c>
      <c r="AB197" t="str">
        <f t="shared" si="73"/>
        <v/>
      </c>
      <c r="AC197" t="str">
        <f>IF(X197="","",IFERROR(INDEX(DIR_ATUAL[QT %],MATCH(X197,DIR_ATUAL[PONTO],0)),0))</f>
        <v/>
      </c>
      <c r="AD197" t="str">
        <f t="shared" si="74"/>
        <v/>
      </c>
      <c r="AE197" t="str">
        <f>IF(X197="","",IF($E$9&gt;$E$8,IFERROR((INDEX(GERAL[SNAP],164)-$E$8)/($E$9-$E$8),0),0))</f>
        <v/>
      </c>
      <c r="AF197" t="str">
        <f t="shared" si="75"/>
        <v/>
      </c>
      <c r="AG197" t="str">
        <f>IFERROR(INDEX(GERAL[LADO],164),"")</f>
        <v/>
      </c>
    </row>
    <row r="198" spans="13:33" x14ac:dyDescent="0.3">
      <c r="M198" t="str">
        <f>IFERROR(INDEX(GERAL[PONTO],185),"")</f>
        <v/>
      </c>
      <c r="N198" t="str">
        <f>IF(M198="","",IFERROR(INDEX(GERAL[ACUMULADA],185),0))</f>
        <v/>
      </c>
      <c r="O198" t="str">
        <f t="shared" si="66"/>
        <v/>
      </c>
      <c r="P198" t="str">
        <f t="shared" si="67"/>
        <v/>
      </c>
      <c r="Q198" t="str">
        <f t="shared" si="68"/>
        <v/>
      </c>
      <c r="R198" t="str">
        <f>IF(M198="","",IFERROR(INDEX(Tabela7[QT %],MATCH(M198,Tabela7[PONTO],0)),0))</f>
        <v/>
      </c>
      <c r="S198" t="str">
        <f t="shared" si="69"/>
        <v/>
      </c>
      <c r="T198" t="str">
        <f>IF(M198="","",IF($B$9&gt;$B$8,IFERROR((INDEX(GERAL[SNAP],185)-$B$8)/($B$9-$B$8),0),0))</f>
        <v/>
      </c>
      <c r="U198" t="str">
        <f t="shared" si="70"/>
        <v/>
      </c>
      <c r="V198" t="str">
        <f>IFERROR(INDEX(GERAL[LADO],185),"")</f>
        <v/>
      </c>
      <c r="X198" t="str">
        <f>IFERROR(INDEX(GERAL[PONTO],165),"")</f>
        <v/>
      </c>
      <c r="Y198" t="str">
        <f>IF(X198="","",IFERROR(INDEX(GERAL[ACUMULADA],165),0))</f>
        <v/>
      </c>
      <c r="Z198" t="str">
        <f t="shared" si="71"/>
        <v/>
      </c>
      <c r="AA198" t="str">
        <f t="shared" si="72"/>
        <v/>
      </c>
      <c r="AB198" t="str">
        <f t="shared" si="73"/>
        <v/>
      </c>
      <c r="AC198" t="str">
        <f>IF(X198="","",IFERROR(INDEX(DIR_ATUAL[QT %],MATCH(X198,DIR_ATUAL[PONTO],0)),0))</f>
        <v/>
      </c>
      <c r="AD198" t="str">
        <f t="shared" si="74"/>
        <v/>
      </c>
      <c r="AE198" t="str">
        <f>IF(X198="","",IF($E$9&gt;$E$8,IFERROR((INDEX(GERAL[SNAP],165)-$E$8)/($E$9-$E$8),0),0))</f>
        <v/>
      </c>
      <c r="AF198" t="str">
        <f t="shared" si="75"/>
        <v/>
      </c>
      <c r="AG198" t="str">
        <f>IFERROR(INDEX(GERAL[LADO],165),"")</f>
        <v/>
      </c>
    </row>
    <row r="199" spans="13:33" x14ac:dyDescent="0.3">
      <c r="M199" t="str">
        <f>IFERROR(INDEX(GERAL[PONTO],186),"")</f>
        <v/>
      </c>
      <c r="N199" t="str">
        <f>IF(M199="","",IFERROR(INDEX(GERAL[ACUMULADA],186),0))</f>
        <v/>
      </c>
      <c r="O199" t="str">
        <f t="shared" si="66"/>
        <v/>
      </c>
      <c r="P199" t="str">
        <f t="shared" si="67"/>
        <v/>
      </c>
      <c r="Q199" t="str">
        <f t="shared" si="68"/>
        <v/>
      </c>
      <c r="R199" t="str">
        <f>IF(M199="","",IFERROR(INDEX(Tabela7[QT %],MATCH(M199,Tabela7[PONTO],0)),0))</f>
        <v/>
      </c>
      <c r="S199" t="str">
        <f t="shared" si="69"/>
        <v/>
      </c>
      <c r="T199" t="str">
        <f>IF(M199="","",IF($B$9&gt;$B$8,IFERROR((INDEX(GERAL[SNAP],186)-$B$8)/($B$9-$B$8),0),0))</f>
        <v/>
      </c>
      <c r="U199" t="str">
        <f t="shared" si="70"/>
        <v/>
      </c>
      <c r="V199" t="str">
        <f>IFERROR(INDEX(GERAL[LADO],186),"")</f>
        <v/>
      </c>
      <c r="X199" t="str">
        <f>IFERROR(INDEX(GERAL[PONTO],166),"")</f>
        <v/>
      </c>
      <c r="Y199" t="str">
        <f>IF(X199="","",IFERROR(INDEX(GERAL[ACUMULADA],166),0))</f>
        <v/>
      </c>
      <c r="Z199" t="str">
        <f t="shared" si="71"/>
        <v/>
      </c>
      <c r="AA199" t="str">
        <f t="shared" si="72"/>
        <v/>
      </c>
      <c r="AB199" t="str">
        <f t="shared" si="73"/>
        <v/>
      </c>
      <c r="AC199" t="str">
        <f>IF(X199="","",IFERROR(INDEX(DIR_ATUAL[QT %],MATCH(X199,DIR_ATUAL[PONTO],0)),0))</f>
        <v/>
      </c>
      <c r="AD199" t="str">
        <f t="shared" si="74"/>
        <v/>
      </c>
      <c r="AE199" t="str">
        <f>IF(X199="","",IF($E$9&gt;$E$8,IFERROR((INDEX(GERAL[SNAP],166)-$E$8)/($E$9-$E$8),0),0))</f>
        <v/>
      </c>
      <c r="AF199" t="str">
        <f t="shared" si="75"/>
        <v/>
      </c>
      <c r="AG199" t="str">
        <f>IFERROR(INDEX(GERAL[LADO],166),"")</f>
        <v/>
      </c>
    </row>
    <row r="200" spans="13:33" x14ac:dyDescent="0.3">
      <c r="M200" t="str">
        <f>IFERROR(INDEX(GERAL[PONTO],187),"")</f>
        <v/>
      </c>
      <c r="N200" t="str">
        <f>IF(M200="","",IFERROR(INDEX(GERAL[ACUMULADA],187),0))</f>
        <v/>
      </c>
      <c r="O200" t="str">
        <f t="shared" si="66"/>
        <v/>
      </c>
      <c r="P200" t="str">
        <f t="shared" si="67"/>
        <v/>
      </c>
      <c r="Q200" t="str">
        <f t="shared" si="68"/>
        <v/>
      </c>
      <c r="R200" t="str">
        <f>IF(M200="","",IFERROR(INDEX(Tabela7[QT %],MATCH(M200,Tabela7[PONTO],0)),0))</f>
        <v/>
      </c>
      <c r="S200" t="str">
        <f t="shared" si="69"/>
        <v/>
      </c>
      <c r="T200" t="str">
        <f>IF(M200="","",IF($B$9&gt;$B$8,IFERROR((INDEX(GERAL[SNAP],187)-$B$8)/($B$9-$B$8),0),0))</f>
        <v/>
      </c>
      <c r="U200" t="str">
        <f t="shared" si="70"/>
        <v/>
      </c>
      <c r="V200" t="str">
        <f>IFERROR(INDEX(GERAL[LADO],187),"")</f>
        <v/>
      </c>
      <c r="X200" t="str">
        <f>IFERROR(INDEX(GERAL[PONTO],167),"")</f>
        <v/>
      </c>
      <c r="Y200" t="str">
        <f>IF(X200="","",IFERROR(INDEX(GERAL[ACUMULADA],167),0))</f>
        <v/>
      </c>
      <c r="Z200" t="str">
        <f t="shared" si="71"/>
        <v/>
      </c>
      <c r="AA200" t="str">
        <f t="shared" si="72"/>
        <v/>
      </c>
      <c r="AB200" t="str">
        <f t="shared" si="73"/>
        <v/>
      </c>
      <c r="AC200" t="str">
        <f>IF(X200="","",IFERROR(INDEX(DIR_ATUAL[QT %],MATCH(X200,DIR_ATUAL[PONTO],0)),0))</f>
        <v/>
      </c>
      <c r="AD200" t="str">
        <f t="shared" si="74"/>
        <v/>
      </c>
      <c r="AE200" t="str">
        <f>IF(X200="","",IF($E$9&gt;$E$8,IFERROR((INDEX(GERAL[SNAP],167)-$E$8)/($E$9-$E$8),0),0))</f>
        <v/>
      </c>
      <c r="AF200" t="str">
        <f t="shared" si="75"/>
        <v/>
      </c>
      <c r="AG200" t="str">
        <f>IFERROR(INDEX(GERAL[LADO],167),"")</f>
        <v/>
      </c>
    </row>
    <row r="201" spans="13:33" x14ac:dyDescent="0.3">
      <c r="X201" t="str">
        <f>IFERROR(INDEX(GERAL[PONTO],168),"")</f>
        <v/>
      </c>
      <c r="Y201" t="str">
        <f>IF(X201="","",IFERROR(INDEX(GERAL[ACUMULADA],168),0))</f>
        <v/>
      </c>
      <c r="Z201" t="str">
        <f t="shared" si="71"/>
        <v/>
      </c>
      <c r="AA201" t="str">
        <f t="shared" si="72"/>
        <v/>
      </c>
      <c r="AB201" t="str">
        <f t="shared" si="73"/>
        <v/>
      </c>
      <c r="AC201" t="str">
        <f>IF(X201="","",IFERROR(INDEX(DIR_ATUAL[QT %],MATCH(X201,DIR_ATUAL[PONTO],0)),0))</f>
        <v/>
      </c>
      <c r="AD201" t="str">
        <f t="shared" si="74"/>
        <v/>
      </c>
      <c r="AE201" t="str">
        <f>IF(X201="","",IF($E$9&gt;$E$8,IFERROR((INDEX(GERAL[SNAP],168)-$E$8)/($E$9-$E$8),0),0))</f>
        <v/>
      </c>
      <c r="AF201" t="str">
        <f t="shared" si="75"/>
        <v/>
      </c>
      <c r="AG201" t="str">
        <f>IFERROR(INDEX(GERAL[LADO],168),"")</f>
        <v/>
      </c>
    </row>
    <row r="202" spans="13:33" x14ac:dyDescent="0.3">
      <c r="X202" t="str">
        <f>IFERROR(INDEX(GERAL[PONTO],169),"")</f>
        <v/>
      </c>
      <c r="Y202" t="str">
        <f>IF(X202="","",IFERROR(INDEX(GERAL[ACUMULADA],169),0))</f>
        <v/>
      </c>
      <c r="Z202" t="str">
        <f t="shared" si="71"/>
        <v/>
      </c>
      <c r="AA202" t="str">
        <f t="shared" si="72"/>
        <v/>
      </c>
      <c r="AB202" t="str">
        <f t="shared" si="73"/>
        <v/>
      </c>
      <c r="AC202" t="str">
        <f>IF(X202="","",IFERROR(INDEX(DIR_ATUAL[QT %],MATCH(X202,DIR_ATUAL[PONTO],0)),0))</f>
        <v/>
      </c>
      <c r="AD202" t="str">
        <f t="shared" si="74"/>
        <v/>
      </c>
      <c r="AE202" t="str">
        <f>IF(X202="","",IF($E$9&gt;$E$8,IFERROR((INDEX(GERAL[SNAP],169)-$E$8)/($E$9-$E$8),0),0))</f>
        <v/>
      </c>
      <c r="AF202" t="str">
        <f t="shared" si="75"/>
        <v/>
      </c>
      <c r="AG202" t="str">
        <f>IFERROR(INDEX(GERAL[LADO],169),"")</f>
        <v/>
      </c>
    </row>
    <row r="203" spans="13:33" x14ac:dyDescent="0.3">
      <c r="X203" t="str">
        <f>IFERROR(INDEX(GERAL[PONTO],170),"")</f>
        <v/>
      </c>
      <c r="Y203" t="str">
        <f>IF(X203="","",IFERROR(INDEX(GERAL[ACUMULADA],170),0))</f>
        <v/>
      </c>
      <c r="Z203" t="str">
        <f t="shared" si="71"/>
        <v/>
      </c>
      <c r="AA203" t="str">
        <f t="shared" si="72"/>
        <v/>
      </c>
      <c r="AB203" t="str">
        <f t="shared" si="73"/>
        <v/>
      </c>
      <c r="AC203" t="str">
        <f>IF(X203="","",IFERROR(INDEX(DIR_ATUAL[QT %],MATCH(X203,DIR_ATUAL[PONTO],0)),0))</f>
        <v/>
      </c>
      <c r="AD203" t="str">
        <f t="shared" si="74"/>
        <v/>
      </c>
      <c r="AE203" t="str">
        <f>IF(X203="","",IF($E$9&gt;$E$8,IFERROR((INDEX(GERAL[SNAP],170)-$E$8)/($E$9-$E$8),0),0))</f>
        <v/>
      </c>
      <c r="AF203" t="str">
        <f t="shared" si="75"/>
        <v/>
      </c>
      <c r="AG203" t="str">
        <f>IFERROR(INDEX(GERAL[LADO],170),"")</f>
        <v/>
      </c>
    </row>
    <row r="204" spans="13:33" x14ac:dyDescent="0.3">
      <c r="X204" t="str">
        <f>IFERROR(INDEX(GERAL[PONTO],171),"")</f>
        <v/>
      </c>
      <c r="Y204" t="str">
        <f>IF(X204="","",IFERROR(INDEX(GERAL[ACUMULADA],171),0))</f>
        <v/>
      </c>
      <c r="Z204" t="str">
        <f t="shared" si="71"/>
        <v/>
      </c>
      <c r="AA204" t="str">
        <f t="shared" si="72"/>
        <v/>
      </c>
      <c r="AB204" t="str">
        <f t="shared" si="73"/>
        <v/>
      </c>
      <c r="AC204" t="str">
        <f>IF(X204="","",IFERROR(INDEX(DIR_ATUAL[QT %],MATCH(X204,DIR_ATUAL[PONTO],0)),0))</f>
        <v/>
      </c>
      <c r="AD204" t="str">
        <f t="shared" si="74"/>
        <v/>
      </c>
      <c r="AE204" t="str">
        <f>IF(X204="","",IF($E$9&gt;$E$8,IFERROR((INDEX(GERAL[SNAP],171)-$E$8)/($E$9-$E$8),0),0))</f>
        <v/>
      </c>
      <c r="AF204" t="str">
        <f t="shared" si="75"/>
        <v/>
      </c>
      <c r="AG204" t="str">
        <f>IFERROR(INDEX(GERAL[LADO],171),"")</f>
        <v/>
      </c>
    </row>
    <row r="205" spans="13:33" x14ac:dyDescent="0.3">
      <c r="X205" t="str">
        <f>IFERROR(INDEX(GERAL[PONTO],172),"")</f>
        <v/>
      </c>
      <c r="Y205" t="str">
        <f>IF(X205="","",IFERROR(INDEX(GERAL[ACUMULADA],172),0))</f>
        <v/>
      </c>
      <c r="Z205" t="str">
        <f t="shared" si="71"/>
        <v/>
      </c>
      <c r="AA205" t="str">
        <f t="shared" si="72"/>
        <v/>
      </c>
      <c r="AB205" t="str">
        <f t="shared" si="73"/>
        <v/>
      </c>
      <c r="AC205" t="str">
        <f>IF(X205="","",IFERROR(INDEX(DIR_ATUAL[QT %],MATCH(X205,DIR_ATUAL[PONTO],0)),0))</f>
        <v/>
      </c>
      <c r="AD205" t="str">
        <f t="shared" si="74"/>
        <v/>
      </c>
      <c r="AE205" t="str">
        <f>IF(X205="","",IF($E$9&gt;$E$8,IFERROR((INDEX(GERAL[SNAP],172)-$E$8)/($E$9-$E$8),0),0))</f>
        <v/>
      </c>
      <c r="AF205" t="str">
        <f t="shared" si="75"/>
        <v/>
      </c>
      <c r="AG205" t="str">
        <f>IFERROR(INDEX(GERAL[LADO],172),"")</f>
        <v/>
      </c>
    </row>
    <row r="206" spans="13:33" x14ac:dyDescent="0.3">
      <c r="X206" t="str">
        <f>IFERROR(INDEX(GERAL[PONTO],173),"")</f>
        <v/>
      </c>
      <c r="Y206" t="str">
        <f>IF(X206="","",IFERROR(INDEX(GERAL[ACUMULADA],173),0))</f>
        <v/>
      </c>
      <c r="Z206" t="str">
        <f t="shared" si="71"/>
        <v/>
      </c>
      <c r="AA206" t="str">
        <f t="shared" si="72"/>
        <v/>
      </c>
      <c r="AB206" t="str">
        <f t="shared" si="73"/>
        <v/>
      </c>
      <c r="AC206" t="str">
        <f>IF(X206="","",IFERROR(INDEX(DIR_ATUAL[QT %],MATCH(X206,DIR_ATUAL[PONTO],0)),0))</f>
        <v/>
      </c>
      <c r="AD206" t="str">
        <f t="shared" si="74"/>
        <v/>
      </c>
      <c r="AE206" t="str">
        <f>IF(X206="","",IF($E$9&gt;$E$8,IFERROR((INDEX(GERAL[SNAP],173)-$E$8)/($E$9-$E$8),0),0))</f>
        <v/>
      </c>
      <c r="AF206" t="str">
        <f t="shared" si="75"/>
        <v/>
      </c>
      <c r="AG206" t="str">
        <f>IFERROR(INDEX(GERAL[LADO],173),"")</f>
        <v/>
      </c>
    </row>
    <row r="207" spans="13:33" x14ac:dyDescent="0.3">
      <c r="X207" t="str">
        <f>IFERROR(INDEX(GERAL[PONTO],174),"")</f>
        <v/>
      </c>
      <c r="Y207" t="str">
        <f>IF(X207="","",IFERROR(INDEX(GERAL[ACUMULADA],174),0))</f>
        <v/>
      </c>
      <c r="Z207" t="str">
        <f t="shared" si="71"/>
        <v/>
      </c>
      <c r="AA207" t="str">
        <f t="shared" si="72"/>
        <v/>
      </c>
      <c r="AB207" t="str">
        <f t="shared" si="73"/>
        <v/>
      </c>
      <c r="AC207" t="str">
        <f>IF(X207="","",IFERROR(INDEX(DIR_ATUAL[QT %],MATCH(X207,DIR_ATUAL[PONTO],0)),0))</f>
        <v/>
      </c>
      <c r="AD207" t="str">
        <f t="shared" si="74"/>
        <v/>
      </c>
      <c r="AE207" t="str">
        <f>IF(X207="","",IF($E$9&gt;$E$8,IFERROR((INDEX(GERAL[SNAP],174)-$E$8)/($E$9-$E$8),0),0))</f>
        <v/>
      </c>
      <c r="AF207" t="str">
        <f t="shared" si="75"/>
        <v/>
      </c>
      <c r="AG207" t="str">
        <f>IFERROR(INDEX(GERAL[LADO],174),"")</f>
        <v/>
      </c>
    </row>
    <row r="208" spans="13:33" x14ac:dyDescent="0.3">
      <c r="X208" t="str">
        <f>IFERROR(INDEX(GERAL[PONTO],175),"")</f>
        <v/>
      </c>
      <c r="Y208" t="str">
        <f>IF(X208="","",IFERROR(INDEX(GERAL[ACUMULADA],175),0))</f>
        <v/>
      </c>
      <c r="Z208" t="str">
        <f t="shared" si="71"/>
        <v/>
      </c>
      <c r="AA208" t="str">
        <f t="shared" si="72"/>
        <v/>
      </c>
      <c r="AB208" t="str">
        <f t="shared" si="73"/>
        <v/>
      </c>
      <c r="AC208" t="str">
        <f>IF(X208="","",IFERROR(INDEX(DIR_ATUAL[QT %],MATCH(X208,DIR_ATUAL[PONTO],0)),0))</f>
        <v/>
      </c>
      <c r="AD208" t="str">
        <f t="shared" si="74"/>
        <v/>
      </c>
      <c r="AE208" t="str">
        <f>IF(X208="","",IF($E$9&gt;$E$8,IFERROR((INDEX(GERAL[SNAP],175)-$E$8)/($E$9-$E$8),0),0))</f>
        <v/>
      </c>
      <c r="AF208" t="str">
        <f t="shared" si="75"/>
        <v/>
      </c>
      <c r="AG208" t="str">
        <f>IFERROR(INDEX(GERAL[LADO],175),"")</f>
        <v/>
      </c>
    </row>
    <row r="209" spans="24:33" x14ac:dyDescent="0.3">
      <c r="X209" t="str">
        <f>IFERROR(INDEX(GERAL[PONTO],176),"")</f>
        <v/>
      </c>
      <c r="Y209" t="str">
        <f>IF(X209="","",IFERROR(INDEX(GERAL[ACUMULADA],176),0))</f>
        <v/>
      </c>
      <c r="Z209" t="str">
        <f t="shared" si="71"/>
        <v/>
      </c>
      <c r="AA209" t="str">
        <f t="shared" si="72"/>
        <v/>
      </c>
      <c r="AB209" t="str">
        <f t="shared" si="73"/>
        <v/>
      </c>
      <c r="AC209" t="str">
        <f>IF(X209="","",IFERROR(INDEX(DIR_ATUAL[QT %],MATCH(X209,DIR_ATUAL[PONTO],0)),0))</f>
        <v/>
      </c>
      <c r="AD209" t="str">
        <f t="shared" si="74"/>
        <v/>
      </c>
      <c r="AE209" t="str">
        <f>IF(X209="","",IF($E$9&gt;$E$8,IFERROR((INDEX(GERAL[SNAP],176)-$E$8)/($E$9-$E$8),0),0))</f>
        <v/>
      </c>
      <c r="AF209" t="str">
        <f t="shared" si="75"/>
        <v/>
      </c>
      <c r="AG209" t="str">
        <f>IFERROR(INDEX(GERAL[LADO],176),"")</f>
        <v/>
      </c>
    </row>
    <row r="210" spans="24:33" x14ac:dyDescent="0.3">
      <c r="X210" t="str">
        <f>IFERROR(INDEX(GERAL[PONTO],177),"")</f>
        <v/>
      </c>
      <c r="Y210" t="str">
        <f>IF(X210="","",IFERROR(INDEX(GERAL[ACUMULADA],177),0))</f>
        <v/>
      </c>
      <c r="Z210" t="str">
        <f t="shared" si="71"/>
        <v/>
      </c>
      <c r="AA210" t="str">
        <f t="shared" si="72"/>
        <v/>
      </c>
      <c r="AB210" t="str">
        <f t="shared" si="73"/>
        <v/>
      </c>
      <c r="AC210" t="str">
        <f>IF(X210="","",IFERROR(INDEX(DIR_ATUAL[QT %],MATCH(X210,DIR_ATUAL[PONTO],0)),0))</f>
        <v/>
      </c>
      <c r="AD210" t="str">
        <f t="shared" si="74"/>
        <v/>
      </c>
      <c r="AE210" t="str">
        <f>IF(X210="","",IF($E$9&gt;$E$8,IFERROR((INDEX(GERAL[SNAP],177)-$E$8)/($E$9-$E$8),0),0))</f>
        <v/>
      </c>
      <c r="AF210" t="str">
        <f t="shared" si="75"/>
        <v/>
      </c>
      <c r="AG210" t="str">
        <f>IFERROR(INDEX(GERAL[LADO],177),"")</f>
        <v/>
      </c>
    </row>
    <row r="211" spans="24:33" x14ac:dyDescent="0.3">
      <c r="X211" t="str">
        <f>IFERROR(INDEX(GERAL[PONTO],178),"")</f>
        <v/>
      </c>
      <c r="Y211" t="str">
        <f>IF(X211="","",IFERROR(INDEX(GERAL[ACUMULADA],178),0))</f>
        <v/>
      </c>
      <c r="Z211" t="str">
        <f t="shared" si="71"/>
        <v/>
      </c>
      <c r="AA211" t="str">
        <f t="shared" si="72"/>
        <v/>
      </c>
      <c r="AB211" t="str">
        <f t="shared" si="73"/>
        <v/>
      </c>
      <c r="AC211" t="str">
        <f>IF(X211="","",IFERROR(INDEX(DIR_ATUAL[QT %],MATCH(X211,DIR_ATUAL[PONTO],0)),0))</f>
        <v/>
      </c>
      <c r="AD211" t="str">
        <f t="shared" si="74"/>
        <v/>
      </c>
      <c r="AE211" t="str">
        <f>IF(X211="","",IF($E$9&gt;$E$8,IFERROR((INDEX(GERAL[SNAP],178)-$E$8)/($E$9-$E$8),0),0))</f>
        <v/>
      </c>
      <c r="AF211" t="str">
        <f t="shared" si="75"/>
        <v/>
      </c>
      <c r="AG211" t="str">
        <f>IFERROR(INDEX(GERAL[LADO],178),"")</f>
        <v/>
      </c>
    </row>
    <row r="212" spans="24:33" x14ac:dyDescent="0.3">
      <c r="X212" t="str">
        <f>IFERROR(INDEX(GERAL[PONTO],179),"")</f>
        <v/>
      </c>
      <c r="Y212" t="str">
        <f>IF(X212="","",IFERROR(INDEX(GERAL[ACUMULADA],179),0))</f>
        <v/>
      </c>
      <c r="Z212" t="str">
        <f t="shared" si="71"/>
        <v/>
      </c>
      <c r="AA212" t="str">
        <f t="shared" si="72"/>
        <v/>
      </c>
      <c r="AB212" t="str">
        <f t="shared" si="73"/>
        <v/>
      </c>
      <c r="AC212" t="str">
        <f>IF(X212="","",IFERROR(INDEX(DIR_ATUAL[QT %],MATCH(X212,DIR_ATUAL[PONTO],0)),0))</f>
        <v/>
      </c>
      <c r="AD212" t="str">
        <f t="shared" si="74"/>
        <v/>
      </c>
      <c r="AE212" t="str">
        <f>IF(X212="","",IF($E$9&gt;$E$8,IFERROR((INDEX(GERAL[SNAP],179)-$E$8)/($E$9-$E$8),0),0))</f>
        <v/>
      </c>
      <c r="AF212" t="str">
        <f t="shared" si="75"/>
        <v/>
      </c>
      <c r="AG212" t="str">
        <f>IFERROR(INDEX(GERAL[LADO],179),"")</f>
        <v/>
      </c>
    </row>
    <row r="213" spans="24:33" x14ac:dyDescent="0.3">
      <c r="X213" t="str">
        <f>IFERROR(INDEX(GERAL[PONTO],180),"")</f>
        <v/>
      </c>
      <c r="Y213" t="str">
        <f>IF(X213="","",IFERROR(INDEX(GERAL[ACUMULADA],180),0))</f>
        <v/>
      </c>
      <c r="Z213" t="str">
        <f t="shared" si="71"/>
        <v/>
      </c>
      <c r="AA213" t="str">
        <f t="shared" si="72"/>
        <v/>
      </c>
      <c r="AB213" t="str">
        <f t="shared" si="73"/>
        <v/>
      </c>
      <c r="AC213" t="str">
        <f>IF(X213="","",IFERROR(INDEX(DIR_ATUAL[QT %],MATCH(X213,DIR_ATUAL[PONTO],0)),0))</f>
        <v/>
      </c>
      <c r="AD213" t="str">
        <f t="shared" si="74"/>
        <v/>
      </c>
      <c r="AE213" t="str">
        <f>IF(X213="","",IF($E$9&gt;$E$8,IFERROR((INDEX(GERAL[SNAP],180)-$E$8)/($E$9-$E$8),0),0))</f>
        <v/>
      </c>
      <c r="AF213" t="str">
        <f t="shared" si="75"/>
        <v/>
      </c>
      <c r="AG213" t="str">
        <f>IFERROR(INDEX(GERAL[LADO],180),"")</f>
        <v/>
      </c>
    </row>
    <row r="214" spans="24:33" x14ac:dyDescent="0.3">
      <c r="X214" t="str">
        <f>IFERROR(INDEX(GERAL[PONTO],181),"")</f>
        <v/>
      </c>
      <c r="Y214" t="str">
        <f>IF(X214="","",IFERROR(INDEX(GERAL[ACUMULADA],181),0))</f>
        <v/>
      </c>
      <c r="Z214" t="str">
        <f t="shared" si="71"/>
        <v/>
      </c>
      <c r="AA214" t="str">
        <f t="shared" si="72"/>
        <v/>
      </c>
      <c r="AB214" t="str">
        <f t="shared" si="73"/>
        <v/>
      </c>
      <c r="AC214" t="str">
        <f>IF(X214="","",IFERROR(INDEX(DIR_ATUAL[QT %],MATCH(X214,DIR_ATUAL[PONTO],0)),0))</f>
        <v/>
      </c>
      <c r="AD214" t="str">
        <f t="shared" si="74"/>
        <v/>
      </c>
      <c r="AE214" t="str">
        <f>IF(X214="","",IF($E$9&gt;$E$8,IFERROR((INDEX(GERAL[SNAP],181)-$E$8)/($E$9-$E$8),0),0))</f>
        <v/>
      </c>
      <c r="AF214" t="str">
        <f t="shared" si="75"/>
        <v/>
      </c>
      <c r="AG214" t="str">
        <f>IFERROR(INDEX(GERAL[LADO],181),"")</f>
        <v/>
      </c>
    </row>
    <row r="215" spans="24:33" x14ac:dyDescent="0.3">
      <c r="X215" t="str">
        <f>IFERROR(INDEX(GERAL[PONTO],182),"")</f>
        <v/>
      </c>
      <c r="Y215" t="str">
        <f>IF(X215="","",IFERROR(INDEX(GERAL[ACUMULADA],182),0))</f>
        <v/>
      </c>
      <c r="Z215" t="str">
        <f t="shared" si="71"/>
        <v/>
      </c>
      <c r="AA215" t="str">
        <f t="shared" si="72"/>
        <v/>
      </c>
      <c r="AB215" t="str">
        <f t="shared" si="73"/>
        <v/>
      </c>
      <c r="AC215" t="str">
        <f>IF(X215="","",IFERROR(INDEX(DIR_ATUAL[QT %],MATCH(X215,DIR_ATUAL[PONTO],0)),0))</f>
        <v/>
      </c>
      <c r="AD215" t="str">
        <f t="shared" si="74"/>
        <v/>
      </c>
      <c r="AE215" t="str">
        <f>IF(X215="","",IF($E$9&gt;$E$8,IFERROR((INDEX(GERAL[SNAP],182)-$E$8)/($E$9-$E$8),0),0))</f>
        <v/>
      </c>
      <c r="AF215" t="str">
        <f t="shared" si="75"/>
        <v/>
      </c>
      <c r="AG215" t="str">
        <f>IFERROR(INDEX(GERAL[LADO],182),"")</f>
        <v/>
      </c>
    </row>
    <row r="216" spans="24:33" x14ac:dyDescent="0.3">
      <c r="X216" t="str">
        <f>IFERROR(INDEX(GERAL[PONTO],183),"")</f>
        <v/>
      </c>
      <c r="Y216" t="str">
        <f>IF(X216="","",IFERROR(INDEX(GERAL[ACUMULADA],183),0))</f>
        <v/>
      </c>
      <c r="Z216" t="str">
        <f t="shared" si="71"/>
        <v/>
      </c>
      <c r="AA216" t="str">
        <f t="shared" si="72"/>
        <v/>
      </c>
      <c r="AB216" t="str">
        <f t="shared" si="73"/>
        <v/>
      </c>
      <c r="AC216" t="str">
        <f>IF(X216="","",IFERROR(INDEX(DIR_ATUAL[QT %],MATCH(X216,DIR_ATUAL[PONTO],0)),0))</f>
        <v/>
      </c>
      <c r="AD216" t="str">
        <f t="shared" si="74"/>
        <v/>
      </c>
      <c r="AE216" t="str">
        <f>IF(X216="","",IF($E$9&gt;$E$8,IFERROR((INDEX(GERAL[SNAP],183)-$E$8)/($E$9-$E$8),0),0))</f>
        <v/>
      </c>
      <c r="AF216" t="str">
        <f t="shared" si="75"/>
        <v/>
      </c>
      <c r="AG216" t="str">
        <f>IFERROR(INDEX(GERAL[LADO],183),"")</f>
        <v/>
      </c>
    </row>
    <row r="217" spans="24:33" x14ac:dyDescent="0.3">
      <c r="X217" t="str">
        <f>IFERROR(INDEX(GERAL[PONTO],184),"")</f>
        <v/>
      </c>
      <c r="Y217" t="str">
        <f>IF(X217="","",IFERROR(INDEX(GERAL[ACUMULADA],184),0))</f>
        <v/>
      </c>
      <c r="Z217" t="str">
        <f t="shared" si="71"/>
        <v/>
      </c>
      <c r="AA217" t="str">
        <f t="shared" si="72"/>
        <v/>
      </c>
      <c r="AB217" t="str">
        <f t="shared" si="73"/>
        <v/>
      </c>
      <c r="AC217" t="str">
        <f>IF(X217="","",IFERROR(INDEX(DIR_ATUAL[QT %],MATCH(X217,DIR_ATUAL[PONTO],0)),0))</f>
        <v/>
      </c>
      <c r="AD217" t="str">
        <f t="shared" si="74"/>
        <v/>
      </c>
      <c r="AE217" t="str">
        <f>IF(X217="","",IF($E$9&gt;$E$8,IFERROR((INDEX(GERAL[SNAP],184)-$E$8)/($E$9-$E$8),0),0))</f>
        <v/>
      </c>
      <c r="AF217" t="str">
        <f t="shared" si="75"/>
        <v/>
      </c>
      <c r="AG217" t="str">
        <f>IFERROR(INDEX(GERAL[LADO],184),"")</f>
        <v/>
      </c>
    </row>
    <row r="218" spans="24:33" x14ac:dyDescent="0.3">
      <c r="X218" t="str">
        <f>IFERROR(INDEX(GERAL[PONTO],185),"")</f>
        <v/>
      </c>
      <c r="Y218" t="str">
        <f>IF(X218="","",IFERROR(INDEX(GERAL[ACUMULADA],185),0))</f>
        <v/>
      </c>
      <c r="Z218" t="str">
        <f t="shared" si="71"/>
        <v/>
      </c>
      <c r="AA218" t="str">
        <f t="shared" si="72"/>
        <v/>
      </c>
      <c r="AB218" t="str">
        <f t="shared" si="73"/>
        <v/>
      </c>
      <c r="AC218" t="str">
        <f>IF(X218="","",IFERROR(INDEX(DIR_ATUAL[QT %],MATCH(X218,DIR_ATUAL[PONTO],0)),0))</f>
        <v/>
      </c>
      <c r="AD218" t="str">
        <f t="shared" si="74"/>
        <v/>
      </c>
      <c r="AE218" t="str">
        <f>IF(X218="","",IF($E$9&gt;$E$8,IFERROR((INDEX(GERAL[SNAP],185)-$E$8)/($E$9-$E$8),0),0))</f>
        <v/>
      </c>
      <c r="AF218" t="str">
        <f t="shared" si="75"/>
        <v/>
      </c>
      <c r="AG218" t="str">
        <f>IFERROR(INDEX(GERAL[LADO],185),"")</f>
        <v/>
      </c>
    </row>
    <row r="219" spans="24:33" x14ac:dyDescent="0.3">
      <c r="X219" t="str">
        <f>IFERROR(INDEX(GERAL[PONTO],186),"")</f>
        <v/>
      </c>
      <c r="Y219" t="str">
        <f>IF(X219="","",IFERROR(INDEX(GERAL[ACUMULADA],186),0))</f>
        <v/>
      </c>
      <c r="Z219" t="str">
        <f t="shared" si="71"/>
        <v/>
      </c>
      <c r="AA219" t="str">
        <f t="shared" si="72"/>
        <v/>
      </c>
      <c r="AB219" t="str">
        <f t="shared" si="73"/>
        <v/>
      </c>
      <c r="AC219" t="str">
        <f>IF(X219="","",IFERROR(INDEX(DIR_ATUAL[QT %],MATCH(X219,DIR_ATUAL[PONTO],0)),0))</f>
        <v/>
      </c>
      <c r="AD219" t="str">
        <f t="shared" si="74"/>
        <v/>
      </c>
      <c r="AE219" t="str">
        <f>IF(X219="","",IF($E$9&gt;$E$8,IFERROR((INDEX(GERAL[SNAP],186)-$E$8)/($E$9-$E$8),0),0))</f>
        <v/>
      </c>
      <c r="AF219" t="str">
        <f t="shared" si="75"/>
        <v/>
      </c>
      <c r="AG219" t="str">
        <f>IFERROR(INDEX(GERAL[LADO],186),"")</f>
        <v/>
      </c>
    </row>
    <row r="220" spans="24:33" x14ac:dyDescent="0.3">
      <c r="X220" t="str">
        <f>IFERROR(INDEX(GERAL[PONTO],187),"")</f>
        <v/>
      </c>
      <c r="Y220" t="str">
        <f>IF(X220="","",IFERROR(INDEX(GERAL[ACUMULADA],187),0))</f>
        <v/>
      </c>
      <c r="Z220" t="str">
        <f t="shared" si="71"/>
        <v/>
      </c>
      <c r="AA220" t="str">
        <f t="shared" si="72"/>
        <v/>
      </c>
      <c r="AB220" t="str">
        <f t="shared" si="73"/>
        <v/>
      </c>
      <c r="AC220" t="str">
        <f>IF(X220="","",IFERROR(INDEX(DIR_ATUAL[QT %],MATCH(X220,DIR_ATUAL[PONTO],0)),0))</f>
        <v/>
      </c>
      <c r="AD220" t="str">
        <f t="shared" si="74"/>
        <v/>
      </c>
      <c r="AE220" t="str">
        <f>IF(X220="","",IF($E$9&gt;$E$8,IFERROR((INDEX(GERAL[SNAP],187)-$E$8)/($E$9-$E$8),0),0))</f>
        <v/>
      </c>
      <c r="AF220" t="str">
        <f t="shared" si="75"/>
        <v/>
      </c>
      <c r="AG220" t="str">
        <f>IFERROR(INDEX(GERAL[LADO],187),"")</f>
        <v/>
      </c>
    </row>
  </sheetData>
  <conditionalFormatting sqref="J14:J2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4:J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2"/>
  <dimension ref="A1:AF78"/>
  <sheetViews>
    <sheetView tabSelected="1" topLeftCell="A14" zoomScaleNormal="100" workbookViewId="0">
      <selection activeCell="A14" sqref="A1:XFD1048576"/>
    </sheetView>
  </sheetViews>
  <sheetFormatPr defaultColWidth="12.21875" defaultRowHeight="14.4" x14ac:dyDescent="0.3"/>
  <cols>
    <col min="1" max="1" width="11.88671875" customWidth="1"/>
    <col min="2" max="9" width="4.5546875" hidden="1" customWidth="1"/>
    <col min="10" max="11" width="5.5546875" hidden="1" customWidth="1"/>
    <col min="12" max="12" width="6.44140625" hidden="1" customWidth="1"/>
    <col min="13" max="13" width="9" customWidth="1"/>
    <col min="14" max="15" width="11" customWidth="1"/>
    <col min="16" max="16" width="9" customWidth="1"/>
    <col min="17" max="18" width="5.5546875" bestFit="1" customWidth="1"/>
    <col min="19" max="19" width="6.44140625" bestFit="1" customWidth="1"/>
    <col min="20" max="20" width="7" customWidth="1"/>
    <col min="21" max="21" width="9" customWidth="1"/>
    <col min="22" max="22" width="0" hidden="1" customWidth="1"/>
    <col min="23" max="23" width="19.109375" customWidth="1"/>
    <col min="24" max="24" width="12.21875" style="9" customWidth="1"/>
    <col min="25" max="25" width="16" style="9" customWidth="1"/>
    <col min="26" max="26" width="2.44140625" customWidth="1"/>
  </cols>
  <sheetData>
    <row r="1" spans="1:32" ht="16.2" hidden="1" customHeight="1" thickBot="1" x14ac:dyDescent="0.35">
      <c r="A1" s="219" t="s">
        <v>165</v>
      </c>
      <c r="B1" s="220"/>
      <c r="C1" s="220"/>
      <c r="D1" s="220"/>
      <c r="E1" s="220"/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1"/>
    </row>
    <row r="2" spans="1:32" ht="16.2" hidden="1" customHeight="1" thickBot="1" x14ac:dyDescent="0.35">
      <c r="A2" s="15" t="s">
        <v>166</v>
      </c>
      <c r="B2" s="224" t="s">
        <v>167</v>
      </c>
      <c r="C2" s="220"/>
      <c r="D2" s="220"/>
      <c r="E2" s="220"/>
      <c r="F2" s="220"/>
      <c r="G2" s="220"/>
      <c r="H2" s="220"/>
      <c r="I2" s="220"/>
      <c r="J2" s="220"/>
      <c r="K2" s="220"/>
      <c r="L2" s="225"/>
      <c r="M2" s="228" t="s">
        <v>168</v>
      </c>
      <c r="N2" s="220"/>
      <c r="O2" s="220"/>
      <c r="P2" s="220"/>
      <c r="Q2" s="220"/>
      <c r="R2" s="220"/>
      <c r="S2" s="220"/>
      <c r="T2" s="220"/>
      <c r="U2" s="221"/>
    </row>
    <row r="3" spans="1:32" hidden="1" x14ac:dyDescent="0.3">
      <c r="A3" s="222" t="s">
        <v>169</v>
      </c>
      <c r="B3" s="16">
        <v>5</v>
      </c>
      <c r="C3" s="17">
        <v>8</v>
      </c>
      <c r="D3" s="17">
        <v>13</v>
      </c>
      <c r="E3" s="17">
        <v>21</v>
      </c>
      <c r="F3" s="17">
        <v>33</v>
      </c>
      <c r="G3" s="17">
        <v>53</v>
      </c>
      <c r="H3" s="17">
        <v>67</v>
      </c>
      <c r="I3" s="17">
        <v>85</v>
      </c>
      <c r="J3" s="17">
        <v>107</v>
      </c>
      <c r="K3" s="17">
        <v>127</v>
      </c>
      <c r="L3" s="18">
        <v>253</v>
      </c>
      <c r="M3" s="19" t="s">
        <v>170</v>
      </c>
      <c r="N3" s="17" t="s">
        <v>171</v>
      </c>
      <c r="O3" s="17" t="s">
        <v>172</v>
      </c>
      <c r="P3" s="17" t="s">
        <v>173</v>
      </c>
      <c r="Q3" s="17" t="s">
        <v>174</v>
      </c>
      <c r="R3" s="17" t="s">
        <v>175</v>
      </c>
      <c r="S3" s="17" t="s">
        <v>176</v>
      </c>
      <c r="T3" s="17">
        <v>70</v>
      </c>
      <c r="U3" s="18">
        <v>185</v>
      </c>
    </row>
    <row r="4" spans="1:32" hidden="1" x14ac:dyDescent="0.3">
      <c r="A4" s="223"/>
      <c r="B4" s="20" t="s">
        <v>177</v>
      </c>
      <c r="C4" s="21" t="s">
        <v>177</v>
      </c>
      <c r="D4" s="21" t="s">
        <v>177</v>
      </c>
      <c r="E4" s="21" t="s">
        <v>177</v>
      </c>
      <c r="F4" s="21" t="s">
        <v>177</v>
      </c>
      <c r="G4" s="21" t="s">
        <v>177</v>
      </c>
      <c r="H4" s="21" t="s">
        <v>177</v>
      </c>
      <c r="I4" s="21" t="s">
        <v>177</v>
      </c>
      <c r="J4" s="21" t="s">
        <v>177</v>
      </c>
      <c r="K4" s="21" t="s">
        <v>177</v>
      </c>
      <c r="L4" s="22" t="s">
        <v>177</v>
      </c>
      <c r="M4" s="23" t="s">
        <v>178</v>
      </c>
      <c r="N4" s="21" t="s">
        <v>178</v>
      </c>
      <c r="O4" s="21" t="s">
        <v>178</v>
      </c>
      <c r="P4" s="21" t="s">
        <v>179</v>
      </c>
      <c r="Q4" s="21" t="s">
        <v>180</v>
      </c>
      <c r="R4" s="21" t="s">
        <v>181</v>
      </c>
      <c r="S4" s="21" t="s">
        <v>182</v>
      </c>
      <c r="T4" s="21" t="s">
        <v>183</v>
      </c>
      <c r="U4" s="22" t="s">
        <v>183</v>
      </c>
    </row>
    <row r="5" spans="1:32" ht="14.4" hidden="1" customHeight="1" thickBot="1" x14ac:dyDescent="0.35">
      <c r="A5" s="24" t="s">
        <v>184</v>
      </c>
      <c r="B5" s="25">
        <v>66</v>
      </c>
      <c r="C5" s="26">
        <v>88</v>
      </c>
      <c r="D5" s="26">
        <v>116</v>
      </c>
      <c r="E5" s="26">
        <v>151</v>
      </c>
      <c r="F5" s="26">
        <v>205</v>
      </c>
      <c r="G5" s="26">
        <v>272</v>
      </c>
      <c r="H5" s="26">
        <v>313</v>
      </c>
      <c r="I5" s="26">
        <v>366</v>
      </c>
      <c r="J5" s="26">
        <v>418</v>
      </c>
      <c r="K5" s="26">
        <v>466</v>
      </c>
      <c r="L5" s="27">
        <v>710</v>
      </c>
      <c r="M5" s="28">
        <v>78</v>
      </c>
      <c r="N5" s="26">
        <v>80</v>
      </c>
      <c r="O5" s="26">
        <v>72</v>
      </c>
      <c r="P5" s="26">
        <v>95</v>
      </c>
      <c r="Q5" s="26">
        <v>165</v>
      </c>
      <c r="R5" s="26">
        <v>220</v>
      </c>
      <c r="S5" s="26">
        <v>254</v>
      </c>
      <c r="T5" s="26">
        <v>227</v>
      </c>
      <c r="U5" s="27">
        <v>423</v>
      </c>
    </row>
    <row r="6" spans="1:32" ht="14.4" hidden="1" customHeight="1" thickBot="1" x14ac:dyDescent="0.35"/>
    <row r="7" spans="1:32" hidden="1" x14ac:dyDescent="0.3">
      <c r="A7" s="226" t="s">
        <v>185</v>
      </c>
      <c r="B7" s="29">
        <v>33</v>
      </c>
      <c r="C7" s="29">
        <v>33</v>
      </c>
      <c r="D7" s="29">
        <v>53</v>
      </c>
      <c r="E7" s="29">
        <v>53</v>
      </c>
      <c r="F7" s="29">
        <v>107</v>
      </c>
      <c r="G7" s="29">
        <v>107</v>
      </c>
      <c r="H7" s="29">
        <v>201</v>
      </c>
      <c r="I7" s="29">
        <v>201</v>
      </c>
      <c r="J7" s="29" t="s">
        <v>174</v>
      </c>
      <c r="K7" s="29" t="s">
        <v>175</v>
      </c>
      <c r="L7" s="29" t="s">
        <v>176</v>
      </c>
      <c r="M7" s="29">
        <v>70</v>
      </c>
      <c r="N7" s="30">
        <v>185</v>
      </c>
    </row>
    <row r="8" spans="1:32" ht="14.4" hidden="1" customHeight="1" thickBot="1" x14ac:dyDescent="0.35">
      <c r="A8" s="227"/>
      <c r="B8" s="31" t="s">
        <v>186</v>
      </c>
      <c r="C8" s="31" t="s">
        <v>187</v>
      </c>
      <c r="D8" s="31" t="s">
        <v>186</v>
      </c>
      <c r="E8" s="31" t="s">
        <v>187</v>
      </c>
      <c r="F8" s="31" t="s">
        <v>188</v>
      </c>
      <c r="G8" s="31" t="s">
        <v>187</v>
      </c>
      <c r="H8" s="31" t="s">
        <v>188</v>
      </c>
      <c r="I8" s="31" t="s">
        <v>187</v>
      </c>
      <c r="J8" s="31" t="s">
        <v>180</v>
      </c>
      <c r="K8" s="31" t="s">
        <v>181</v>
      </c>
      <c r="L8" s="31" t="s">
        <v>182</v>
      </c>
      <c r="M8" s="31" t="s">
        <v>183</v>
      </c>
      <c r="N8" s="32" t="s">
        <v>183</v>
      </c>
    </row>
    <row r="9" spans="1:32" hidden="1" x14ac:dyDescent="0.3">
      <c r="A9" s="20" t="s">
        <v>189</v>
      </c>
      <c r="B9" s="33">
        <v>1.0903</v>
      </c>
      <c r="C9" s="33">
        <v>1.0254000000000001</v>
      </c>
      <c r="D9" s="33">
        <v>0.70589999999999997</v>
      </c>
      <c r="E9" s="33">
        <v>0.64559999999999995</v>
      </c>
      <c r="F9" s="33">
        <v>0.32250000000000001</v>
      </c>
      <c r="G9" s="33">
        <v>0.32250000000000001</v>
      </c>
      <c r="H9" s="33">
        <v>0.1731</v>
      </c>
      <c r="I9" s="33">
        <v>0.1731</v>
      </c>
      <c r="J9" s="33">
        <v>0.66410000000000002</v>
      </c>
      <c r="K9" s="33">
        <v>0.41799999999999998</v>
      </c>
      <c r="L9" s="33">
        <v>0.33129999999999998</v>
      </c>
      <c r="M9" s="33">
        <v>0.56969999999999998</v>
      </c>
      <c r="N9" s="34">
        <v>0.21490000000000001</v>
      </c>
    </row>
    <row r="10" spans="1:32" hidden="1" x14ac:dyDescent="0.3">
      <c r="A10" s="35" t="s">
        <v>190</v>
      </c>
      <c r="B10" s="36">
        <v>0.40339999999999998</v>
      </c>
      <c r="C10" s="36">
        <v>0.34189999999999998</v>
      </c>
      <c r="D10" s="36">
        <v>0.3705</v>
      </c>
      <c r="E10" s="36">
        <v>0.32350000000000001</v>
      </c>
      <c r="F10" s="36">
        <v>0.29680000000000001</v>
      </c>
      <c r="G10" s="36">
        <v>0.29680000000000001</v>
      </c>
      <c r="H10" s="36">
        <v>0.26860000000000001</v>
      </c>
      <c r="I10" s="36">
        <v>0.26860000000000001</v>
      </c>
      <c r="J10" s="36">
        <v>0.13109999999999999</v>
      </c>
      <c r="K10" s="36">
        <v>0.12790000000000001</v>
      </c>
      <c r="L10" s="36">
        <v>0.129</v>
      </c>
      <c r="M10" s="36">
        <v>0.126</v>
      </c>
      <c r="N10" s="37">
        <v>0.1178</v>
      </c>
    </row>
    <row r="11" spans="1:32" hidden="1" x14ac:dyDescent="0.3">
      <c r="A11" s="35" t="s">
        <v>191</v>
      </c>
      <c r="B11" s="36">
        <f t="shared" ref="B11:N11" si="0">B9*0.85+B10*0.5268</f>
        <v>1.13926612</v>
      </c>
      <c r="C11" s="36">
        <f t="shared" si="0"/>
        <v>1.0517029200000001</v>
      </c>
      <c r="D11" s="36">
        <f t="shared" si="0"/>
        <v>0.79519439999999997</v>
      </c>
      <c r="E11" s="36">
        <f t="shared" si="0"/>
        <v>0.71917979999999992</v>
      </c>
      <c r="F11" s="36">
        <f t="shared" si="0"/>
        <v>0.43047924000000004</v>
      </c>
      <c r="G11" s="36">
        <f t="shared" si="0"/>
        <v>0.43047924000000004</v>
      </c>
      <c r="H11" s="36">
        <f t="shared" si="0"/>
        <v>0.28863348</v>
      </c>
      <c r="I11" s="36">
        <f t="shared" si="0"/>
        <v>0.28863348</v>
      </c>
      <c r="J11" s="36">
        <f t="shared" si="0"/>
        <v>0.63354847999999997</v>
      </c>
      <c r="K11" s="36">
        <f t="shared" si="0"/>
        <v>0.42267771999999998</v>
      </c>
      <c r="L11" s="36">
        <f t="shared" si="0"/>
        <v>0.34956219999999999</v>
      </c>
      <c r="M11" s="36">
        <f t="shared" si="0"/>
        <v>0.55062179999999994</v>
      </c>
      <c r="N11" s="37">
        <f t="shared" si="0"/>
        <v>0.24472204</v>
      </c>
    </row>
    <row r="12" spans="1:32" hidden="1" x14ac:dyDescent="0.3">
      <c r="A12" s="35" t="s">
        <v>192</v>
      </c>
      <c r="B12" s="36">
        <f t="shared" ref="B12:N12" si="1">B9*0.95+B10*0.3122</f>
        <v>1.16172648</v>
      </c>
      <c r="C12" s="36">
        <f t="shared" si="1"/>
        <v>1.0808711799999999</v>
      </c>
      <c r="D12" s="36">
        <f t="shared" si="1"/>
        <v>0.78627509999999989</v>
      </c>
      <c r="E12" s="36">
        <f t="shared" si="1"/>
        <v>0.71431669999999992</v>
      </c>
      <c r="F12" s="36">
        <f t="shared" si="1"/>
        <v>0.39903596000000002</v>
      </c>
      <c r="G12" s="36">
        <f t="shared" si="1"/>
        <v>0.39903596000000002</v>
      </c>
      <c r="H12" s="36">
        <f t="shared" si="1"/>
        <v>0.24830192000000001</v>
      </c>
      <c r="I12" s="36">
        <f t="shared" si="1"/>
        <v>0.24830192000000001</v>
      </c>
      <c r="J12" s="36">
        <f t="shared" si="1"/>
        <v>0.67182441999999998</v>
      </c>
      <c r="K12" s="36">
        <f t="shared" si="1"/>
        <v>0.43703037999999994</v>
      </c>
      <c r="L12" s="36">
        <f t="shared" si="1"/>
        <v>0.35500880000000001</v>
      </c>
      <c r="M12" s="36">
        <f t="shared" si="1"/>
        <v>0.58055219999999996</v>
      </c>
      <c r="N12" s="37">
        <f t="shared" si="1"/>
        <v>0.24093216000000001</v>
      </c>
    </row>
    <row r="13" spans="1:32" ht="14.4" hidden="1" customHeight="1" thickBot="1" x14ac:dyDescent="0.35">
      <c r="A13" s="38" t="s">
        <v>193</v>
      </c>
      <c r="B13" s="39">
        <f t="shared" ref="B13:N13" si="2">B9*0.9+B10*0.4359</f>
        <v>1.15711206</v>
      </c>
      <c r="C13" s="39">
        <f t="shared" si="2"/>
        <v>1.0718942100000002</v>
      </c>
      <c r="D13" s="39">
        <f t="shared" si="2"/>
        <v>0.79681095000000002</v>
      </c>
      <c r="E13" s="39">
        <f t="shared" si="2"/>
        <v>0.72205364999999999</v>
      </c>
      <c r="F13" s="39">
        <f t="shared" si="2"/>
        <v>0.41962512000000002</v>
      </c>
      <c r="G13" s="39">
        <f t="shared" si="2"/>
        <v>0.41962512000000002</v>
      </c>
      <c r="H13" s="39">
        <f t="shared" si="2"/>
        <v>0.27287274</v>
      </c>
      <c r="I13" s="39">
        <f t="shared" si="2"/>
        <v>0.27287274</v>
      </c>
      <c r="J13" s="39">
        <f t="shared" si="2"/>
        <v>0.6548364900000001</v>
      </c>
      <c r="K13" s="39">
        <f t="shared" si="2"/>
        <v>0.43195160999999999</v>
      </c>
      <c r="L13" s="39">
        <f t="shared" si="2"/>
        <v>0.35440110000000002</v>
      </c>
      <c r="M13" s="39">
        <f t="shared" si="2"/>
        <v>0.56765339999999997</v>
      </c>
      <c r="N13" s="40">
        <f t="shared" si="2"/>
        <v>0.24475901999999999</v>
      </c>
    </row>
    <row r="14" spans="1:32" ht="14.4" customHeight="1" thickBot="1" x14ac:dyDescent="0.35">
      <c r="M14" s="9" t="s">
        <v>194</v>
      </c>
      <c r="N14" s="9" t="s">
        <v>195</v>
      </c>
      <c r="O14" s="9" t="s">
        <v>196</v>
      </c>
    </row>
    <row r="15" spans="1:32" ht="16.2" customHeight="1" thickBot="1" x14ac:dyDescent="0.35">
      <c r="A15" s="229" t="s">
        <v>197</v>
      </c>
      <c r="B15" s="230"/>
      <c r="C15" s="230"/>
      <c r="D15" s="230"/>
      <c r="E15" s="230"/>
      <c r="F15" s="230"/>
      <c r="G15" s="230"/>
      <c r="H15" s="230"/>
      <c r="I15" s="230"/>
      <c r="J15" s="230"/>
      <c r="K15" s="230"/>
      <c r="L15" s="230"/>
      <c r="M15" s="230"/>
      <c r="N15" s="230"/>
      <c r="O15" s="230"/>
      <c r="P15" s="230"/>
      <c r="Q15" s="230"/>
      <c r="R15" s="230"/>
      <c r="S15" s="230"/>
      <c r="T15" s="230"/>
      <c r="U15" s="230"/>
      <c r="W15" s="161" t="s">
        <v>259</v>
      </c>
      <c r="X15" s="161" t="s">
        <v>257</v>
      </c>
      <c r="Y15" s="208" t="s">
        <v>198</v>
      </c>
      <c r="AA15" s="210" t="s">
        <v>199</v>
      </c>
      <c r="AB15" s="207"/>
      <c r="AC15" s="210" t="s">
        <v>200</v>
      </c>
      <c r="AD15" s="207"/>
      <c r="AE15" s="210" t="s">
        <v>201</v>
      </c>
      <c r="AF15" s="207"/>
    </row>
    <row r="16" spans="1:32" ht="14.4" customHeight="1" thickBot="1" x14ac:dyDescent="0.35">
      <c r="A16" s="155"/>
      <c r="B16" s="41">
        <v>5</v>
      </c>
      <c r="C16" s="29">
        <v>8</v>
      </c>
      <c r="D16" s="29">
        <v>13</v>
      </c>
      <c r="E16" s="29">
        <v>21</v>
      </c>
      <c r="F16" s="29">
        <v>33</v>
      </c>
      <c r="G16" s="29">
        <v>53</v>
      </c>
      <c r="H16" s="29">
        <v>67</v>
      </c>
      <c r="I16" s="29">
        <v>85</v>
      </c>
      <c r="J16" s="29">
        <v>107</v>
      </c>
      <c r="K16" s="29">
        <v>127</v>
      </c>
      <c r="L16" s="29">
        <v>253</v>
      </c>
      <c r="M16" s="29" t="s">
        <v>170</v>
      </c>
      <c r="N16" s="29" t="s">
        <v>171</v>
      </c>
      <c r="O16" s="29" t="s">
        <v>172</v>
      </c>
      <c r="P16" s="29" t="s">
        <v>173</v>
      </c>
      <c r="Q16" s="29" t="s">
        <v>174</v>
      </c>
      <c r="R16" s="29" t="s">
        <v>175</v>
      </c>
      <c r="S16" s="42" t="s">
        <v>176</v>
      </c>
      <c r="T16" s="29">
        <v>70</v>
      </c>
      <c r="U16" s="30">
        <v>185</v>
      </c>
      <c r="V16" s="44" t="s">
        <v>203</v>
      </c>
      <c r="W16" s="49">
        <f>SUM(V18:V77)</f>
        <v>3672</v>
      </c>
      <c r="X16" s="9">
        <f>SUM(X18:X77)</f>
        <v>51</v>
      </c>
      <c r="Y16" s="209"/>
      <c r="AA16" s="211"/>
      <c r="AB16" s="212"/>
      <c r="AC16" s="211"/>
      <c r="AD16" s="212"/>
      <c r="AE16" s="211"/>
      <c r="AF16" s="212"/>
    </row>
    <row r="17" spans="1:32" ht="20.399999999999999" customHeight="1" x14ac:dyDescent="0.3">
      <c r="A17" s="156" t="s">
        <v>202</v>
      </c>
      <c r="B17" s="46" t="s">
        <v>177</v>
      </c>
      <c r="C17" s="47" t="s">
        <v>243</v>
      </c>
      <c r="D17" s="47" t="s">
        <v>244</v>
      </c>
      <c r="E17" s="47" t="s">
        <v>245</v>
      </c>
      <c r="F17" s="47" t="s">
        <v>246</v>
      </c>
      <c r="G17" s="47" t="s">
        <v>247</v>
      </c>
      <c r="H17" s="47" t="s">
        <v>248</v>
      </c>
      <c r="I17" s="47" t="s">
        <v>249</v>
      </c>
      <c r="J17" s="47" t="s">
        <v>250</v>
      </c>
      <c r="K17" s="47" t="s">
        <v>251</v>
      </c>
      <c r="L17" s="47" t="s">
        <v>252</v>
      </c>
      <c r="M17" s="47" t="s">
        <v>178</v>
      </c>
      <c r="N17" s="47" t="s">
        <v>253</v>
      </c>
      <c r="O17" s="47" t="s">
        <v>254</v>
      </c>
      <c r="P17" s="47" t="s">
        <v>179</v>
      </c>
      <c r="Q17" s="47" t="s">
        <v>180</v>
      </c>
      <c r="R17" s="47" t="s">
        <v>181</v>
      </c>
      <c r="S17" s="44" t="s">
        <v>182</v>
      </c>
      <c r="T17" s="47" t="s">
        <v>183</v>
      </c>
      <c r="U17" s="48" t="s">
        <v>255</v>
      </c>
      <c r="V17" s="44" t="s">
        <v>204</v>
      </c>
      <c r="W17" s="45" t="s">
        <v>256</v>
      </c>
      <c r="X17" s="45" t="s">
        <v>205</v>
      </c>
      <c r="Y17" s="45" t="s">
        <v>258</v>
      </c>
      <c r="AA17" s="206" t="s">
        <v>206</v>
      </c>
      <c r="AB17" s="207"/>
      <c r="AC17" s="206" t="s">
        <v>206</v>
      </c>
      <c r="AD17" s="207"/>
      <c r="AE17" s="206" t="s">
        <v>206</v>
      </c>
      <c r="AF17" s="207"/>
    </row>
    <row r="18" spans="1:32" ht="14.4" customHeight="1" thickBot="1" x14ac:dyDescent="0.35">
      <c r="A18" s="157">
        <v>1</v>
      </c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51"/>
      <c r="N18" s="51"/>
      <c r="O18" s="51">
        <v>0</v>
      </c>
      <c r="P18" s="51"/>
      <c r="Q18" s="51"/>
      <c r="R18" s="51"/>
      <c r="S18" s="51"/>
      <c r="T18" s="51"/>
      <c r="U18" s="51"/>
      <c r="V18" s="49">
        <f t="shared" ref="V18:V49" si="3">B18*$B$5+C18*$C$5+D18*$D$5+E18*$E$5+F18*$F$5+G18*$G$5+H18*$H$5+I18*$I$5+J18*$J$5+K18*$K$5+L18*$L$5+M18*$M$5+N18*$N$5+O18*$O$5+P18*$P$5+Q18*$Q$5+R18*$R$5+S18*$S$5+T18*$T$5+U18*$U$5</f>
        <v>0</v>
      </c>
      <c r="W18" s="92">
        <f t="shared" ref="W18:W49" si="4">IFERROR($AA$24*(V18/($W$16)),0)</f>
        <v>0</v>
      </c>
      <c r="X18" s="90">
        <f t="shared" ref="X18:X49" si="5">SUM(B18:U18)</f>
        <v>0</v>
      </c>
      <c r="Y18" s="92">
        <f t="shared" ref="Y18:Y49" si="6">IFERROR(VLOOKUP(X18,AUX_CLAN,4,),0)</f>
        <v>0</v>
      </c>
      <c r="AA18" s="217">
        <v>459.99999999999977</v>
      </c>
      <c r="AB18" s="218"/>
      <c r="AC18" s="202">
        <f>AC20/0.375</f>
        <v>159.92355555555557</v>
      </c>
      <c r="AD18" s="203"/>
      <c r="AE18" s="202" t="e">
        <f>AE20/0.375</f>
        <v>#VALUE!</v>
      </c>
      <c r="AF18" s="203"/>
    </row>
    <row r="19" spans="1:32" x14ac:dyDescent="0.3">
      <c r="A19" s="157">
        <v>2</v>
      </c>
      <c r="B19" s="43"/>
      <c r="C19" s="43"/>
      <c r="D19" s="43"/>
      <c r="E19" s="43"/>
      <c r="F19" s="43"/>
      <c r="G19" s="43"/>
      <c r="H19" s="43"/>
      <c r="I19" s="43"/>
      <c r="J19" s="43"/>
      <c r="K19" s="43"/>
      <c r="L19" s="43"/>
      <c r="M19" s="51"/>
      <c r="N19" s="51"/>
      <c r="O19" s="51">
        <v>0</v>
      </c>
      <c r="P19" s="51"/>
      <c r="Q19" s="51"/>
      <c r="R19" s="51"/>
      <c r="S19" s="51"/>
      <c r="T19" s="51"/>
      <c r="U19" s="51"/>
      <c r="V19" s="49">
        <f t="shared" si="3"/>
        <v>0</v>
      </c>
      <c r="W19" s="92">
        <f t="shared" si="4"/>
        <v>0</v>
      </c>
      <c r="X19" s="90">
        <f t="shared" si="5"/>
        <v>0</v>
      </c>
      <c r="Y19" s="92">
        <f t="shared" si="6"/>
        <v>0</v>
      </c>
      <c r="AA19" s="206" t="s">
        <v>207</v>
      </c>
      <c r="AB19" s="207"/>
      <c r="AC19" s="206" t="s">
        <v>207</v>
      </c>
      <c r="AD19" s="207"/>
      <c r="AE19" s="215" t="s">
        <v>207</v>
      </c>
      <c r="AF19" s="216"/>
    </row>
    <row r="20" spans="1:32" ht="14.4" customHeight="1" thickBot="1" x14ac:dyDescent="0.35">
      <c r="A20" s="157">
        <v>3</v>
      </c>
      <c r="B20" s="43"/>
      <c r="C20" s="43"/>
      <c r="D20" s="43"/>
      <c r="E20" s="43"/>
      <c r="F20" s="43"/>
      <c r="G20" s="43"/>
      <c r="H20" s="43"/>
      <c r="I20" s="43"/>
      <c r="J20" s="43"/>
      <c r="K20" s="43"/>
      <c r="L20" s="43"/>
      <c r="M20" s="51"/>
      <c r="N20" s="51"/>
      <c r="O20" s="51">
        <v>2</v>
      </c>
      <c r="P20" s="51"/>
      <c r="Q20" s="51"/>
      <c r="R20" s="51"/>
      <c r="S20" s="51"/>
      <c r="T20" s="51"/>
      <c r="U20" s="51"/>
      <c r="V20" s="49">
        <f t="shared" si="3"/>
        <v>144</v>
      </c>
      <c r="W20" s="92">
        <f t="shared" si="4"/>
        <v>8.1176470588235254</v>
      </c>
      <c r="X20" s="90">
        <f t="shared" si="5"/>
        <v>2</v>
      </c>
      <c r="Y20" s="92">
        <f t="shared" si="6"/>
        <v>11.0192</v>
      </c>
      <c r="AA20" s="204">
        <f>IF(AA18="","",AA18*0.375)</f>
        <v>172.49999999999991</v>
      </c>
      <c r="AB20" s="205"/>
      <c r="AC20" s="204">
        <f>AC24/AC22</f>
        <v>59.971333333333334</v>
      </c>
      <c r="AD20" s="205"/>
      <c r="AE20" s="204" t="e">
        <f>AE24/AE22</f>
        <v>#VALUE!</v>
      </c>
      <c r="AF20" s="205"/>
    </row>
    <row r="21" spans="1:32" x14ac:dyDescent="0.3">
      <c r="A21" s="157">
        <v>4</v>
      </c>
      <c r="B21" s="43"/>
      <c r="C21" s="43"/>
      <c r="D21" s="43"/>
      <c r="E21" s="43"/>
      <c r="F21" s="43"/>
      <c r="G21" s="43"/>
      <c r="H21" s="43"/>
      <c r="I21" s="43"/>
      <c r="J21" s="43"/>
      <c r="K21" s="43"/>
      <c r="L21" s="43"/>
      <c r="M21" s="51"/>
      <c r="N21" s="51"/>
      <c r="O21" s="51">
        <v>4</v>
      </c>
      <c r="P21" s="51"/>
      <c r="Q21" s="51"/>
      <c r="R21" s="51"/>
      <c r="S21" s="51"/>
      <c r="T21" s="51"/>
      <c r="U21" s="51"/>
      <c r="V21" s="49">
        <f t="shared" si="3"/>
        <v>288</v>
      </c>
      <c r="W21" s="92">
        <f t="shared" si="4"/>
        <v>16.235294117647051</v>
      </c>
      <c r="X21" s="90">
        <f t="shared" si="5"/>
        <v>4</v>
      </c>
      <c r="Y21" s="92">
        <f t="shared" si="6"/>
        <v>11.0192</v>
      </c>
      <c r="AA21" s="206" t="s">
        <v>208</v>
      </c>
      <c r="AB21" s="207"/>
      <c r="AC21" s="206" t="s">
        <v>208</v>
      </c>
      <c r="AD21" s="207"/>
      <c r="AE21" s="206" t="s">
        <v>208</v>
      </c>
      <c r="AF21" s="207"/>
    </row>
    <row r="22" spans="1:32" ht="14.4" customHeight="1" thickBot="1" x14ac:dyDescent="0.35">
      <c r="A22" s="157">
        <v>5</v>
      </c>
      <c r="B22" s="43"/>
      <c r="C22" s="43"/>
      <c r="D22" s="43"/>
      <c r="E22" s="43"/>
      <c r="F22" s="43"/>
      <c r="G22" s="43"/>
      <c r="H22" s="43"/>
      <c r="I22" s="43"/>
      <c r="J22" s="43"/>
      <c r="K22" s="43"/>
      <c r="L22" s="43"/>
      <c r="M22" s="51"/>
      <c r="N22" s="51"/>
      <c r="O22" s="51">
        <v>3</v>
      </c>
      <c r="P22" s="51"/>
      <c r="Q22" s="51"/>
      <c r="R22" s="51"/>
      <c r="S22" s="51"/>
      <c r="T22" s="51"/>
      <c r="U22" s="51"/>
      <c r="V22" s="49">
        <f t="shared" si="3"/>
        <v>216</v>
      </c>
      <c r="W22" s="92">
        <f t="shared" si="4"/>
        <v>12.176470588235286</v>
      </c>
      <c r="X22" s="90">
        <f t="shared" si="5"/>
        <v>3</v>
      </c>
      <c r="Y22" s="92">
        <f t="shared" si="6"/>
        <v>11.0192</v>
      </c>
      <c r="AA22" s="217">
        <v>1.2</v>
      </c>
      <c r="AB22" s="218"/>
      <c r="AC22" s="202">
        <f>AA22</f>
        <v>1.2</v>
      </c>
      <c r="AD22" s="203"/>
      <c r="AE22" s="202">
        <f>AA22</f>
        <v>1.2</v>
      </c>
      <c r="AF22" s="203"/>
    </row>
    <row r="23" spans="1:32" ht="14.4" customHeight="1" x14ac:dyDescent="0.3">
      <c r="A23" s="157">
        <v>6</v>
      </c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51"/>
      <c r="N23" s="51"/>
      <c r="O23" s="51">
        <v>1</v>
      </c>
      <c r="P23" s="51"/>
      <c r="Q23" s="51"/>
      <c r="R23" s="51"/>
      <c r="S23" s="51"/>
      <c r="T23" s="51"/>
      <c r="U23" s="51"/>
      <c r="V23" s="49">
        <f t="shared" si="3"/>
        <v>72</v>
      </c>
      <c r="W23" s="92">
        <f t="shared" si="4"/>
        <v>4.0588235294117627</v>
      </c>
      <c r="X23" s="90">
        <f t="shared" si="5"/>
        <v>1</v>
      </c>
      <c r="Y23" s="92">
        <f t="shared" si="6"/>
        <v>11.0192</v>
      </c>
      <c r="AA23" s="206" t="s">
        <v>209</v>
      </c>
      <c r="AB23" s="207"/>
      <c r="AC23" s="206" t="s">
        <v>209</v>
      </c>
      <c r="AD23" s="207"/>
      <c r="AE23" s="206" t="s">
        <v>209</v>
      </c>
      <c r="AF23" s="207"/>
    </row>
    <row r="24" spans="1:32" ht="14.4" customHeight="1" thickBot="1" x14ac:dyDescent="0.35">
      <c r="A24" s="157">
        <v>7</v>
      </c>
      <c r="B24" s="43"/>
      <c r="C24" s="43"/>
      <c r="D24" s="43"/>
      <c r="E24" s="43"/>
      <c r="F24" s="43"/>
      <c r="G24" s="43"/>
      <c r="H24" s="43"/>
      <c r="I24" s="43"/>
      <c r="J24" s="43"/>
      <c r="K24" s="43"/>
      <c r="L24" s="43"/>
      <c r="M24" s="51"/>
      <c r="N24" s="51"/>
      <c r="O24" s="51">
        <v>3</v>
      </c>
      <c r="P24" s="51"/>
      <c r="Q24" s="51"/>
      <c r="R24" s="51"/>
      <c r="S24" s="51"/>
      <c r="T24" s="51"/>
      <c r="U24" s="51"/>
      <c r="V24" s="49">
        <f t="shared" si="3"/>
        <v>216</v>
      </c>
      <c r="W24" s="92">
        <f t="shared" si="4"/>
        <v>12.176470588235286</v>
      </c>
      <c r="X24" s="90">
        <f t="shared" si="5"/>
        <v>3</v>
      </c>
      <c r="Y24" s="92">
        <f t="shared" si="6"/>
        <v>11.0192</v>
      </c>
      <c r="AA24" s="204">
        <f>IF($AA$22="","",$AA$22*AA$20)</f>
        <v>206.99999999999989</v>
      </c>
      <c r="AB24" s="205"/>
      <c r="AC24" s="204">
        <f>'GERAL PROJ'!I9</f>
        <v>71.965599999999995</v>
      </c>
      <c r="AD24" s="205"/>
      <c r="AE24" s="204" t="str">
        <f>'GERAL PROJ2'!$I$9</f>
        <v/>
      </c>
      <c r="AF24" s="205"/>
    </row>
    <row r="25" spans="1:32" x14ac:dyDescent="0.3">
      <c r="A25" s="157">
        <v>8</v>
      </c>
      <c r="B25" s="43"/>
      <c r="C25" s="43"/>
      <c r="D25" s="43"/>
      <c r="E25" s="43"/>
      <c r="F25" s="43"/>
      <c r="G25" s="43"/>
      <c r="H25" s="43"/>
      <c r="I25" s="43"/>
      <c r="J25" s="43"/>
      <c r="K25" s="43"/>
      <c r="L25" s="43"/>
      <c r="M25" s="51"/>
      <c r="N25" s="51"/>
      <c r="O25" s="51">
        <v>7</v>
      </c>
      <c r="P25" s="51"/>
      <c r="Q25" s="51"/>
      <c r="R25" s="51"/>
      <c r="S25" s="51"/>
      <c r="T25" s="51"/>
      <c r="U25" s="51"/>
      <c r="V25" s="49">
        <f t="shared" si="3"/>
        <v>504</v>
      </c>
      <c r="W25" s="92">
        <f t="shared" si="4"/>
        <v>28.411764705882341</v>
      </c>
      <c r="X25" s="90">
        <f t="shared" si="5"/>
        <v>7</v>
      </c>
      <c r="Y25" s="92">
        <f t="shared" si="6"/>
        <v>19.198399999999999</v>
      </c>
      <c r="AA25" s="206" t="s">
        <v>210</v>
      </c>
      <c r="AB25" s="207"/>
      <c r="AC25" s="206" t="s">
        <v>210</v>
      </c>
      <c r="AD25" s="207"/>
      <c r="AE25" s="206" t="s">
        <v>210</v>
      </c>
      <c r="AF25" s="207"/>
    </row>
    <row r="26" spans="1:32" ht="14.4" customHeight="1" thickBot="1" x14ac:dyDescent="0.35">
      <c r="A26" s="157">
        <v>9</v>
      </c>
      <c r="B26" s="43"/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51"/>
      <c r="N26" s="51"/>
      <c r="O26" s="51">
        <v>4</v>
      </c>
      <c r="P26" s="51"/>
      <c r="Q26" s="51"/>
      <c r="R26" s="51"/>
      <c r="S26" s="51"/>
      <c r="T26" s="51"/>
      <c r="U26" s="51"/>
      <c r="V26" s="49">
        <f t="shared" si="3"/>
        <v>288</v>
      </c>
      <c r="W26" s="92">
        <f t="shared" si="4"/>
        <v>16.235294117647051</v>
      </c>
      <c r="X26" s="90">
        <f t="shared" si="5"/>
        <v>4</v>
      </c>
      <c r="Y26" s="92">
        <f t="shared" si="6"/>
        <v>11.0192</v>
      </c>
      <c r="AA26" s="204">
        <f>GERAL!O3</f>
        <v>225</v>
      </c>
      <c r="AB26" s="205"/>
      <c r="AC26" s="204">
        <f>'GERAL PROJ'!O3</f>
        <v>112.5</v>
      </c>
      <c r="AD26" s="205"/>
      <c r="AE26" s="204">
        <f>'GERAL PROJ2'!O3</f>
        <v>75</v>
      </c>
      <c r="AF26" s="205"/>
    </row>
    <row r="27" spans="1:32" x14ac:dyDescent="0.3">
      <c r="A27" s="157">
        <v>10</v>
      </c>
      <c r="B27" s="43"/>
      <c r="C27" s="43"/>
      <c r="D27" s="43"/>
      <c r="E27" s="43"/>
      <c r="F27" s="43"/>
      <c r="G27" s="43"/>
      <c r="H27" s="43"/>
      <c r="I27" s="43"/>
      <c r="J27" s="43"/>
      <c r="K27" s="43"/>
      <c r="L27" s="43"/>
      <c r="M27" s="51"/>
      <c r="N27" s="51"/>
      <c r="O27" s="51">
        <v>4</v>
      </c>
      <c r="P27" s="51"/>
      <c r="Q27" s="51"/>
      <c r="R27" s="51"/>
      <c r="S27" s="51"/>
      <c r="T27" s="51"/>
      <c r="U27" s="51"/>
      <c r="V27" s="49">
        <f t="shared" si="3"/>
        <v>288</v>
      </c>
      <c r="W27" s="92">
        <f t="shared" si="4"/>
        <v>16.235294117647051</v>
      </c>
      <c r="X27" s="90">
        <f t="shared" si="5"/>
        <v>4</v>
      </c>
      <c r="Y27" s="92">
        <f t="shared" si="6"/>
        <v>11.0192</v>
      </c>
      <c r="AA27" s="206" t="s">
        <v>211</v>
      </c>
      <c r="AB27" s="207"/>
      <c r="AC27" s="206" t="s">
        <v>211</v>
      </c>
      <c r="AD27" s="207"/>
      <c r="AE27" s="206" t="s">
        <v>211</v>
      </c>
      <c r="AF27" s="207"/>
    </row>
    <row r="28" spans="1:32" ht="14.4" customHeight="1" thickBot="1" x14ac:dyDescent="0.35">
      <c r="A28" s="157">
        <v>11</v>
      </c>
      <c r="B28" s="43"/>
      <c r="C28" s="43"/>
      <c r="D28" s="43"/>
      <c r="E28" s="43"/>
      <c r="F28" s="43"/>
      <c r="G28" s="43"/>
      <c r="H28" s="43"/>
      <c r="I28" s="43"/>
      <c r="J28" s="43"/>
      <c r="K28" s="43"/>
      <c r="L28" s="43"/>
      <c r="M28" s="51"/>
      <c r="N28" s="51"/>
      <c r="O28" s="51">
        <v>6</v>
      </c>
      <c r="P28" s="51"/>
      <c r="Q28" s="51"/>
      <c r="R28" s="51"/>
      <c r="S28" s="51"/>
      <c r="T28" s="51"/>
      <c r="U28" s="51"/>
      <c r="V28" s="49">
        <f t="shared" si="3"/>
        <v>432</v>
      </c>
      <c r="W28" s="92">
        <f t="shared" si="4"/>
        <v>24.352941176470573</v>
      </c>
      <c r="X28" s="90">
        <f t="shared" si="5"/>
        <v>6</v>
      </c>
      <c r="Y28" s="92">
        <f t="shared" si="6"/>
        <v>16.471999999999998</v>
      </c>
      <c r="AA28" s="214">
        <f>AA24/AA26</f>
        <v>0.91999999999999948</v>
      </c>
      <c r="AB28" s="205"/>
      <c r="AC28" s="214">
        <f>AC24/AC26</f>
        <v>0.63969422222222216</v>
      </c>
      <c r="AD28" s="205"/>
      <c r="AE28" s="214" t="e">
        <f>AE24/AE26</f>
        <v>#VALUE!</v>
      </c>
      <c r="AF28" s="205"/>
    </row>
    <row r="29" spans="1:32" x14ac:dyDescent="0.3">
      <c r="A29" s="157">
        <v>12</v>
      </c>
      <c r="B29" s="43"/>
      <c r="C29" s="43"/>
      <c r="D29" s="43"/>
      <c r="E29" s="43"/>
      <c r="F29" s="43"/>
      <c r="G29" s="43"/>
      <c r="H29" s="43"/>
      <c r="I29" s="43"/>
      <c r="J29" s="43"/>
      <c r="K29" s="43"/>
      <c r="L29" s="43"/>
      <c r="M29" s="51"/>
      <c r="N29" s="51"/>
      <c r="O29" s="51">
        <v>7</v>
      </c>
      <c r="P29" s="51"/>
      <c r="Q29" s="51"/>
      <c r="R29" s="51"/>
      <c r="S29" s="51"/>
      <c r="T29" s="162"/>
      <c r="U29" s="163"/>
      <c r="V29" s="49">
        <f t="shared" si="3"/>
        <v>504</v>
      </c>
      <c r="W29" s="92">
        <f t="shared" si="4"/>
        <v>28.411764705882341</v>
      </c>
      <c r="X29" s="90">
        <f t="shared" si="5"/>
        <v>7</v>
      </c>
      <c r="Y29" s="92">
        <f t="shared" si="6"/>
        <v>19.198399999999999</v>
      </c>
      <c r="AA29" s="206" t="s">
        <v>212</v>
      </c>
      <c r="AB29" s="207"/>
      <c r="AC29" s="206" t="s">
        <v>212</v>
      </c>
      <c r="AD29" s="207"/>
      <c r="AE29" s="206" t="s">
        <v>212</v>
      </c>
      <c r="AF29" s="207"/>
    </row>
    <row r="30" spans="1:32" ht="14.4" customHeight="1" thickBot="1" x14ac:dyDescent="0.35">
      <c r="A30" s="157">
        <v>13</v>
      </c>
      <c r="B30" s="43"/>
      <c r="C30" s="43"/>
      <c r="D30" s="43"/>
      <c r="E30" s="43"/>
      <c r="F30" s="43"/>
      <c r="G30" s="43"/>
      <c r="H30" s="43"/>
      <c r="I30" s="43"/>
      <c r="J30" s="43"/>
      <c r="K30" s="43"/>
      <c r="L30" s="43"/>
      <c r="M30" s="51"/>
      <c r="N30" s="51"/>
      <c r="O30" s="51">
        <v>3</v>
      </c>
      <c r="P30" s="51"/>
      <c r="Q30" s="51"/>
      <c r="R30" s="51"/>
      <c r="S30" s="51"/>
      <c r="T30" s="162"/>
      <c r="U30" s="163"/>
      <c r="V30" s="49">
        <f t="shared" si="3"/>
        <v>216</v>
      </c>
      <c r="W30" s="92">
        <f t="shared" si="4"/>
        <v>12.176470588235286</v>
      </c>
      <c r="X30" s="90">
        <f t="shared" si="5"/>
        <v>3</v>
      </c>
      <c r="Y30" s="92">
        <f t="shared" si="6"/>
        <v>11.0192</v>
      </c>
      <c r="AA30" s="213">
        <f>IF(GERAL!I2="SIM",RAMAL!$AB$35,AA$24/SUM($X$18:$X$77))</f>
        <v>2.84</v>
      </c>
      <c r="AB30" s="205"/>
      <c r="AC30" s="213">
        <f>IF(GERAL!K2="SIM",RAMAL!$AB$35,AC$24/'GERAL PROJ'!G9)</f>
        <v>2.1807757575757574</v>
      </c>
      <c r="AD30" s="205"/>
      <c r="AE30" s="213" t="e">
        <f>IF(GERAL!M2="SIM",RAMAL!$AB$35,AE$24/'GERAL PROJ2'!G9)</f>
        <v>#VALUE!</v>
      </c>
      <c r="AF30" s="205"/>
    </row>
    <row r="31" spans="1:32" ht="14.4" customHeight="1" thickBot="1" x14ac:dyDescent="0.35">
      <c r="A31" s="157">
        <v>14</v>
      </c>
      <c r="B31" s="43"/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51"/>
      <c r="N31" s="51"/>
      <c r="O31" s="51">
        <v>5</v>
      </c>
      <c r="P31" s="51"/>
      <c r="Q31" s="51"/>
      <c r="R31" s="51"/>
      <c r="S31" s="51"/>
      <c r="T31" s="162"/>
      <c r="U31" s="163"/>
      <c r="V31" s="49">
        <f t="shared" si="3"/>
        <v>360</v>
      </c>
      <c r="W31" s="92">
        <f t="shared" si="4"/>
        <v>20.294117647058812</v>
      </c>
      <c r="X31" s="90">
        <f t="shared" si="5"/>
        <v>5</v>
      </c>
      <c r="Y31" s="92">
        <f t="shared" si="6"/>
        <v>13.7456</v>
      </c>
    </row>
    <row r="32" spans="1:32" ht="14.4" customHeight="1" thickBot="1" x14ac:dyDescent="0.35">
      <c r="A32" s="157">
        <v>15</v>
      </c>
      <c r="B32" s="43"/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51"/>
      <c r="N32" s="51"/>
      <c r="O32" s="51">
        <v>2</v>
      </c>
      <c r="P32" s="51"/>
      <c r="Q32" s="51"/>
      <c r="R32" s="51"/>
      <c r="S32" s="51"/>
      <c r="T32" s="162"/>
      <c r="U32" s="163"/>
      <c r="V32" s="49">
        <f t="shared" si="3"/>
        <v>144</v>
      </c>
      <c r="W32" s="92">
        <f t="shared" si="4"/>
        <v>8.1176470588235254</v>
      </c>
      <c r="X32" s="90">
        <f t="shared" si="5"/>
        <v>2</v>
      </c>
      <c r="Y32" s="92">
        <f t="shared" si="6"/>
        <v>11.0192</v>
      </c>
      <c r="AA32" s="210" t="s">
        <v>213</v>
      </c>
      <c r="AB32" s="207"/>
    </row>
    <row r="33" spans="1:30" ht="14.4" customHeight="1" thickBot="1" x14ac:dyDescent="0.35">
      <c r="A33" s="157">
        <v>16</v>
      </c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51"/>
      <c r="N33" s="51"/>
      <c r="O33" s="51"/>
      <c r="P33" s="51"/>
      <c r="Q33" s="51"/>
      <c r="R33" s="51"/>
      <c r="S33" s="51"/>
      <c r="T33" s="162"/>
      <c r="U33" s="163"/>
      <c r="V33" s="49">
        <f t="shared" si="3"/>
        <v>0</v>
      </c>
      <c r="W33" s="92">
        <f t="shared" si="4"/>
        <v>0</v>
      </c>
      <c r="X33" s="90">
        <f t="shared" si="5"/>
        <v>0</v>
      </c>
      <c r="Y33" s="92">
        <f t="shared" si="6"/>
        <v>0</v>
      </c>
      <c r="AA33" s="211"/>
      <c r="AB33" s="212"/>
    </row>
    <row r="34" spans="1:30" ht="14.4" customHeight="1" x14ac:dyDescent="0.3">
      <c r="A34" s="157">
        <v>17</v>
      </c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51"/>
      <c r="N34" s="51"/>
      <c r="O34" s="51"/>
      <c r="P34" s="51"/>
      <c r="Q34" s="51"/>
      <c r="R34" s="51"/>
      <c r="S34" s="51"/>
      <c r="T34" s="162"/>
      <c r="U34" s="163"/>
      <c r="V34" s="49">
        <f t="shared" si="3"/>
        <v>0</v>
      </c>
      <c r="W34" s="92">
        <f t="shared" si="4"/>
        <v>0</v>
      </c>
      <c r="X34" s="90">
        <f t="shared" si="5"/>
        <v>0</v>
      </c>
      <c r="Y34" s="92">
        <f t="shared" si="6"/>
        <v>0</v>
      </c>
      <c r="AA34" s="44" t="s">
        <v>105</v>
      </c>
      <c r="AB34" s="79">
        <f>GERAL!L2</f>
        <v>79</v>
      </c>
    </row>
    <row r="35" spans="1:30" x14ac:dyDescent="0.3">
      <c r="A35" s="157">
        <v>18</v>
      </c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51"/>
      <c r="N35" s="51"/>
      <c r="O35" s="51"/>
      <c r="P35" s="51"/>
      <c r="Q35" s="51"/>
      <c r="R35" s="51"/>
      <c r="S35" s="51"/>
      <c r="T35" s="162"/>
      <c r="U35" s="163"/>
      <c r="V35" s="49">
        <f t="shared" si="3"/>
        <v>0</v>
      </c>
      <c r="W35" s="92">
        <f t="shared" si="4"/>
        <v>0</v>
      </c>
      <c r="X35" s="90">
        <f t="shared" si="5"/>
        <v>0</v>
      </c>
      <c r="Y35" s="92">
        <f t="shared" si="6"/>
        <v>0</v>
      </c>
      <c r="AA35" s="44" t="s">
        <v>214</v>
      </c>
      <c r="AB35" s="9">
        <f>VLOOKUP(AB34,TAB_CLAN_DMDI,2,0)</f>
        <v>2.84</v>
      </c>
    </row>
    <row r="36" spans="1:30" x14ac:dyDescent="0.3">
      <c r="A36" s="157">
        <v>19</v>
      </c>
      <c r="B36" s="43"/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51"/>
      <c r="N36" s="51"/>
      <c r="O36" s="51"/>
      <c r="P36" s="51"/>
      <c r="Q36" s="51"/>
      <c r="R36" s="51"/>
      <c r="S36" s="51"/>
      <c r="T36" s="162"/>
      <c r="U36" s="163"/>
      <c r="V36" s="49">
        <f t="shared" si="3"/>
        <v>0</v>
      </c>
      <c r="W36" s="92">
        <f t="shared" si="4"/>
        <v>0</v>
      </c>
      <c r="X36" s="90">
        <f t="shared" si="5"/>
        <v>0</v>
      </c>
      <c r="Y36" s="92">
        <f t="shared" si="6"/>
        <v>0</v>
      </c>
      <c r="AA36" s="44" t="s">
        <v>215</v>
      </c>
      <c r="AB36" s="9">
        <f>X16</f>
        <v>51</v>
      </c>
    </row>
    <row r="37" spans="1:30" x14ac:dyDescent="0.3">
      <c r="A37" s="157">
        <v>20</v>
      </c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51"/>
      <c r="N37" s="51"/>
      <c r="O37" s="51"/>
      <c r="P37" s="51"/>
      <c r="Q37" s="51"/>
      <c r="R37" s="51"/>
      <c r="S37" s="51"/>
      <c r="T37" s="162"/>
      <c r="U37" s="163"/>
      <c r="V37" s="49">
        <f t="shared" si="3"/>
        <v>0</v>
      </c>
      <c r="W37" s="92">
        <f t="shared" si="4"/>
        <v>0</v>
      </c>
      <c r="X37" s="90">
        <f t="shared" si="5"/>
        <v>0</v>
      </c>
      <c r="Y37" s="92">
        <f t="shared" si="6"/>
        <v>0</v>
      </c>
      <c r="AA37" s="45" t="s">
        <v>216</v>
      </c>
      <c r="AB37" s="93">
        <f>IFERROR(VLOOKUP(AB36,AUX_CLAN,4,0),0)</f>
        <v>101.95599999999999</v>
      </c>
      <c r="AC37" s="59">
        <f>AB37/0.85</f>
        <v>119.94823529411764</v>
      </c>
      <c r="AD37" s="115">
        <f>AC37/AA26</f>
        <v>0.53310326797385621</v>
      </c>
    </row>
    <row r="38" spans="1:30" x14ac:dyDescent="0.3">
      <c r="A38" s="157">
        <v>21</v>
      </c>
      <c r="B38" s="43"/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51"/>
      <c r="N38" s="51"/>
      <c r="O38" s="51"/>
      <c r="P38" s="51"/>
      <c r="Q38" s="51"/>
      <c r="R38" s="51"/>
      <c r="S38" s="51"/>
      <c r="T38" s="162"/>
      <c r="U38" s="163"/>
      <c r="V38" s="49">
        <f t="shared" si="3"/>
        <v>0</v>
      </c>
      <c r="W38" s="92">
        <f t="shared" si="4"/>
        <v>0</v>
      </c>
      <c r="X38" s="90">
        <f t="shared" si="5"/>
        <v>0</v>
      </c>
      <c r="Y38" s="92">
        <f t="shared" si="6"/>
        <v>0</v>
      </c>
    </row>
    <row r="39" spans="1:30" ht="14.4" customHeight="1" x14ac:dyDescent="0.3">
      <c r="A39" s="157">
        <v>22</v>
      </c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51"/>
      <c r="N39" s="51"/>
      <c r="O39" s="51"/>
      <c r="P39" s="51"/>
      <c r="Q39" s="51"/>
      <c r="R39" s="51"/>
      <c r="S39" s="51"/>
      <c r="T39" s="162"/>
      <c r="U39" s="163"/>
      <c r="V39" s="49">
        <f t="shared" si="3"/>
        <v>0</v>
      </c>
      <c r="W39" s="92">
        <f t="shared" si="4"/>
        <v>0</v>
      </c>
      <c r="X39" s="90">
        <f t="shared" si="5"/>
        <v>0</v>
      </c>
      <c r="Y39" s="92">
        <f t="shared" si="6"/>
        <v>0</v>
      </c>
    </row>
    <row r="40" spans="1:30" x14ac:dyDescent="0.3">
      <c r="A40" s="157">
        <v>23</v>
      </c>
      <c r="B40" s="43"/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51"/>
      <c r="N40" s="51"/>
      <c r="O40" s="51"/>
      <c r="P40" s="51"/>
      <c r="Q40" s="51"/>
      <c r="R40" s="51"/>
      <c r="S40" s="51"/>
      <c r="T40" s="162"/>
      <c r="U40" s="163"/>
      <c r="V40" s="49">
        <f t="shared" si="3"/>
        <v>0</v>
      </c>
      <c r="W40" s="92">
        <f t="shared" si="4"/>
        <v>0</v>
      </c>
      <c r="X40" s="90">
        <f t="shared" si="5"/>
        <v>0</v>
      </c>
      <c r="Y40" s="92">
        <f t="shared" si="6"/>
        <v>0</v>
      </c>
    </row>
    <row r="41" spans="1:30" x14ac:dyDescent="0.3">
      <c r="A41" s="157">
        <v>24</v>
      </c>
      <c r="B41" s="43"/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51"/>
      <c r="N41" s="51"/>
      <c r="O41" s="51"/>
      <c r="P41" s="51"/>
      <c r="Q41" s="51"/>
      <c r="R41" s="51"/>
      <c r="S41" s="51"/>
      <c r="T41" s="162"/>
      <c r="U41" s="163"/>
      <c r="V41" s="49">
        <f t="shared" si="3"/>
        <v>0</v>
      </c>
      <c r="W41" s="92">
        <f t="shared" si="4"/>
        <v>0</v>
      </c>
      <c r="X41" s="90">
        <f t="shared" si="5"/>
        <v>0</v>
      </c>
      <c r="Y41" s="92">
        <f t="shared" si="6"/>
        <v>0</v>
      </c>
    </row>
    <row r="42" spans="1:30" x14ac:dyDescent="0.3">
      <c r="A42" s="157">
        <v>25</v>
      </c>
      <c r="B42" s="43"/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51"/>
      <c r="N42" s="51"/>
      <c r="O42" s="51"/>
      <c r="P42" s="51"/>
      <c r="Q42" s="51"/>
      <c r="R42" s="51"/>
      <c r="S42" s="51"/>
      <c r="T42" s="162"/>
      <c r="U42" s="163"/>
      <c r="V42" s="49">
        <f t="shared" si="3"/>
        <v>0</v>
      </c>
      <c r="W42" s="92">
        <f t="shared" si="4"/>
        <v>0</v>
      </c>
      <c r="X42" s="90">
        <f t="shared" si="5"/>
        <v>0</v>
      </c>
      <c r="Y42" s="92">
        <f t="shared" si="6"/>
        <v>0</v>
      </c>
    </row>
    <row r="43" spans="1:30" x14ac:dyDescent="0.3">
      <c r="A43" s="157">
        <v>26</v>
      </c>
      <c r="B43" s="43"/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51"/>
      <c r="N43" s="51"/>
      <c r="O43" s="51"/>
      <c r="P43" s="51"/>
      <c r="Q43" s="51"/>
      <c r="R43" s="51"/>
      <c r="S43" s="51"/>
      <c r="T43" s="162"/>
      <c r="U43" s="163"/>
      <c r="V43" s="49">
        <f t="shared" si="3"/>
        <v>0</v>
      </c>
      <c r="W43" s="92">
        <f t="shared" si="4"/>
        <v>0</v>
      </c>
      <c r="X43" s="90">
        <f t="shared" si="5"/>
        <v>0</v>
      </c>
      <c r="Y43" s="92">
        <f t="shared" si="6"/>
        <v>0</v>
      </c>
    </row>
    <row r="44" spans="1:30" x14ac:dyDescent="0.3">
      <c r="A44" s="157">
        <v>27</v>
      </c>
      <c r="B44" s="4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51"/>
      <c r="N44" s="51"/>
      <c r="O44" s="51"/>
      <c r="P44" s="51"/>
      <c r="Q44" s="51"/>
      <c r="R44" s="51"/>
      <c r="S44" s="51"/>
      <c r="T44" s="162"/>
      <c r="U44" s="163"/>
      <c r="V44" s="49">
        <f t="shared" si="3"/>
        <v>0</v>
      </c>
      <c r="W44" s="92">
        <f t="shared" si="4"/>
        <v>0</v>
      </c>
      <c r="X44" s="90">
        <f t="shared" si="5"/>
        <v>0</v>
      </c>
      <c r="Y44" s="92">
        <f t="shared" si="6"/>
        <v>0</v>
      </c>
    </row>
    <row r="45" spans="1:30" ht="14.4" customHeight="1" x14ac:dyDescent="0.3">
      <c r="A45" s="157">
        <v>28</v>
      </c>
      <c r="B45" s="43"/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51"/>
      <c r="N45" s="51"/>
      <c r="O45" s="51"/>
      <c r="P45" s="51"/>
      <c r="Q45" s="51"/>
      <c r="R45" s="51"/>
      <c r="S45" s="51"/>
      <c r="T45" s="162"/>
      <c r="U45" s="163"/>
      <c r="V45" s="49">
        <f t="shared" si="3"/>
        <v>0</v>
      </c>
      <c r="W45" s="92">
        <f t="shared" si="4"/>
        <v>0</v>
      </c>
      <c r="X45" s="90">
        <f t="shared" si="5"/>
        <v>0</v>
      </c>
      <c r="Y45" s="92">
        <f t="shared" si="6"/>
        <v>0</v>
      </c>
    </row>
    <row r="46" spans="1:30" x14ac:dyDescent="0.3">
      <c r="A46" s="157">
        <v>29</v>
      </c>
      <c r="B46" s="43"/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51"/>
      <c r="N46" s="51"/>
      <c r="O46" s="51"/>
      <c r="P46" s="51"/>
      <c r="Q46" s="51"/>
      <c r="R46" s="51"/>
      <c r="S46" s="51"/>
      <c r="T46" s="162"/>
      <c r="U46" s="163"/>
      <c r="V46" s="49">
        <f t="shared" si="3"/>
        <v>0</v>
      </c>
      <c r="W46" s="92">
        <f t="shared" si="4"/>
        <v>0</v>
      </c>
      <c r="X46" s="90">
        <f t="shared" si="5"/>
        <v>0</v>
      </c>
      <c r="Y46" s="92">
        <f t="shared" si="6"/>
        <v>0</v>
      </c>
    </row>
    <row r="47" spans="1:30" x14ac:dyDescent="0.3">
      <c r="A47" s="157">
        <v>30</v>
      </c>
      <c r="B47" s="43"/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51"/>
      <c r="N47" s="51"/>
      <c r="O47" s="51"/>
      <c r="P47" s="51"/>
      <c r="Q47" s="51"/>
      <c r="R47" s="51"/>
      <c r="S47" s="51"/>
      <c r="T47" s="162"/>
      <c r="U47" s="163"/>
      <c r="V47" s="49">
        <f t="shared" si="3"/>
        <v>0</v>
      </c>
      <c r="W47" s="92">
        <f t="shared" si="4"/>
        <v>0</v>
      </c>
      <c r="X47" s="90">
        <f t="shared" si="5"/>
        <v>0</v>
      </c>
      <c r="Y47" s="92">
        <f t="shared" si="6"/>
        <v>0</v>
      </c>
    </row>
    <row r="48" spans="1:30" x14ac:dyDescent="0.3">
      <c r="A48" s="157">
        <v>31</v>
      </c>
      <c r="B48" s="43"/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51"/>
      <c r="N48" s="51"/>
      <c r="O48" s="51"/>
      <c r="P48" s="51"/>
      <c r="Q48" s="51"/>
      <c r="R48" s="51"/>
      <c r="S48" s="51"/>
      <c r="T48" s="162"/>
      <c r="U48" s="163"/>
      <c r="V48" s="49">
        <f t="shared" si="3"/>
        <v>0</v>
      </c>
      <c r="W48" s="92">
        <f t="shared" si="4"/>
        <v>0</v>
      </c>
      <c r="X48" s="90">
        <f t="shared" si="5"/>
        <v>0</v>
      </c>
      <c r="Y48" s="92">
        <f t="shared" si="6"/>
        <v>0</v>
      </c>
    </row>
    <row r="49" spans="1:25" x14ac:dyDescent="0.3">
      <c r="A49" s="157">
        <v>32</v>
      </c>
      <c r="B49" s="43"/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51"/>
      <c r="N49" s="51"/>
      <c r="O49" s="51"/>
      <c r="P49" s="51"/>
      <c r="Q49" s="51"/>
      <c r="R49" s="51"/>
      <c r="S49" s="51"/>
      <c r="T49" s="162"/>
      <c r="U49" s="163"/>
      <c r="V49" s="49">
        <f t="shared" si="3"/>
        <v>0</v>
      </c>
      <c r="W49" s="92">
        <f t="shared" si="4"/>
        <v>0</v>
      </c>
      <c r="X49" s="90">
        <f t="shared" si="5"/>
        <v>0</v>
      </c>
      <c r="Y49" s="92">
        <f t="shared" si="6"/>
        <v>0</v>
      </c>
    </row>
    <row r="50" spans="1:25" ht="14.4" customHeight="1" x14ac:dyDescent="0.3">
      <c r="A50" s="157">
        <v>33</v>
      </c>
      <c r="B50" s="43"/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51"/>
      <c r="N50" s="51"/>
      <c r="O50" s="51"/>
      <c r="P50" s="51"/>
      <c r="Q50" s="51"/>
      <c r="R50" s="51"/>
      <c r="S50" s="51"/>
      <c r="T50" s="162"/>
      <c r="U50" s="163"/>
      <c r="V50" s="49">
        <f t="shared" ref="V50:V77" si="7">B50*$B$5+C50*$C$5+D50*$D$5+E50*$E$5+F50*$F$5+G50*$G$5+H50*$H$5+I50*$I$5+J50*$J$5+K50*$K$5+L50*$L$5+M50*$M$5+N50*$N$5+O50*$O$5+P50*$P$5+Q50*$Q$5+R50*$R$5+S50*$S$5+T50*$T$5+U50*$U$5</f>
        <v>0</v>
      </c>
      <c r="W50" s="92">
        <f t="shared" ref="W50:W81" si="8">IFERROR($AA$24*(V50/($W$16)),0)</f>
        <v>0</v>
      </c>
      <c r="X50" s="90">
        <f t="shared" ref="X50:X77" si="9">SUM(B50:U50)</f>
        <v>0</v>
      </c>
      <c r="Y50" s="92">
        <f t="shared" ref="Y50:Y77" si="10">IFERROR(VLOOKUP(X50,AUX_CLAN,4,),0)</f>
        <v>0</v>
      </c>
    </row>
    <row r="51" spans="1:25" x14ac:dyDescent="0.3">
      <c r="A51" s="157">
        <v>34</v>
      </c>
      <c r="B51" s="43"/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51"/>
      <c r="N51" s="51"/>
      <c r="O51" s="51"/>
      <c r="P51" s="51"/>
      <c r="Q51" s="51"/>
      <c r="R51" s="51"/>
      <c r="S51" s="51"/>
      <c r="T51" s="162"/>
      <c r="U51" s="163"/>
      <c r="V51" s="49">
        <f t="shared" si="7"/>
        <v>0</v>
      </c>
      <c r="W51" s="92">
        <f t="shared" si="8"/>
        <v>0</v>
      </c>
      <c r="X51" s="90">
        <f t="shared" si="9"/>
        <v>0</v>
      </c>
      <c r="Y51" s="92">
        <f t="shared" si="10"/>
        <v>0</v>
      </c>
    </row>
    <row r="52" spans="1:25" x14ac:dyDescent="0.3">
      <c r="A52" s="157">
        <v>35</v>
      </c>
      <c r="B52" s="43"/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51"/>
      <c r="N52" s="51"/>
      <c r="O52" s="51"/>
      <c r="P52" s="51"/>
      <c r="Q52" s="51"/>
      <c r="R52" s="51"/>
      <c r="S52" s="51"/>
      <c r="T52" s="162"/>
      <c r="U52" s="163"/>
      <c r="V52" s="49">
        <f t="shared" si="7"/>
        <v>0</v>
      </c>
      <c r="W52" s="92">
        <f t="shared" si="8"/>
        <v>0</v>
      </c>
      <c r="X52" s="90">
        <f t="shared" si="9"/>
        <v>0</v>
      </c>
      <c r="Y52" s="92">
        <f t="shared" si="10"/>
        <v>0</v>
      </c>
    </row>
    <row r="53" spans="1:25" x14ac:dyDescent="0.3">
      <c r="A53" s="157">
        <v>36</v>
      </c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51"/>
      <c r="N53" s="51"/>
      <c r="O53" s="51"/>
      <c r="P53" s="51"/>
      <c r="Q53" s="51"/>
      <c r="R53" s="51"/>
      <c r="S53" s="51"/>
      <c r="T53" s="162"/>
      <c r="U53" s="163"/>
      <c r="V53" s="49">
        <f t="shared" si="7"/>
        <v>0</v>
      </c>
      <c r="W53" s="92">
        <f t="shared" si="8"/>
        <v>0</v>
      </c>
      <c r="X53" s="90">
        <f t="shared" si="9"/>
        <v>0</v>
      </c>
      <c r="Y53" s="92">
        <f t="shared" si="10"/>
        <v>0</v>
      </c>
    </row>
    <row r="54" spans="1:25" x14ac:dyDescent="0.3">
      <c r="A54" s="157">
        <v>37</v>
      </c>
      <c r="B54" s="43"/>
      <c r="C54" s="43"/>
      <c r="D54" s="43"/>
      <c r="E54" s="43"/>
      <c r="F54" s="43"/>
      <c r="G54" s="43"/>
      <c r="H54" s="43"/>
      <c r="I54" s="43"/>
      <c r="J54" s="43"/>
      <c r="K54" s="43"/>
      <c r="L54" s="43"/>
      <c r="M54" s="51"/>
      <c r="N54" s="51"/>
      <c r="O54" s="51"/>
      <c r="P54" s="51"/>
      <c r="Q54" s="51"/>
      <c r="R54" s="51"/>
      <c r="S54" s="51"/>
      <c r="T54" s="162"/>
      <c r="U54" s="163"/>
      <c r="V54" s="49">
        <f t="shared" si="7"/>
        <v>0</v>
      </c>
      <c r="W54" s="92">
        <f t="shared" si="8"/>
        <v>0</v>
      </c>
      <c r="X54" s="90">
        <f t="shared" si="9"/>
        <v>0</v>
      </c>
      <c r="Y54" s="92">
        <f t="shared" si="10"/>
        <v>0</v>
      </c>
    </row>
    <row r="55" spans="1:25" x14ac:dyDescent="0.3">
      <c r="A55" s="157">
        <v>38</v>
      </c>
      <c r="B55" s="43"/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51"/>
      <c r="N55" s="51"/>
      <c r="O55" s="51"/>
      <c r="P55" s="51"/>
      <c r="Q55" s="51"/>
      <c r="R55" s="51"/>
      <c r="S55" s="51"/>
      <c r="T55" s="162"/>
      <c r="U55" s="163"/>
      <c r="V55" s="49">
        <f t="shared" si="7"/>
        <v>0</v>
      </c>
      <c r="W55" s="92">
        <f t="shared" si="8"/>
        <v>0</v>
      </c>
      <c r="X55" s="90">
        <f t="shared" si="9"/>
        <v>0</v>
      </c>
      <c r="Y55" s="92">
        <f t="shared" si="10"/>
        <v>0</v>
      </c>
    </row>
    <row r="56" spans="1:25" ht="14.4" customHeight="1" x14ac:dyDescent="0.3">
      <c r="A56" s="157">
        <v>39</v>
      </c>
      <c r="B56" s="43"/>
      <c r="C56" s="43"/>
      <c r="D56" s="43"/>
      <c r="E56" s="43"/>
      <c r="F56" s="43"/>
      <c r="G56" s="43"/>
      <c r="H56" s="43"/>
      <c r="I56" s="43"/>
      <c r="J56" s="43"/>
      <c r="K56" s="43"/>
      <c r="L56" s="43"/>
      <c r="M56" s="51"/>
      <c r="N56" s="51"/>
      <c r="O56" s="51"/>
      <c r="P56" s="51"/>
      <c r="Q56" s="51"/>
      <c r="R56" s="51"/>
      <c r="S56" s="51"/>
      <c r="T56" s="162"/>
      <c r="U56" s="163"/>
      <c r="V56" s="49">
        <f t="shared" si="7"/>
        <v>0</v>
      </c>
      <c r="W56" s="92">
        <f t="shared" si="8"/>
        <v>0</v>
      </c>
      <c r="X56" s="90">
        <f t="shared" si="9"/>
        <v>0</v>
      </c>
      <c r="Y56" s="92">
        <f t="shared" si="10"/>
        <v>0</v>
      </c>
    </row>
    <row r="57" spans="1:25" x14ac:dyDescent="0.3">
      <c r="A57" s="157">
        <v>40</v>
      </c>
      <c r="B57" s="43"/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51"/>
      <c r="N57" s="51"/>
      <c r="O57" s="51"/>
      <c r="P57" s="51"/>
      <c r="Q57" s="51"/>
      <c r="R57" s="51"/>
      <c r="S57" s="51"/>
      <c r="T57" s="162"/>
      <c r="U57" s="163"/>
      <c r="V57" s="49">
        <f t="shared" si="7"/>
        <v>0</v>
      </c>
      <c r="W57" s="92">
        <f t="shared" si="8"/>
        <v>0</v>
      </c>
      <c r="X57" s="90">
        <f t="shared" si="9"/>
        <v>0</v>
      </c>
      <c r="Y57" s="92">
        <f t="shared" si="10"/>
        <v>0</v>
      </c>
    </row>
    <row r="58" spans="1:25" x14ac:dyDescent="0.3">
      <c r="A58" s="157">
        <v>41</v>
      </c>
      <c r="B58" s="43"/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51"/>
      <c r="N58" s="51"/>
      <c r="O58" s="51"/>
      <c r="P58" s="51"/>
      <c r="Q58" s="51"/>
      <c r="R58" s="51"/>
      <c r="S58" s="51"/>
      <c r="T58" s="162"/>
      <c r="U58" s="163"/>
      <c r="V58" s="49">
        <f t="shared" si="7"/>
        <v>0</v>
      </c>
      <c r="W58" s="92">
        <f t="shared" si="8"/>
        <v>0</v>
      </c>
      <c r="X58" s="90">
        <f t="shared" si="9"/>
        <v>0</v>
      </c>
      <c r="Y58" s="92">
        <f t="shared" si="10"/>
        <v>0</v>
      </c>
    </row>
    <row r="59" spans="1:25" x14ac:dyDescent="0.3">
      <c r="A59" s="157">
        <v>42</v>
      </c>
      <c r="B59" s="43"/>
      <c r="C59" s="43"/>
      <c r="D59" s="43"/>
      <c r="E59" s="43"/>
      <c r="F59" s="43"/>
      <c r="G59" s="43"/>
      <c r="H59" s="43"/>
      <c r="I59" s="43"/>
      <c r="J59" s="43"/>
      <c r="K59" s="43"/>
      <c r="L59" s="43"/>
      <c r="M59" s="51"/>
      <c r="N59" s="51"/>
      <c r="O59" s="51"/>
      <c r="P59" s="51"/>
      <c r="Q59" s="51"/>
      <c r="R59" s="51"/>
      <c r="S59" s="51"/>
      <c r="T59" s="162"/>
      <c r="U59" s="163"/>
      <c r="V59" s="49">
        <f t="shared" si="7"/>
        <v>0</v>
      </c>
      <c r="W59" s="92">
        <f t="shared" si="8"/>
        <v>0</v>
      </c>
      <c r="X59" s="90">
        <f t="shared" si="9"/>
        <v>0</v>
      </c>
      <c r="Y59" s="92">
        <f t="shared" si="10"/>
        <v>0</v>
      </c>
    </row>
    <row r="60" spans="1:25" x14ac:dyDescent="0.3">
      <c r="A60" s="157">
        <v>43</v>
      </c>
      <c r="B60" s="43"/>
      <c r="C60" s="43"/>
      <c r="D60" s="43"/>
      <c r="E60" s="43"/>
      <c r="F60" s="43"/>
      <c r="G60" s="43"/>
      <c r="H60" s="43"/>
      <c r="I60" s="43"/>
      <c r="J60" s="43"/>
      <c r="K60" s="43"/>
      <c r="L60" s="43"/>
      <c r="M60" s="51"/>
      <c r="N60" s="51"/>
      <c r="O60" s="51"/>
      <c r="P60" s="51"/>
      <c r="Q60" s="51"/>
      <c r="R60" s="51"/>
      <c r="S60" s="51"/>
      <c r="T60" s="162"/>
      <c r="U60" s="163"/>
      <c r="V60" s="49">
        <f t="shared" si="7"/>
        <v>0</v>
      </c>
      <c r="W60" s="92">
        <f t="shared" si="8"/>
        <v>0</v>
      </c>
      <c r="X60" s="90">
        <f t="shared" si="9"/>
        <v>0</v>
      </c>
      <c r="Y60" s="92">
        <f t="shared" si="10"/>
        <v>0</v>
      </c>
    </row>
    <row r="61" spans="1:25" ht="14.4" customHeight="1" x14ac:dyDescent="0.3">
      <c r="A61" s="157">
        <v>44</v>
      </c>
      <c r="B61" s="43"/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51"/>
      <c r="N61" s="51"/>
      <c r="O61" s="51"/>
      <c r="P61" s="51"/>
      <c r="Q61" s="51"/>
      <c r="R61" s="51"/>
      <c r="S61" s="51"/>
      <c r="T61" s="162"/>
      <c r="U61" s="163"/>
      <c r="V61" s="49">
        <f t="shared" si="7"/>
        <v>0</v>
      </c>
      <c r="W61" s="92">
        <f t="shared" si="8"/>
        <v>0</v>
      </c>
      <c r="X61" s="90">
        <f t="shared" si="9"/>
        <v>0</v>
      </c>
      <c r="Y61" s="92">
        <f t="shared" si="10"/>
        <v>0</v>
      </c>
    </row>
    <row r="62" spans="1:25" x14ac:dyDescent="0.3">
      <c r="A62" s="157">
        <v>45</v>
      </c>
      <c r="B62" s="43"/>
      <c r="C62" s="43"/>
      <c r="D62" s="43"/>
      <c r="E62" s="43"/>
      <c r="F62" s="43"/>
      <c r="G62" s="43"/>
      <c r="H62" s="43"/>
      <c r="I62" s="43"/>
      <c r="J62" s="43"/>
      <c r="K62" s="43"/>
      <c r="L62" s="43"/>
      <c r="M62" s="51"/>
      <c r="N62" s="51"/>
      <c r="O62" s="51"/>
      <c r="P62" s="51"/>
      <c r="Q62" s="51"/>
      <c r="R62" s="51"/>
      <c r="S62" s="51"/>
      <c r="T62" s="162"/>
      <c r="U62" s="163"/>
      <c r="V62" s="49">
        <f t="shared" si="7"/>
        <v>0</v>
      </c>
      <c r="W62" s="92">
        <f t="shared" si="8"/>
        <v>0</v>
      </c>
      <c r="X62" s="90">
        <f t="shared" si="9"/>
        <v>0</v>
      </c>
      <c r="Y62" s="92">
        <f t="shared" si="10"/>
        <v>0</v>
      </c>
    </row>
    <row r="63" spans="1:25" x14ac:dyDescent="0.3">
      <c r="A63" s="157">
        <v>46</v>
      </c>
      <c r="B63" s="43"/>
      <c r="C63" s="43"/>
      <c r="D63" s="43"/>
      <c r="E63" s="43"/>
      <c r="F63" s="43"/>
      <c r="G63" s="43"/>
      <c r="H63" s="43"/>
      <c r="I63" s="43"/>
      <c r="J63" s="43"/>
      <c r="K63" s="43"/>
      <c r="L63" s="43"/>
      <c r="M63" s="51"/>
      <c r="N63" s="51"/>
      <c r="O63" s="51"/>
      <c r="P63" s="51"/>
      <c r="Q63" s="51"/>
      <c r="R63" s="51"/>
      <c r="S63" s="51"/>
      <c r="T63" s="162"/>
      <c r="U63" s="163"/>
      <c r="V63" s="49">
        <f t="shared" si="7"/>
        <v>0</v>
      </c>
      <c r="W63" s="92">
        <f t="shared" si="8"/>
        <v>0</v>
      </c>
      <c r="X63" s="90">
        <f t="shared" si="9"/>
        <v>0</v>
      </c>
      <c r="Y63" s="92">
        <f t="shared" si="10"/>
        <v>0</v>
      </c>
    </row>
    <row r="64" spans="1:25" s="104" customFormat="1" x14ac:dyDescent="0.3">
      <c r="A64" s="158">
        <v>47</v>
      </c>
      <c r="B64" s="101"/>
      <c r="C64" s="101"/>
      <c r="D64" s="101"/>
      <c r="E64" s="101"/>
      <c r="F64" s="101"/>
      <c r="G64" s="101"/>
      <c r="H64" s="101"/>
      <c r="I64" s="101"/>
      <c r="J64" s="101"/>
      <c r="K64" s="101"/>
      <c r="L64" s="101"/>
      <c r="M64" s="102"/>
      <c r="N64" s="102"/>
      <c r="O64" s="102"/>
      <c r="P64" s="102"/>
      <c r="Q64" s="102"/>
      <c r="R64" s="102"/>
      <c r="S64" s="102"/>
      <c r="T64" s="164"/>
      <c r="U64" s="165"/>
      <c r="V64" s="103">
        <f t="shared" si="7"/>
        <v>0</v>
      </c>
      <c r="W64" s="159">
        <f t="shared" si="8"/>
        <v>0</v>
      </c>
      <c r="X64" s="160">
        <f t="shared" si="9"/>
        <v>0</v>
      </c>
      <c r="Y64" s="159">
        <f t="shared" si="10"/>
        <v>0</v>
      </c>
    </row>
    <row r="65" spans="1:25" x14ac:dyDescent="0.3">
      <c r="A65" s="157">
        <v>48</v>
      </c>
      <c r="B65" s="43"/>
      <c r="C65" s="43"/>
      <c r="D65" s="43"/>
      <c r="E65" s="43"/>
      <c r="F65" s="43"/>
      <c r="G65" s="43"/>
      <c r="H65" s="43"/>
      <c r="I65" s="43"/>
      <c r="J65" s="43"/>
      <c r="K65" s="43"/>
      <c r="L65" s="43"/>
      <c r="M65" s="51"/>
      <c r="N65" s="51"/>
      <c r="O65" s="51"/>
      <c r="P65" s="51"/>
      <c r="Q65" s="51"/>
      <c r="R65" s="51"/>
      <c r="S65" s="51"/>
      <c r="T65" s="162"/>
      <c r="U65" s="163"/>
      <c r="V65" s="49">
        <f t="shared" si="7"/>
        <v>0</v>
      </c>
      <c r="W65" s="92">
        <f t="shared" si="8"/>
        <v>0</v>
      </c>
      <c r="X65" s="90">
        <f t="shared" si="9"/>
        <v>0</v>
      </c>
      <c r="Y65" s="92">
        <f t="shared" si="10"/>
        <v>0</v>
      </c>
    </row>
    <row r="66" spans="1:25" x14ac:dyDescent="0.3">
      <c r="A66" s="157">
        <v>49</v>
      </c>
      <c r="B66" s="43"/>
      <c r="C66" s="43"/>
      <c r="D66" s="43"/>
      <c r="E66" s="43"/>
      <c r="F66" s="43"/>
      <c r="G66" s="43"/>
      <c r="H66" s="43"/>
      <c r="I66" s="43"/>
      <c r="J66" s="43"/>
      <c r="K66" s="43"/>
      <c r="L66" s="43"/>
      <c r="M66" s="51"/>
      <c r="N66" s="51"/>
      <c r="O66" s="51"/>
      <c r="P66" s="51"/>
      <c r="Q66" s="51"/>
      <c r="R66" s="51"/>
      <c r="S66" s="51"/>
      <c r="T66" s="162"/>
      <c r="U66" s="163"/>
      <c r="V66" s="49">
        <f t="shared" si="7"/>
        <v>0</v>
      </c>
      <c r="W66" s="92">
        <f t="shared" si="8"/>
        <v>0</v>
      </c>
      <c r="X66" s="90">
        <f t="shared" si="9"/>
        <v>0</v>
      </c>
      <c r="Y66" s="92">
        <f t="shared" si="10"/>
        <v>0</v>
      </c>
    </row>
    <row r="67" spans="1:25" ht="14.4" customHeight="1" x14ac:dyDescent="0.3">
      <c r="A67" s="157">
        <v>50</v>
      </c>
      <c r="B67" s="43"/>
      <c r="C67" s="43"/>
      <c r="D67" s="43"/>
      <c r="E67" s="43"/>
      <c r="F67" s="43"/>
      <c r="G67" s="43"/>
      <c r="H67" s="43"/>
      <c r="I67" s="43"/>
      <c r="J67" s="43"/>
      <c r="K67" s="43"/>
      <c r="L67" s="43"/>
      <c r="M67" s="51"/>
      <c r="N67" s="51"/>
      <c r="O67" s="51"/>
      <c r="P67" s="51"/>
      <c r="Q67" s="51"/>
      <c r="R67" s="51"/>
      <c r="S67" s="51"/>
      <c r="T67" s="162"/>
      <c r="U67" s="163"/>
      <c r="V67" s="49">
        <f t="shared" si="7"/>
        <v>0</v>
      </c>
      <c r="W67" s="92">
        <f t="shared" si="8"/>
        <v>0</v>
      </c>
      <c r="X67" s="90">
        <f t="shared" si="9"/>
        <v>0</v>
      </c>
      <c r="Y67" s="92">
        <f t="shared" si="10"/>
        <v>0</v>
      </c>
    </row>
    <row r="68" spans="1:25" x14ac:dyDescent="0.3">
      <c r="A68" s="157">
        <v>51</v>
      </c>
      <c r="B68" s="43"/>
      <c r="C68" s="43"/>
      <c r="D68" s="43"/>
      <c r="E68" s="43"/>
      <c r="F68" s="43"/>
      <c r="G68" s="43"/>
      <c r="H68" s="43"/>
      <c r="I68" s="43"/>
      <c r="J68" s="43"/>
      <c r="K68" s="43"/>
      <c r="L68" s="43"/>
      <c r="M68" s="51"/>
      <c r="N68" s="51"/>
      <c r="O68" s="51"/>
      <c r="P68" s="51"/>
      <c r="Q68" s="51"/>
      <c r="R68" s="51"/>
      <c r="S68" s="51"/>
      <c r="T68" s="162"/>
      <c r="U68" s="163"/>
      <c r="V68" s="49">
        <f t="shared" si="7"/>
        <v>0</v>
      </c>
      <c r="W68" s="92">
        <f t="shared" si="8"/>
        <v>0</v>
      </c>
      <c r="X68" s="90">
        <f t="shared" si="9"/>
        <v>0</v>
      </c>
      <c r="Y68" s="92">
        <f t="shared" si="10"/>
        <v>0</v>
      </c>
    </row>
    <row r="69" spans="1:25" x14ac:dyDescent="0.3">
      <c r="A69" s="157">
        <v>52</v>
      </c>
      <c r="B69" s="43"/>
      <c r="C69" s="43"/>
      <c r="D69" s="43"/>
      <c r="E69" s="43"/>
      <c r="F69" s="43"/>
      <c r="G69" s="43"/>
      <c r="H69" s="43"/>
      <c r="I69" s="43"/>
      <c r="J69" s="43"/>
      <c r="K69" s="43"/>
      <c r="L69" s="43"/>
      <c r="M69" s="51"/>
      <c r="N69" s="51"/>
      <c r="O69" s="51"/>
      <c r="P69" s="51"/>
      <c r="Q69" s="51"/>
      <c r="R69" s="51"/>
      <c r="S69" s="51"/>
      <c r="T69" s="162"/>
      <c r="U69" s="163"/>
      <c r="V69" s="49">
        <f t="shared" si="7"/>
        <v>0</v>
      </c>
      <c r="W69" s="92">
        <f t="shared" si="8"/>
        <v>0</v>
      </c>
      <c r="X69" s="90">
        <f t="shared" si="9"/>
        <v>0</v>
      </c>
      <c r="Y69" s="92">
        <f t="shared" si="10"/>
        <v>0</v>
      </c>
    </row>
    <row r="70" spans="1:25" x14ac:dyDescent="0.3">
      <c r="A70" s="157">
        <v>53</v>
      </c>
      <c r="B70" s="43"/>
      <c r="C70" s="43"/>
      <c r="D70" s="43"/>
      <c r="E70" s="43"/>
      <c r="F70" s="43"/>
      <c r="G70" s="43"/>
      <c r="H70" s="43"/>
      <c r="I70" s="43"/>
      <c r="J70" s="43"/>
      <c r="K70" s="43"/>
      <c r="L70" s="43"/>
      <c r="M70" s="51"/>
      <c r="N70" s="51"/>
      <c r="O70" s="51"/>
      <c r="P70" s="51"/>
      <c r="Q70" s="51"/>
      <c r="R70" s="51"/>
      <c r="S70" s="51"/>
      <c r="T70" s="162"/>
      <c r="U70" s="163"/>
      <c r="V70" s="49">
        <f t="shared" si="7"/>
        <v>0</v>
      </c>
      <c r="W70" s="92">
        <f t="shared" si="8"/>
        <v>0</v>
      </c>
      <c r="X70" s="90">
        <f t="shared" si="9"/>
        <v>0</v>
      </c>
      <c r="Y70" s="92">
        <f t="shared" si="10"/>
        <v>0</v>
      </c>
    </row>
    <row r="71" spans="1:25" x14ac:dyDescent="0.3">
      <c r="A71" s="157">
        <v>54</v>
      </c>
      <c r="B71" s="43"/>
      <c r="C71" s="43"/>
      <c r="D71" s="43"/>
      <c r="E71" s="43"/>
      <c r="F71" s="43"/>
      <c r="G71" s="43"/>
      <c r="H71" s="43"/>
      <c r="I71" s="43"/>
      <c r="J71" s="43"/>
      <c r="K71" s="43"/>
      <c r="L71" s="43"/>
      <c r="M71" s="51"/>
      <c r="N71" s="51"/>
      <c r="O71" s="51"/>
      <c r="P71" s="51"/>
      <c r="Q71" s="51"/>
      <c r="R71" s="51"/>
      <c r="S71" s="51"/>
      <c r="T71" s="162"/>
      <c r="U71" s="163"/>
      <c r="V71" s="49">
        <f t="shared" si="7"/>
        <v>0</v>
      </c>
      <c r="W71" s="92">
        <f t="shared" si="8"/>
        <v>0</v>
      </c>
      <c r="X71" s="90">
        <f t="shared" si="9"/>
        <v>0</v>
      </c>
      <c r="Y71" s="92">
        <f t="shared" si="10"/>
        <v>0</v>
      </c>
    </row>
    <row r="72" spans="1:25" ht="14.4" customHeight="1" x14ac:dyDescent="0.3">
      <c r="A72" s="157">
        <v>55</v>
      </c>
      <c r="B72" s="43"/>
      <c r="C72" s="43"/>
      <c r="D72" s="43"/>
      <c r="E72" s="43"/>
      <c r="F72" s="43"/>
      <c r="G72" s="43"/>
      <c r="H72" s="43"/>
      <c r="I72" s="43"/>
      <c r="J72" s="43"/>
      <c r="K72" s="43"/>
      <c r="L72" s="43"/>
      <c r="M72" s="51"/>
      <c r="N72" s="51"/>
      <c r="O72" s="51"/>
      <c r="P72" s="51"/>
      <c r="Q72" s="51"/>
      <c r="R72" s="51"/>
      <c r="S72" s="51"/>
      <c r="T72" s="162"/>
      <c r="U72" s="163"/>
      <c r="V72" s="49">
        <f t="shared" si="7"/>
        <v>0</v>
      </c>
      <c r="W72" s="92">
        <f t="shared" si="8"/>
        <v>0</v>
      </c>
      <c r="X72" s="90">
        <f t="shared" si="9"/>
        <v>0</v>
      </c>
      <c r="Y72" s="92">
        <f t="shared" si="10"/>
        <v>0</v>
      </c>
    </row>
    <row r="73" spans="1:25" x14ac:dyDescent="0.3">
      <c r="A73" s="157">
        <v>56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51"/>
      <c r="N73" s="51"/>
      <c r="O73" s="51"/>
      <c r="P73" s="51"/>
      <c r="Q73" s="51"/>
      <c r="R73" s="51"/>
      <c r="S73" s="51"/>
      <c r="T73" s="162"/>
      <c r="U73" s="163"/>
      <c r="V73" s="49">
        <f t="shared" si="7"/>
        <v>0</v>
      </c>
      <c r="W73" s="92">
        <f t="shared" si="8"/>
        <v>0</v>
      </c>
      <c r="X73" s="90">
        <f t="shared" si="9"/>
        <v>0</v>
      </c>
      <c r="Y73" s="92">
        <f t="shared" si="10"/>
        <v>0</v>
      </c>
    </row>
    <row r="74" spans="1:25" x14ac:dyDescent="0.3">
      <c r="A74" s="157">
        <v>57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51"/>
      <c r="N74" s="51"/>
      <c r="O74" s="51"/>
      <c r="P74" s="51"/>
      <c r="Q74" s="51"/>
      <c r="R74" s="51"/>
      <c r="S74" s="51"/>
      <c r="T74" s="162"/>
      <c r="U74" s="163"/>
      <c r="V74" s="49">
        <f t="shared" si="7"/>
        <v>0</v>
      </c>
      <c r="W74" s="92">
        <f t="shared" si="8"/>
        <v>0</v>
      </c>
      <c r="X74" s="90">
        <f t="shared" si="9"/>
        <v>0</v>
      </c>
      <c r="Y74" s="92">
        <f t="shared" si="10"/>
        <v>0</v>
      </c>
    </row>
    <row r="75" spans="1:25" x14ac:dyDescent="0.3">
      <c r="A75" s="157">
        <v>58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51"/>
      <c r="N75" s="51"/>
      <c r="O75" s="51"/>
      <c r="P75" s="51"/>
      <c r="Q75" s="51"/>
      <c r="R75" s="51"/>
      <c r="S75" s="51"/>
      <c r="T75" s="162"/>
      <c r="U75" s="163"/>
      <c r="V75" s="49">
        <f t="shared" si="7"/>
        <v>0</v>
      </c>
      <c r="W75" s="92">
        <f t="shared" si="8"/>
        <v>0</v>
      </c>
      <c r="X75" s="90">
        <f t="shared" si="9"/>
        <v>0</v>
      </c>
      <c r="Y75" s="92">
        <f t="shared" si="10"/>
        <v>0</v>
      </c>
    </row>
    <row r="76" spans="1:25" x14ac:dyDescent="0.3">
      <c r="A76" s="157">
        <v>59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51"/>
      <c r="N76" s="51"/>
      <c r="O76" s="51"/>
      <c r="P76" s="51"/>
      <c r="Q76" s="51"/>
      <c r="R76" s="51"/>
      <c r="S76" s="51"/>
      <c r="T76" s="162"/>
      <c r="U76" s="163"/>
      <c r="V76" s="49">
        <f t="shared" si="7"/>
        <v>0</v>
      </c>
      <c r="W76" s="92">
        <f t="shared" si="8"/>
        <v>0</v>
      </c>
      <c r="X76" s="90">
        <f t="shared" si="9"/>
        <v>0</v>
      </c>
      <c r="Y76" s="92">
        <f t="shared" si="10"/>
        <v>0</v>
      </c>
    </row>
    <row r="77" spans="1:25" ht="14.4" customHeight="1" x14ac:dyDescent="0.3">
      <c r="A77" s="157">
        <v>60</v>
      </c>
      <c r="B77" s="43"/>
      <c r="C77" s="43"/>
      <c r="D77" s="43"/>
      <c r="E77" s="43"/>
      <c r="F77" s="43"/>
      <c r="G77" s="43"/>
      <c r="H77" s="43"/>
      <c r="I77" s="43"/>
      <c r="J77" s="43"/>
      <c r="K77" s="43"/>
      <c r="L77" s="43"/>
      <c r="M77" s="51"/>
      <c r="N77" s="51"/>
      <c r="O77" s="51"/>
      <c r="P77" s="51"/>
      <c r="Q77" s="51"/>
      <c r="R77" s="51"/>
      <c r="S77" s="51"/>
      <c r="T77" s="162"/>
      <c r="U77" s="163"/>
      <c r="V77" s="49">
        <f t="shared" si="7"/>
        <v>0</v>
      </c>
      <c r="W77" s="92">
        <f t="shared" si="8"/>
        <v>0</v>
      </c>
      <c r="X77" s="90">
        <f t="shared" si="9"/>
        <v>0</v>
      </c>
      <c r="Y77" s="92">
        <f t="shared" si="10"/>
        <v>0</v>
      </c>
    </row>
    <row r="78" spans="1:25" x14ac:dyDescent="0.3">
      <c r="W78" s="9"/>
    </row>
  </sheetData>
  <scenarios current="0">
    <scenario name="TESTES" locked="1" count="1" user="Jonatas Lampa" comment="Criado por Jonatas Lampa em 03/04/2026">
      <inputCells r="AA18" val="183,6" numFmtId="2"/>
    </scenario>
  </scenarios>
  <mergeCells count="53">
    <mergeCell ref="A1:U1"/>
    <mergeCell ref="AA22:AB22"/>
    <mergeCell ref="AA17:AB17"/>
    <mergeCell ref="AA32:AB33"/>
    <mergeCell ref="AA26:AB26"/>
    <mergeCell ref="AA23:AB23"/>
    <mergeCell ref="A3:A4"/>
    <mergeCell ref="B2:L2"/>
    <mergeCell ref="AA21:AB21"/>
    <mergeCell ref="A7:A8"/>
    <mergeCell ref="M2:U2"/>
    <mergeCell ref="AA29:AB29"/>
    <mergeCell ref="AA28:AB28"/>
    <mergeCell ref="A15:U15"/>
    <mergeCell ref="AE29:AF29"/>
    <mergeCell ref="AC20:AD20"/>
    <mergeCell ref="AA25:AB25"/>
    <mergeCell ref="AE28:AF28"/>
    <mergeCell ref="AC25:AD25"/>
    <mergeCell ref="AC22:AD22"/>
    <mergeCell ref="AC24:AD24"/>
    <mergeCell ref="AC23:AD23"/>
    <mergeCell ref="AE23:AF23"/>
    <mergeCell ref="AA30:AB30"/>
    <mergeCell ref="AE21:AF21"/>
    <mergeCell ref="AC30:AD30"/>
    <mergeCell ref="AA24:AB24"/>
    <mergeCell ref="AE15:AF16"/>
    <mergeCell ref="AE30:AF30"/>
    <mergeCell ref="AC27:AD27"/>
    <mergeCell ref="AE27:AF27"/>
    <mergeCell ref="AC28:AD28"/>
    <mergeCell ref="AA19:AB19"/>
    <mergeCell ref="AE22:AF22"/>
    <mergeCell ref="AA27:AB27"/>
    <mergeCell ref="AE17:AF17"/>
    <mergeCell ref="AC26:AD26"/>
    <mergeCell ref="AC29:AD29"/>
    <mergeCell ref="AA20:AB20"/>
    <mergeCell ref="AC18:AD18"/>
    <mergeCell ref="AE18:AF18"/>
    <mergeCell ref="AE26:AF26"/>
    <mergeCell ref="AC17:AD17"/>
    <mergeCell ref="Y15:Y16"/>
    <mergeCell ref="AE20:AF20"/>
    <mergeCell ref="AE25:AF25"/>
    <mergeCell ref="AC21:AD21"/>
    <mergeCell ref="AA15:AB16"/>
    <mergeCell ref="AE24:AF24"/>
    <mergeCell ref="AC15:AD16"/>
    <mergeCell ref="AC19:AD19"/>
    <mergeCell ref="AE19:AF19"/>
    <mergeCell ref="AA18:AB18"/>
  </mergeCells>
  <dataValidations disablePrompts="1" count="1">
    <dataValidation type="whole" allowBlank="1" showInputMessage="1" showErrorMessage="1" errorTitle="Valor invalido" error="Use apenas inteiros maiores ou iguais a zero na grade de ramais." promptTitle="Entrada de ramal" prompt="Informe quantidade inteira maior ou igual a zero." sqref="A18:T77" xr:uid="{00000000-0002-0000-0300-000000000000}">
      <formula1>0</formula1>
      <formula2>10000</formula2>
    </dataValidation>
  </dataValidations>
  <pageMargins left="0.511811024" right="0.511811024" top="0.78740157499999996" bottom="0.78740157499999996" header="0.31496062000000002" footer="0.31496062000000002"/>
  <pageSetup paperSize="9" orientation="portrait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3"/>
  <dimension ref="A2:Q454"/>
  <sheetViews>
    <sheetView showGridLines="0" zoomScale="85" zoomScaleNormal="85" workbookViewId="0">
      <pane ySplit="8" topLeftCell="A9" activePane="bottomLeft" state="frozen"/>
      <selection activeCell="A9" sqref="A9:A21"/>
      <selection pane="bottomLeft" activeCell="I9" sqref="A9:M9"/>
    </sheetView>
  </sheetViews>
  <sheetFormatPr defaultColWidth="14.77734375" defaultRowHeight="14.4" x14ac:dyDescent="0.3"/>
  <cols>
    <col min="1" max="1" width="8.77734375" style="1" customWidth="1"/>
    <col min="2" max="2" width="11" style="1" customWidth="1"/>
    <col min="3" max="3" width="13.77734375" style="1" customWidth="1"/>
    <col min="4" max="4" width="11" style="1" customWidth="1"/>
    <col min="5" max="5" width="12.21875" style="1" bestFit="1" customWidth="1"/>
    <col min="6" max="6" width="7.88671875" style="1" customWidth="1"/>
    <col min="7" max="7" width="9.88671875" style="1" customWidth="1"/>
    <col min="8" max="8" width="16.77734375" style="2" customWidth="1"/>
    <col min="9" max="9" width="14" style="2" customWidth="1"/>
    <col min="10" max="10" width="14.77734375" style="2" hidden="1" customWidth="1"/>
    <col min="11" max="11" width="14" customWidth="1"/>
    <col min="12" max="12" width="13.33203125" customWidth="1"/>
    <col min="13" max="13" width="15" bestFit="1" customWidth="1"/>
    <col min="14" max="14" width="5" customWidth="1"/>
  </cols>
  <sheetData>
    <row r="2" spans="1:17" x14ac:dyDescent="0.3">
      <c r="A2" s="183" t="s">
        <v>217</v>
      </c>
      <c r="B2" s="184"/>
      <c r="C2" s="184"/>
      <c r="D2" s="184"/>
      <c r="E2" s="184"/>
      <c r="F2" s="184"/>
      <c r="G2" s="184"/>
      <c r="H2" s="178" t="s">
        <v>218</v>
      </c>
      <c r="I2" s="185" t="s">
        <v>219</v>
      </c>
      <c r="K2" s="178" t="s">
        <v>220</v>
      </c>
      <c r="L2" s="194">
        <v>79</v>
      </c>
      <c r="M2" s="14" t="s">
        <v>221</v>
      </c>
      <c r="O2" s="14" t="s">
        <v>63</v>
      </c>
      <c r="P2" s="201" t="str">
        <f>IF(OR(I9="",I9=0),"VAZIO",IF(I9&gt;O3,"SOBRECARGA",""))</f>
        <v/>
      </c>
      <c r="Q2" s="14" t="s">
        <v>222</v>
      </c>
    </row>
    <row r="3" spans="1:17" x14ac:dyDescent="0.3">
      <c r="A3" s="184"/>
      <c r="B3" s="184"/>
      <c r="C3" s="184"/>
      <c r="D3" s="184"/>
      <c r="E3" s="184"/>
      <c r="F3" s="184"/>
      <c r="G3" s="184"/>
      <c r="H3" s="187"/>
      <c r="I3" s="186"/>
      <c r="K3" s="179"/>
      <c r="L3" s="195"/>
      <c r="M3" s="123">
        <f>P31</f>
        <v>118.69775108855391</v>
      </c>
      <c r="O3" s="172">
        <v>225</v>
      </c>
      <c r="P3" s="179"/>
      <c r="Q3" s="128" t="s">
        <v>95</v>
      </c>
    </row>
    <row r="4" spans="1:17" x14ac:dyDescent="0.3">
      <c r="A4" s="3"/>
      <c r="B4" s="3"/>
      <c r="C4" s="3"/>
      <c r="D4" s="4"/>
      <c r="E4" s="3"/>
      <c r="F4" s="3"/>
      <c r="G4" s="3"/>
      <c r="H4" s="187"/>
      <c r="I4" s="186"/>
      <c r="J4" s="10"/>
      <c r="K4" s="179"/>
      <c r="L4" s="195"/>
      <c r="M4" s="14" t="s">
        <v>223</v>
      </c>
      <c r="O4" s="14" t="s">
        <v>224</v>
      </c>
      <c r="P4" s="179"/>
      <c r="Q4" s="128" t="s">
        <v>96</v>
      </c>
    </row>
    <row r="5" spans="1:17" x14ac:dyDescent="0.3">
      <c r="A5" s="100" t="s">
        <v>225</v>
      </c>
      <c r="B5" s="3"/>
      <c r="C5" s="3" t="s">
        <v>226</v>
      </c>
      <c r="D5" s="4"/>
      <c r="E5" s="3"/>
      <c r="F5" s="3"/>
      <c r="G5" s="3"/>
      <c r="J5" s="10"/>
      <c r="M5" s="123">
        <f>P32</f>
        <v>117.04688712724072</v>
      </c>
      <c r="O5" s="93">
        <f>I9</f>
        <v>101.95599999999999</v>
      </c>
      <c r="P5" s="141">
        <f>IFERROR(O5/0.85,"")</f>
        <v>119.94823529411764</v>
      </c>
      <c r="Q5" s="128" t="s">
        <v>97</v>
      </c>
    </row>
    <row r="6" spans="1:17" s="60" customFormat="1" ht="13.8" customHeight="1" x14ac:dyDescent="0.3">
      <c r="A6" s="180" t="s">
        <v>4</v>
      </c>
      <c r="B6" s="58" t="s">
        <v>21</v>
      </c>
      <c r="C6" s="58" t="s">
        <v>227</v>
      </c>
      <c r="D6" s="181" t="s">
        <v>7</v>
      </c>
      <c r="E6" s="182"/>
      <c r="F6" s="58"/>
      <c r="G6" s="58"/>
      <c r="H6" s="176" t="s">
        <v>228</v>
      </c>
      <c r="I6" s="176" t="s">
        <v>24</v>
      </c>
      <c r="J6" s="176" t="s">
        <v>229</v>
      </c>
      <c r="K6" s="176"/>
      <c r="L6" s="14"/>
      <c r="M6" s="14"/>
      <c r="O6" s="117">
        <f>IFERROR(O5/O3,"")</f>
        <v>0.45313777777777775</v>
      </c>
      <c r="P6" s="64"/>
      <c r="Q6" s="128" t="s">
        <v>93</v>
      </c>
    </row>
    <row r="7" spans="1:17" s="60" customFormat="1" ht="13.8" customHeight="1" x14ac:dyDescent="0.3">
      <c r="A7" s="177"/>
      <c r="B7" s="14" t="s">
        <v>230</v>
      </c>
      <c r="C7" s="14" t="s">
        <v>231</v>
      </c>
      <c r="D7" s="58" t="s">
        <v>19</v>
      </c>
      <c r="E7" s="58" t="s">
        <v>20</v>
      </c>
      <c r="F7" s="78"/>
      <c r="G7" s="78"/>
      <c r="H7" s="177"/>
      <c r="I7" s="177"/>
      <c r="J7" s="177"/>
      <c r="K7" s="177"/>
      <c r="L7" s="14"/>
      <c r="M7" s="14"/>
    </row>
    <row r="8" spans="1:17" s="5" customFormat="1" ht="21.6" customHeight="1" x14ac:dyDescent="0.3">
      <c r="A8" s="97" t="s">
        <v>4</v>
      </c>
      <c r="B8" s="98" t="s">
        <v>21</v>
      </c>
      <c r="C8" s="98" t="s">
        <v>22</v>
      </c>
      <c r="D8" s="97" t="s">
        <v>3</v>
      </c>
      <c r="E8" s="97" t="s">
        <v>18</v>
      </c>
      <c r="F8" s="96" t="s">
        <v>205</v>
      </c>
      <c r="G8" s="96" t="s">
        <v>232</v>
      </c>
      <c r="H8" s="96" t="s">
        <v>233</v>
      </c>
      <c r="I8" s="98" t="s">
        <v>24</v>
      </c>
      <c r="J8" s="98" t="s">
        <v>17</v>
      </c>
      <c r="K8" s="96" t="s">
        <v>234</v>
      </c>
      <c r="L8" s="96" t="s">
        <v>10</v>
      </c>
      <c r="M8" s="96" t="s">
        <v>235</v>
      </c>
    </row>
    <row r="9" spans="1:17" s="6" customFormat="1" x14ac:dyDescent="0.3">
      <c r="A9" s="168">
        <v>11</v>
      </c>
      <c r="B9" s="168">
        <v>0</v>
      </c>
      <c r="C9" s="168">
        <v>4</v>
      </c>
      <c r="D9" s="125">
        <f>IFERROR(VLOOKUP(GERAL[[#This Row],[PONTO]],COORD,2,0),"")</f>
        <v>635957</v>
      </c>
      <c r="E9" s="125">
        <f>IFERROR(VLOOKUP(GERAL[[#This Row],[PONTO]],COORD,3,0),"")</f>
        <v>7462079</v>
      </c>
      <c r="F9" s="126">
        <f>IFERROR(VLOOKUP(GERAL[[#This Row],[PONTO]],RAMAIS_ATUAL,24,0),"")</f>
        <v>6</v>
      </c>
      <c r="G9" s="126">
        <f>IFERROR(SUMIF(GERAL[TRECHO],GERAL[[#This Row],[PONTO]],GERAL[CLT ACUMULADO])+GERAL[[#This Row],[CLIENTES]],"")</f>
        <v>51</v>
      </c>
      <c r="H9" s="127">
        <f>IFERROR(VLOOKUP(GERAL[[#This Row],[PONTO]],RAMAIS_ATUAL,IF($I$2="SIM",25,23),0),"")</f>
        <v>16.471999999999998</v>
      </c>
      <c r="I9" s="127">
        <f>IFERROR(IF($I$2="SIM",VLOOKUP(GERAL[[#This Row],[CLT ACUMULADO]],AUX_CLAN,4,0),SUMIF(GERAL[TRECHO],GERAL[[#This Row],[PONTO]],GERAL[ACUMULADA])+GERAL[[#This Row],[TOTAL DO TRECHO]]),"")</f>
        <v>101.95599999999999</v>
      </c>
      <c r="J9" s="127">
        <f>IFERROR(SQRT((GERAL[[#This Row],[X]]-$P$11)^2+(GERAL[[#This Row],[Y]]-$P$12)^2),"")</f>
        <v>449073.93599131366</v>
      </c>
      <c r="K9" s="168" t="s">
        <v>63</v>
      </c>
      <c r="L9" s="170" t="s">
        <v>79</v>
      </c>
      <c r="M9" s="125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>122.66170257777777</v>
      </c>
      <c r="O9" s="190" t="s">
        <v>2</v>
      </c>
      <c r="P9" s="191"/>
    </row>
    <row r="10" spans="1:17" x14ac:dyDescent="0.3">
      <c r="A10" s="169">
        <v>12</v>
      </c>
      <c r="B10" s="169">
        <v>11</v>
      </c>
      <c r="C10" s="169">
        <v>30</v>
      </c>
      <c r="D10" s="128">
        <f>IFERROR(VLOOKUP(GERAL[[#This Row],[PONTO]],COORD,2,0),"")</f>
        <v>635986</v>
      </c>
      <c r="E10" s="128">
        <f>IFERROR(VLOOKUP(GERAL[[#This Row],[PONTO]],COORD,3,0),"")</f>
        <v>7462112</v>
      </c>
      <c r="F10" s="129">
        <f>IFERROR(VLOOKUP(GERAL[[#This Row],[PONTO]],RAMAIS_ATUAL,24,0),"")</f>
        <v>7</v>
      </c>
      <c r="G10" s="129">
        <f>IFERROR(SUMIF(GERAL[TRECHO],GERAL[[#This Row],[PONTO]],GERAL[CLT ACUMULADO])+GERAL[[#This Row],[CLIENTES]],"")</f>
        <v>17</v>
      </c>
      <c r="H10" s="55">
        <f>IFERROR(VLOOKUP(GERAL[[#This Row],[PONTO]],RAMAIS_ATUAL,IF($I$2="SIM",25,23),0),"")</f>
        <v>19.198399999999999</v>
      </c>
      <c r="I10" s="55">
        <f>IFERROR(IF($I$2="SIM",VLOOKUP(GERAL[[#This Row],[CLT ACUMULADO]],AUX_CLAN,4,0),SUMIF(GERAL[TRECHO],GERAL[[#This Row],[PONTO]],GERAL[ACUMULADA])+GERAL[[#This Row],[TOTAL DO TRECHO]]),"")</f>
        <v>42.884</v>
      </c>
      <c r="J10" s="55">
        <f>IFERROR(SQRT((GERAL[[#This Row],[X]]-$P$11)^2+(GERAL[[#This Row],[Y]]-$P$12)^2),"")</f>
        <v>449111.80234742834</v>
      </c>
      <c r="K10" s="169" t="s">
        <v>236</v>
      </c>
      <c r="L10" s="171" t="s">
        <v>96</v>
      </c>
      <c r="M10" s="128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>121.74290591682899</v>
      </c>
      <c r="O10" s="192"/>
      <c r="P10" s="192"/>
    </row>
    <row r="11" spans="1:17" s="6" customFormat="1" x14ac:dyDescent="0.3">
      <c r="A11" s="169">
        <v>13</v>
      </c>
      <c r="B11" s="169">
        <v>12</v>
      </c>
      <c r="C11" s="169">
        <v>36</v>
      </c>
      <c r="D11" s="128">
        <f>IFERROR(VLOOKUP(GERAL[[#This Row],[PONTO]],COORD,2,0),"")</f>
        <v>636017</v>
      </c>
      <c r="E11" s="128">
        <f>IFERROR(VLOOKUP(GERAL[[#This Row],[PONTO]],COORD,3,0),"")</f>
        <v>7462129</v>
      </c>
      <c r="F11" s="129">
        <f>IFERROR(VLOOKUP(GERAL[[#This Row],[PONTO]],RAMAIS_ATUAL,24,0),"")</f>
        <v>3</v>
      </c>
      <c r="G11" s="129">
        <f>IFERROR(SUMIF(GERAL[TRECHO],GERAL[[#This Row],[PONTO]],GERAL[CLT ACUMULADO])+GERAL[[#This Row],[CLIENTES]],"")</f>
        <v>10</v>
      </c>
      <c r="H11" s="55">
        <f>IFERROR(VLOOKUP(GERAL[[#This Row],[PONTO]],RAMAIS_ATUAL,IF($I$2="SIM",25,23),0),"")</f>
        <v>11.0192</v>
      </c>
      <c r="I11" s="55">
        <f>IFERROR(IF($I$2="SIM",VLOOKUP(GERAL[[#This Row],[CLT ACUMULADO]],AUX_CLAN,4,0),SUMIF(GERAL[TRECHO],GERAL[[#This Row],[PONTO]],GERAL[ACUMULADA])+GERAL[[#This Row],[TOTAL DO TRECHO]]),"")</f>
        <v>27.377600000000001</v>
      </c>
      <c r="J11" s="55">
        <f>IFERROR(SQRT((GERAL[[#This Row],[X]]-$P$11)^2+(GERAL[[#This Row],[Y]]-$P$12)^2),"")</f>
        <v>449134.33212157339</v>
      </c>
      <c r="K11" s="169" t="s">
        <v>236</v>
      </c>
      <c r="L11" s="171" t="s">
        <v>95</v>
      </c>
      <c r="M11" s="128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>120.40803429522212</v>
      </c>
      <c r="O11" s="11" t="s">
        <v>3</v>
      </c>
      <c r="P11" s="13">
        <f>IFERROR(SUMPRODUCT(GERAL[TOTAL DO TRECHO],GERAL[X])/SUM(GERAL[TOTAL DO TRECHO]),"INSERIR DADOS")</f>
        <v>551487.0318212593</v>
      </c>
    </row>
    <row r="12" spans="1:17" x14ac:dyDescent="0.3">
      <c r="A12" s="169">
        <v>14</v>
      </c>
      <c r="B12" s="169">
        <v>13</v>
      </c>
      <c r="C12" s="169">
        <v>36</v>
      </c>
      <c r="D12" s="128">
        <f>IFERROR(VLOOKUP(GERAL[[#This Row],[PONTO]],COORD,2,0),"")</f>
        <v>63645</v>
      </c>
      <c r="E12" s="128">
        <f>IFERROR(VLOOKUP(GERAL[[#This Row],[PONTO]],COORD,3,0),"")</f>
        <v>7462154</v>
      </c>
      <c r="F12" s="129">
        <f>IFERROR(VLOOKUP(GERAL[[#This Row],[PONTO]],RAMAIS_ATUAL,24,0),"")</f>
        <v>5</v>
      </c>
      <c r="G12" s="129">
        <f>IFERROR(SUMIF(GERAL[TRECHO],GERAL[[#This Row],[PONTO]],GERAL[CLT ACUMULADO])+GERAL[[#This Row],[CLIENTES]],"")</f>
        <v>7</v>
      </c>
      <c r="H12" s="55">
        <f>IFERROR(VLOOKUP(GERAL[[#This Row],[PONTO]],RAMAIS_ATUAL,IF($I$2="SIM",25,23),0),"")</f>
        <v>13.7456</v>
      </c>
      <c r="I12" s="55">
        <f>IFERROR(IF($I$2="SIM",VLOOKUP(GERAL[[#This Row],[CLT ACUMULADO]],AUX_CLAN,4,0),SUMIF(GERAL[TRECHO],GERAL[[#This Row],[PONTO]],GERAL[ACUMULADA])+GERAL[[#This Row],[TOTAL DO TRECHO]]),"")</f>
        <v>19.198399999999999</v>
      </c>
      <c r="J12" s="55">
        <f>IFERROR(SQRT((GERAL[[#This Row],[X]]-$P$11)^2+(GERAL[[#This Row],[Y]]-$P$12)^2),"")</f>
        <v>657714.40368155029</v>
      </c>
      <c r="K12" s="169" t="s">
        <v>236</v>
      </c>
      <c r="L12" s="171" t="s">
        <v>95</v>
      </c>
      <c r="M12" s="128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>119.49203002930433</v>
      </c>
      <c r="O12" s="12" t="s">
        <v>18</v>
      </c>
      <c r="P12" s="13">
        <f>IFERROR(SUMPRODUCT(GERAL[TOTAL DO TRECHO],GERAL[Y])/SUM(GERAL[TOTAL DO TRECHO]),"INSERIR DADOS")</f>
        <v>7021020.9262017608</v>
      </c>
    </row>
    <row r="13" spans="1:17" s="6" customFormat="1" x14ac:dyDescent="0.3">
      <c r="A13" s="169">
        <v>15</v>
      </c>
      <c r="B13" s="169">
        <v>14</v>
      </c>
      <c r="C13" s="169">
        <v>38</v>
      </c>
      <c r="D13" s="128">
        <f>IFERROR(VLOOKUP(GERAL[[#This Row],[PONTO]],COORD,2,0),"")</f>
        <v>636075</v>
      </c>
      <c r="E13" s="128">
        <f>IFERROR(VLOOKUP(GERAL[[#This Row],[PONTO]],COORD,3,0),"")</f>
        <v>7462174</v>
      </c>
      <c r="F13" s="129">
        <f>IFERROR(VLOOKUP(GERAL[[#This Row],[PONTO]],RAMAIS_ATUAL,24,0),"")</f>
        <v>2</v>
      </c>
      <c r="G13" s="129">
        <f>IFERROR(SUMIF(GERAL[TRECHO],GERAL[[#This Row],[PONTO]],GERAL[CLT ACUMULADO])+GERAL[[#This Row],[CLIENTES]],"")</f>
        <v>2</v>
      </c>
      <c r="H13" s="55">
        <f>IFERROR(VLOOKUP(GERAL[[#This Row],[PONTO]],RAMAIS_ATUAL,IF($I$2="SIM",25,23),0),"")</f>
        <v>11.0192</v>
      </c>
      <c r="I13" s="55">
        <f>IFERROR(IF($I$2="SIM",VLOOKUP(GERAL[[#This Row],[CLT ACUMULADO]],AUX_CLAN,4,0),SUMIF(GERAL[TRECHO],GERAL[[#This Row],[PONTO]],GERAL[ACUMULADA])+GERAL[[#This Row],[TOTAL DO TRECHO]]),"")</f>
        <v>11.0192</v>
      </c>
      <c r="J13" s="55">
        <f>IFERROR(SQRT((GERAL[[#This Row],[X]]-$P$11)^2+(GERAL[[#This Row],[Y]]-$P$12)^2),"")</f>
        <v>449189.44653925515</v>
      </c>
      <c r="K13" s="169" t="s">
        <v>236</v>
      </c>
      <c r="L13" s="171" t="s">
        <v>95</v>
      </c>
      <c r="M13" s="128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>118.9492078312874</v>
      </c>
    </row>
    <row r="14" spans="1:17" x14ac:dyDescent="0.3">
      <c r="A14" s="169">
        <v>10</v>
      </c>
      <c r="B14" s="169">
        <v>11</v>
      </c>
      <c r="C14" s="169">
        <v>36</v>
      </c>
      <c r="D14" s="128">
        <f>IFERROR(VLOOKUP(GERAL[[#This Row],[PONTO]],COORD,2,0),"")</f>
        <v>635924</v>
      </c>
      <c r="E14" s="128">
        <f>IFERROR(VLOOKUP(GERAL[[#This Row],[PONTO]],COORD,3,0),"")</f>
        <v>7462060</v>
      </c>
      <c r="F14" s="129">
        <f>IFERROR(VLOOKUP(GERAL[[#This Row],[PONTO]],RAMAIS_ATUAL,24,0),"")</f>
        <v>4</v>
      </c>
      <c r="G14" s="129">
        <f>IFERROR(SUMIF(GERAL[TRECHO],GERAL[[#This Row],[PONTO]],GERAL[CLT ACUMULADO])+GERAL[[#This Row],[CLIENTES]],"")</f>
        <v>28</v>
      </c>
      <c r="H14" s="55">
        <f>IFERROR(VLOOKUP(GERAL[[#This Row],[PONTO]],RAMAIS_ATUAL,IF($I$2="SIM",25,23),0),"")</f>
        <v>11.0192</v>
      </c>
      <c r="I14" s="55">
        <f>IFERROR(IF($I$2="SIM",VLOOKUP(GERAL[[#This Row],[CLT ACUMULADO]],AUX_CLAN,4,0),SUMIF(GERAL[TRECHO],GERAL[[#This Row],[PONTO]],GERAL[ACUMULADA])+GERAL[[#This Row],[TOTAL DO TRECHO]]),"")</f>
        <v>63.388799999999996</v>
      </c>
      <c r="J14" s="55">
        <f>IFERROR(SQRT((GERAL[[#This Row],[X]]-$P$11)^2+(GERAL[[#This Row],[Y]]-$P$12)^2),"")</f>
        <v>449049.06882436178</v>
      </c>
      <c r="K14" s="169" t="s">
        <v>238</v>
      </c>
      <c r="L14" s="171" t="s">
        <v>96</v>
      </c>
      <c r="M14" s="128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>121.13457065505666</v>
      </c>
      <c r="O14" s="190" t="s">
        <v>237</v>
      </c>
      <c r="P14" s="191"/>
    </row>
    <row r="15" spans="1:17" s="6" customFormat="1" x14ac:dyDescent="0.3">
      <c r="A15" s="169">
        <v>4</v>
      </c>
      <c r="B15" s="169">
        <v>10</v>
      </c>
      <c r="C15" s="169">
        <v>34</v>
      </c>
      <c r="D15" s="128">
        <f>IFERROR(VLOOKUP(GERAL[[#This Row],[PONTO]],COORD,2,0),"")</f>
        <v>635902</v>
      </c>
      <c r="E15" s="128">
        <f>IFERROR(VLOOKUP(GERAL[[#This Row],[PONTO]],COORD,3,0),"")</f>
        <v>746233</v>
      </c>
      <c r="F15" s="129">
        <f>IFERROR(VLOOKUP(GERAL[[#This Row],[PONTO]],RAMAIS_ATUAL,24,0),"")</f>
        <v>4</v>
      </c>
      <c r="G15" s="129">
        <f>IFERROR(SUMIF(GERAL[TRECHO],GERAL[[#This Row],[PONTO]],GERAL[CLT ACUMULADO])+GERAL[[#This Row],[CLIENTES]],"")</f>
        <v>24</v>
      </c>
      <c r="H15" s="55">
        <f>IFERROR(VLOOKUP(GERAL[[#This Row],[PONTO]],RAMAIS_ATUAL,IF($I$2="SIM",25,23),0),"")</f>
        <v>11.0192</v>
      </c>
      <c r="I15" s="55">
        <f>IFERROR(IF($I$2="SIM",VLOOKUP(GERAL[[#This Row],[CLT ACUMULADO]],AUX_CLAN,4,0),SUMIF(GERAL[TRECHO],GERAL[[#This Row],[PONTO]],GERAL[ACUMULADA])+GERAL[[#This Row],[TOTAL DO TRECHO]]),"")</f>
        <v>56.459199999999996</v>
      </c>
      <c r="J15" s="55">
        <f>IFERROR(SQRT((GERAL[[#This Row],[X]]-$P$11)^2+(GERAL[[#This Row],[Y]]-$P$12)^2),"")</f>
        <v>6275355.7194520859</v>
      </c>
      <c r="K15" s="169" t="s">
        <v>238</v>
      </c>
      <c r="L15" s="171" t="s">
        <v>96</v>
      </c>
      <c r="M15" s="128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>120.00432499295094</v>
      </c>
      <c r="O15" s="192"/>
      <c r="P15" s="192"/>
    </row>
    <row r="16" spans="1:17" x14ac:dyDescent="0.3">
      <c r="A16" s="169">
        <v>5</v>
      </c>
      <c r="B16" s="169">
        <v>4</v>
      </c>
      <c r="C16" s="169">
        <v>23</v>
      </c>
      <c r="D16" s="128">
        <f>IFERROR(VLOOKUP(GERAL[[#This Row],[PONTO]],COORD,2,0),"")</f>
        <v>635921</v>
      </c>
      <c r="E16" s="128">
        <f>IFERROR(VLOOKUP(GERAL[[#This Row],[PONTO]],COORD,3,0),"")</f>
        <v>7462020</v>
      </c>
      <c r="F16" s="129">
        <f>IFERROR(VLOOKUP(GERAL[[#This Row],[PONTO]],RAMAIS_ATUAL,24,0),"")</f>
        <v>3</v>
      </c>
      <c r="G16" s="129">
        <f>IFERROR(SUMIF(GERAL[TRECHO],GERAL[[#This Row],[PONTO]],GERAL[CLT ACUMULADO])+GERAL[[#This Row],[CLIENTES]],"")</f>
        <v>18</v>
      </c>
      <c r="H16" s="55">
        <f>IFERROR(VLOOKUP(GERAL[[#This Row],[PONTO]],RAMAIS_ATUAL,IF($I$2="SIM",25,23),0),"")</f>
        <v>11.0192</v>
      </c>
      <c r="I16" s="55">
        <f>IFERROR(IF($I$2="SIM",VLOOKUP(GERAL[[#This Row],[CLT ACUMULADO]],AUX_CLAN,4,0),SUMIF(GERAL[TRECHO],GERAL[[#This Row],[PONTO]],GERAL[ACUMULADA])+GERAL[[#This Row],[TOTAL DO TRECHO]]),"")</f>
        <v>45.099200000000003</v>
      </c>
      <c r="J16" s="55">
        <f>IFERROR(SQRT((GERAL[[#This Row],[X]]-$P$11)^2+(GERAL[[#This Row],[Y]]-$P$12)^2),"")</f>
        <v>449009.21824981883</v>
      </c>
      <c r="K16" s="169" t="s">
        <v>238</v>
      </c>
      <c r="L16" s="171" t="s">
        <v>96</v>
      </c>
      <c r="M16" s="128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>119.40143728637928</v>
      </c>
      <c r="O16" s="196">
        <f>INDEX(GERAL[PONTO],MATCH(MIN(GERAL[SNAP]),GERAL[SNAP],0))</f>
        <v>3</v>
      </c>
      <c r="P16" s="189"/>
    </row>
    <row r="17" spans="1:16" s="6" customFormat="1" x14ac:dyDescent="0.3">
      <c r="A17" s="169">
        <v>3</v>
      </c>
      <c r="B17" s="169">
        <v>4</v>
      </c>
      <c r="C17" s="169">
        <v>34</v>
      </c>
      <c r="D17" s="128">
        <f>IFERROR(VLOOKUP(GERAL[[#This Row],[PONTO]],COORD,2,0),"")</f>
        <v>635871</v>
      </c>
      <c r="E17" s="128">
        <f>IFERROR(VLOOKUP(GERAL[[#This Row],[PONTO]],COORD,3,0),"")</f>
        <v>7462013</v>
      </c>
      <c r="F17" s="129">
        <f>IFERROR(VLOOKUP(GERAL[[#This Row],[PONTO]],RAMAIS_ATUAL,24,0),"")</f>
        <v>2</v>
      </c>
      <c r="G17" s="129">
        <f>IFERROR(SUMIF(GERAL[TRECHO],GERAL[[#This Row],[PONTO]],GERAL[CLT ACUMULADO])+GERAL[[#This Row],[CLIENTES]],"")</f>
        <v>2</v>
      </c>
      <c r="H17" s="55">
        <f>IFERROR(VLOOKUP(GERAL[[#This Row],[PONTO]],RAMAIS_ATUAL,IF($I$2="SIM",25,23),0),"")</f>
        <v>11.0192</v>
      </c>
      <c r="I17" s="55">
        <f>IFERROR(IF($I$2="SIM",VLOOKUP(GERAL[[#This Row],[CLT ACUMULADO]],AUX_CLAN,4,0),SUMIF(GERAL[TRECHO],GERAL[[#This Row],[PONTO]],GERAL[ACUMULADA])+GERAL[[#This Row],[TOTAL DO TRECHO]]),"")</f>
        <v>11.0192</v>
      </c>
      <c r="J17" s="55">
        <f>IFERROR(SQRT((GERAL[[#This Row],[X]]-$P$11)^2+(GERAL[[#This Row],[Y]]-$P$12)^2),"")</f>
        <v>448992.94341722387</v>
      </c>
      <c r="K17" s="169" t="s">
        <v>238</v>
      </c>
      <c r="L17" s="171" t="s">
        <v>95</v>
      </c>
      <c r="M17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</row>
    <row r="18" spans="1:16" x14ac:dyDescent="0.3">
      <c r="A18" s="169">
        <v>6</v>
      </c>
      <c r="B18" s="169">
        <v>5</v>
      </c>
      <c r="C18" s="169">
        <v>21</v>
      </c>
      <c r="D18" s="128">
        <f>IFERROR(VLOOKUP(GERAL[[#This Row],[PONTO]],COORD,2,0),"")</f>
        <v>635940</v>
      </c>
      <c r="E18" s="128">
        <f>IFERROR(VLOOKUP(GERAL[[#This Row],[PONTO]],COORD,3,0),"")</f>
        <v>7462012</v>
      </c>
      <c r="F18" s="129">
        <f>IFERROR(VLOOKUP(GERAL[[#This Row],[PONTO]],RAMAIS_ATUAL,24,0),"")</f>
        <v>1</v>
      </c>
      <c r="G18" s="129">
        <f>IFERROR(SUMIF(GERAL[TRECHO],GERAL[[#This Row],[PONTO]],GERAL[CLT ACUMULADO])+GERAL[[#This Row],[CLIENTES]],"")</f>
        <v>15</v>
      </c>
      <c r="H18" s="55">
        <f>IFERROR(VLOOKUP(GERAL[[#This Row],[PONTO]],RAMAIS_ATUAL,IF($I$2="SIM",25,23),0),"")</f>
        <v>11.0192</v>
      </c>
      <c r="I18" s="55">
        <f>IFERROR(IF($I$2="SIM",VLOOKUP(GERAL[[#This Row],[CLT ACUMULADO]],AUX_CLAN,4,0),SUMIF(GERAL[TRECHO],GERAL[[#This Row],[PONTO]],GERAL[ACUMULADA])+GERAL[[#This Row],[TOTAL DO TRECHO]]),"")</f>
        <v>38.453599999999994</v>
      </c>
      <c r="J18" s="55">
        <f>IFERROR(SQRT((GERAL[[#This Row],[X]]-$P$11)^2+(GERAL[[#This Row],[Y]]-$P$12)^2),"")</f>
        <v>449004.93427569757</v>
      </c>
      <c r="K18" s="169" t="s">
        <v>238</v>
      </c>
      <c r="L18" s="171" t="s">
        <v>96</v>
      </c>
      <c r="M18" s="128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>118.93564951976029</v>
      </c>
      <c r="O18" s="200" t="s">
        <v>239</v>
      </c>
      <c r="P18" s="191"/>
    </row>
    <row r="19" spans="1:16" s="6" customFormat="1" x14ac:dyDescent="0.3">
      <c r="A19" s="169">
        <v>7</v>
      </c>
      <c r="B19" s="169">
        <v>6</v>
      </c>
      <c r="C19" s="169">
        <v>25</v>
      </c>
      <c r="D19" s="128">
        <f>IFERROR(VLOOKUP(GERAL[[#This Row],[PONTO]],COORD,2,0),"")</f>
        <v>635958</v>
      </c>
      <c r="E19" s="128">
        <f>IFERROR(VLOOKUP(GERAL[[#This Row],[PONTO]],COORD,3,0),"")</f>
        <v>7462020</v>
      </c>
      <c r="F19" s="129">
        <f>IFERROR(VLOOKUP(GERAL[[#This Row],[PONTO]],RAMAIS_ATUAL,24,0),"")</f>
        <v>3</v>
      </c>
      <c r="G19" s="129">
        <f>IFERROR(SUMIF(GERAL[TRECHO],GERAL[[#This Row],[PONTO]],GERAL[CLT ACUMULADO])+GERAL[[#This Row],[CLIENTES]],"")</f>
        <v>14</v>
      </c>
      <c r="H19" s="55">
        <f>IFERROR(VLOOKUP(GERAL[[#This Row],[PONTO]],RAMAIS_ATUAL,IF($I$2="SIM",25,23),0),"")</f>
        <v>11.0192</v>
      </c>
      <c r="I19" s="55">
        <f>IFERROR(IF($I$2="SIM",VLOOKUP(GERAL[[#This Row],[CLT ACUMULADO]],AUX_CLAN,4,0),SUMIF(GERAL[TRECHO],GERAL[[#This Row],[PONTO]],GERAL[ACUMULADA])+GERAL[[#This Row],[TOTAL DO TRECHO]]),"")</f>
        <v>36.238399999999999</v>
      </c>
      <c r="J19" s="55">
        <f>IFERROR(SQRT((GERAL[[#This Row],[X]]-$P$11)^2+(GERAL[[#This Row],[Y]]-$P$12)^2),"")</f>
        <v>449016.17738780711</v>
      </c>
      <c r="K19" s="169" t="s">
        <v>238</v>
      </c>
      <c r="L19" s="171" t="s">
        <v>96</v>
      </c>
      <c r="M19" s="128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>118.41441306539036</v>
      </c>
      <c r="O19" s="192"/>
      <c r="P19" s="192"/>
    </row>
    <row r="20" spans="1:16" x14ac:dyDescent="0.3">
      <c r="A20" s="169">
        <v>8</v>
      </c>
      <c r="B20" s="169">
        <v>7</v>
      </c>
      <c r="C20" s="169">
        <v>32</v>
      </c>
      <c r="D20" s="128">
        <f>IFERROR(VLOOKUP(GERAL[[#This Row],[PONTO]],COORD,2,0),"")</f>
        <v>635985</v>
      </c>
      <c r="E20" s="128">
        <f>IFERROR(VLOOKUP(GERAL[[#This Row],[PONTO]],COORD,3,0),"")</f>
        <v>7462040</v>
      </c>
      <c r="F20" s="129">
        <f>IFERROR(VLOOKUP(GERAL[[#This Row],[PONTO]],RAMAIS_ATUAL,24,0),"")</f>
        <v>7</v>
      </c>
      <c r="G20" s="129">
        <f>IFERROR(SUMIF(GERAL[TRECHO],GERAL[[#This Row],[PONTO]],GERAL[CLT ACUMULADO])+GERAL[[#This Row],[CLIENTES]],"")</f>
        <v>11</v>
      </c>
      <c r="H20" s="55">
        <f>IFERROR(VLOOKUP(GERAL[[#This Row],[PONTO]],RAMAIS_ATUAL,IF($I$2="SIM",25,23),0),"")</f>
        <v>19.198399999999999</v>
      </c>
      <c r="I20" s="55">
        <f>IFERROR(IF($I$2="SIM",VLOOKUP(GERAL[[#This Row],[CLT ACUMULADO]],AUX_CLAN,4,0),SUMIF(GERAL[TRECHO],GERAL[[#This Row],[PONTO]],GERAL[ACUMULADA])+GERAL[[#This Row],[TOTAL DO TRECHO]]),"")</f>
        <v>29.592799999999997</v>
      </c>
      <c r="J20" s="55">
        <f>IFERROR(SQRT((GERAL[[#This Row],[X]]-$P$11)^2+(GERAL[[#This Row],[Y]]-$P$12)^2),"")</f>
        <v>449040.90023091692</v>
      </c>
      <c r="K20" s="169" t="s">
        <v>238</v>
      </c>
      <c r="L20" s="171" t="s">
        <v>96</v>
      </c>
      <c r="M20" s="128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>117.87374129700095</v>
      </c>
      <c r="O20" s="193">
        <f>O25/400</f>
        <v>0.97</v>
      </c>
      <c r="P20" s="189"/>
    </row>
    <row r="21" spans="1:16" s="6" customFormat="1" x14ac:dyDescent="0.3">
      <c r="A21" s="169">
        <v>9</v>
      </c>
      <c r="B21" s="169">
        <v>8</v>
      </c>
      <c r="C21" s="169">
        <v>39</v>
      </c>
      <c r="D21" s="128">
        <f>IFERROR(VLOOKUP(GERAL[[#This Row],[PONTO]],COORD,2,0),"")</f>
        <v>63613</v>
      </c>
      <c r="E21" s="128">
        <f>IFERROR(VLOOKUP(GERAL[[#This Row],[PONTO]],COORD,3,0),"")</f>
        <v>7462062</v>
      </c>
      <c r="F21" s="129">
        <f>IFERROR(VLOOKUP(GERAL[[#This Row],[PONTO]],RAMAIS_ATUAL,24,0),"")</f>
        <v>4</v>
      </c>
      <c r="G21" s="129">
        <f>IFERROR(SUMIF(GERAL[TRECHO],GERAL[[#This Row],[PONTO]],GERAL[CLT ACUMULADO])+GERAL[[#This Row],[CLIENTES]],"")</f>
        <v>4</v>
      </c>
      <c r="H21" s="55">
        <f>IFERROR(VLOOKUP(GERAL[[#This Row],[PONTO]],RAMAIS_ATUAL,IF($I$2="SIM",25,23),0),"")</f>
        <v>11.0192</v>
      </c>
      <c r="I21" s="55">
        <f>IFERROR(IF($I$2="SIM",VLOOKUP(GERAL[[#This Row],[CLT ACUMULADO]],AUX_CLAN,4,0),SUMIF(GERAL[TRECHO],GERAL[[#This Row],[PONTO]],GERAL[ACUMULADA])+GERAL[[#This Row],[TOTAL DO TRECHO]]),"")</f>
        <v>11.0192</v>
      </c>
      <c r="J21" s="55">
        <f>IFERROR(SQRT((GERAL[[#This Row],[X]]-$P$11)^2+(GERAL[[#This Row],[Y]]-$P$12)^2),"")</f>
        <v>657676.43997837952</v>
      </c>
      <c r="K21" s="169" t="s">
        <v>238</v>
      </c>
      <c r="L21" s="171" t="s">
        <v>96</v>
      </c>
      <c r="M21" s="128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>117.63361952695215</v>
      </c>
      <c r="O21" s="198" t="s">
        <v>240</v>
      </c>
      <c r="P21" s="199"/>
    </row>
    <row r="22" spans="1:16" x14ac:dyDescent="0.3">
      <c r="A22" s="169"/>
      <c r="B22" s="169"/>
      <c r="C22" s="169"/>
      <c r="D22" s="128" t="str">
        <f>IFERROR(VLOOKUP(GERAL[[#This Row],[PONTO]],COORD,2,0),"")</f>
        <v/>
      </c>
      <c r="E22" s="128" t="str">
        <f>IFERROR(VLOOKUP(GERAL[[#This Row],[PONTO]],COORD,3,0),"")</f>
        <v/>
      </c>
      <c r="F22" s="129" t="str">
        <f>IFERROR(VLOOKUP(GERAL[[#This Row],[PONTO]],RAMAIS_ATUAL,24,0),"")</f>
        <v/>
      </c>
      <c r="G22" s="129" t="str">
        <f>IFERROR(SUMIF(GERAL[TRECHO],GERAL[[#This Row],[PONTO]],GERAL[CLT ACUMULADO])+GERAL[[#This Row],[CLIENTES]],"")</f>
        <v/>
      </c>
      <c r="H22" s="55" t="str">
        <f>IFERROR(VLOOKUP(GERAL[[#This Row],[PONTO]],RAMAIS_ATUAL,IF($I$2="SIM",25,23),0),"")</f>
        <v/>
      </c>
      <c r="I22" s="55" t="str">
        <f>IFERROR(IF($I$2="SIM",VLOOKUP(GERAL[[#This Row],[CLT ACUMULADO]],AUX_CLAN,4,0),SUMIF(GERAL[TRECHO],GERAL[[#This Row],[PONTO]],GERAL[ACUMULADA])+GERAL[[#This Row],[TOTAL DO TRECHO]]),"")</f>
        <v/>
      </c>
      <c r="J22" s="55" t="str">
        <f>IFERROR(SQRT((GERAL[[#This Row],[X]]-$P$11)^2+(GERAL[[#This Row],[Y]]-$P$12)^2),"")</f>
        <v/>
      </c>
      <c r="K22" s="169"/>
      <c r="L22" s="171"/>
      <c r="M22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</row>
    <row r="23" spans="1:16" s="6" customFormat="1" x14ac:dyDescent="0.3">
      <c r="A23" s="169"/>
      <c r="B23" s="169"/>
      <c r="C23" s="169"/>
      <c r="D23" s="128" t="str">
        <f>IFERROR(VLOOKUP(GERAL[[#This Row],[PONTO]],COORD,2,0),"")</f>
        <v/>
      </c>
      <c r="E23" s="128" t="str">
        <f>IFERROR(VLOOKUP(GERAL[[#This Row],[PONTO]],COORD,3,0),"")</f>
        <v/>
      </c>
      <c r="F23" s="129" t="str">
        <f>IFERROR(VLOOKUP(GERAL[[#This Row],[PONTO]],RAMAIS_ATUAL,24,0),"")</f>
        <v/>
      </c>
      <c r="G23" s="129" t="str">
        <f>IFERROR(SUMIF(GERAL[TRECHO],GERAL[[#This Row],[PONTO]],GERAL[CLT ACUMULADO])+GERAL[[#This Row],[CLIENTES]],"")</f>
        <v/>
      </c>
      <c r="H23" s="55" t="str">
        <f>IFERROR(VLOOKUP(GERAL[[#This Row],[PONTO]],RAMAIS_ATUAL,IF($I$2="SIM",25,23),0),"")</f>
        <v/>
      </c>
      <c r="I23" s="55" t="str">
        <f>IFERROR(IF($I$2="SIM",VLOOKUP(GERAL[[#This Row],[CLT ACUMULADO]],AUX_CLAN,4,0),SUMIF(GERAL[TRECHO],GERAL[[#This Row],[PONTO]],GERAL[ACUMULADA])+GERAL[[#This Row],[TOTAL DO TRECHO]]),"")</f>
        <v/>
      </c>
      <c r="J23" s="55" t="str">
        <f>IFERROR(SQRT((GERAL[[#This Row],[X]]-$P$11)^2+(GERAL[[#This Row],[Y]]-$P$12)^2),"")</f>
        <v/>
      </c>
      <c r="K23" s="169"/>
      <c r="L23" s="171"/>
      <c r="M23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  <c r="O23" s="190" t="s">
        <v>241</v>
      </c>
      <c r="P23" s="191"/>
    </row>
    <row r="24" spans="1:16" x14ac:dyDescent="0.3">
      <c r="A24" s="169"/>
      <c r="B24" s="169"/>
      <c r="C24" s="169"/>
      <c r="D24" s="128" t="str">
        <f>IFERROR(VLOOKUP(GERAL[[#This Row],[PONTO]],COORD,2,0),"")</f>
        <v/>
      </c>
      <c r="E24" s="128" t="str">
        <f>IFERROR(VLOOKUP(GERAL[[#This Row],[PONTO]],COORD,3,0),"")</f>
        <v/>
      </c>
      <c r="F24" s="129" t="str">
        <f>IFERROR(VLOOKUP(GERAL[[#This Row],[PONTO]],RAMAIS_ATUAL,24,0),"")</f>
        <v/>
      </c>
      <c r="G24" s="129" t="str">
        <f>IFERROR(SUMIF(GERAL[TRECHO],GERAL[[#This Row],[PONTO]],GERAL[CLT ACUMULADO])+GERAL[[#This Row],[CLIENTES]],"")</f>
        <v/>
      </c>
      <c r="H24" s="55" t="str">
        <f>IFERROR(VLOOKUP(GERAL[[#This Row],[PONTO]],RAMAIS_ATUAL,IF($I$2="SIM",25,23),0),"")</f>
        <v/>
      </c>
      <c r="I24" s="55" t="str">
        <f>IFERROR(IF($I$2="SIM",VLOOKUP(GERAL[[#This Row],[CLT ACUMULADO]],AUX_CLAN,4,0),SUMIF(GERAL[TRECHO],GERAL[[#This Row],[PONTO]],GERAL[ACUMULADA])+GERAL[[#This Row],[TOTAL DO TRECHO]]),"")</f>
        <v/>
      </c>
      <c r="J24" s="55" t="str">
        <f>IFERROR(SQRT((GERAL[[#This Row],[X]]-$P$11)^2+(GERAL[[#This Row],[Y]]-$P$12)^2),"")</f>
        <v/>
      </c>
      <c r="K24" s="169"/>
      <c r="L24" s="171"/>
      <c r="M24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  <c r="O24" s="192"/>
      <c r="P24" s="192"/>
    </row>
    <row r="25" spans="1:16" x14ac:dyDescent="0.3">
      <c r="A25" s="169"/>
      <c r="B25" s="169"/>
      <c r="C25" s="169"/>
      <c r="D25" s="128" t="str">
        <f>IFERROR(VLOOKUP(GERAL[[#This Row],[PONTO]],COORD,2,0),"")</f>
        <v/>
      </c>
      <c r="E25" s="128" t="str">
        <f>IFERROR(VLOOKUP(GERAL[[#This Row],[PONTO]],COORD,3,0),"")</f>
        <v/>
      </c>
      <c r="F25" s="129" t="str">
        <f>IFERROR(VLOOKUP(GERAL[[#This Row],[PONTO]],RAMAIS_ATUAL,24,0),"")</f>
        <v/>
      </c>
      <c r="G25" s="129" t="str">
        <f>IFERROR(SUMIF(GERAL[TRECHO],GERAL[[#This Row],[PONTO]],GERAL[CLT ACUMULADO])+GERAL[[#This Row],[CLIENTES]],"")</f>
        <v/>
      </c>
      <c r="H25" s="55" t="str">
        <f>IFERROR(VLOOKUP(GERAL[[#This Row],[PONTO]],RAMAIS_ATUAL,IF($I$2="SIM",25,23),0),"")</f>
        <v/>
      </c>
      <c r="I25" s="55" t="str">
        <f>IFERROR(IF($I$2="SIM",VLOOKUP(GERAL[[#This Row],[CLT ACUMULADO]],AUX_CLAN,4,0),SUMIF(GERAL[TRECHO],GERAL[[#This Row],[PONTO]],GERAL[ACUMULADA])+GERAL[[#This Row],[TOTAL DO TRECHO]]),"")</f>
        <v/>
      </c>
      <c r="J25" s="55" t="str">
        <f>IFERROR(SQRT((GERAL[[#This Row],[X]]-$P$11)^2+(GERAL[[#This Row],[Y]]-$P$12)^2),"")</f>
        <v/>
      </c>
      <c r="K25" s="169"/>
      <c r="L25" s="171"/>
      <c r="M25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  <c r="O25" s="197">
        <f>SUM(GERAL[M])</f>
        <v>388</v>
      </c>
      <c r="P25" s="189"/>
    </row>
    <row r="26" spans="1:16" x14ac:dyDescent="0.3">
      <c r="A26" s="169"/>
      <c r="B26" s="169"/>
      <c r="C26" s="169"/>
      <c r="D26" s="128" t="str">
        <f>IFERROR(VLOOKUP(GERAL[[#This Row],[PONTO]],COORD,2,0),"")</f>
        <v/>
      </c>
      <c r="E26" s="128" t="str">
        <f>IFERROR(VLOOKUP(GERAL[[#This Row],[PONTO]],COORD,3,0),"")</f>
        <v/>
      </c>
      <c r="F26" s="129" t="str">
        <f>IFERROR(VLOOKUP(GERAL[[#This Row],[PONTO]],RAMAIS_ATUAL,24,0),"")</f>
        <v/>
      </c>
      <c r="G26" s="129" t="str">
        <f>IFERROR(SUMIF(GERAL[TRECHO],GERAL[[#This Row],[PONTO]],GERAL[CLT ACUMULADO])+GERAL[[#This Row],[CLIENTES]],"")</f>
        <v/>
      </c>
      <c r="H26" s="55" t="str">
        <f>IFERROR(VLOOKUP(GERAL[[#This Row],[PONTO]],RAMAIS_ATUAL,IF($I$2="SIM",25,23),0),"")</f>
        <v/>
      </c>
      <c r="I26" s="55" t="str">
        <f>IFERROR(IF($I$2="SIM",VLOOKUP(GERAL[[#This Row],[CLT ACUMULADO]],AUX_CLAN,4,0),SUMIF(GERAL[TRECHO],GERAL[[#This Row],[PONTO]],GERAL[ACUMULADA])+GERAL[[#This Row],[TOTAL DO TRECHO]]),"")</f>
        <v/>
      </c>
      <c r="J26" s="55" t="str">
        <f>IFERROR(SQRT((GERAL[[#This Row],[X]]-$P$11)^2+(GERAL[[#This Row],[Y]]-$P$12)^2),"")</f>
        <v/>
      </c>
      <c r="K26" s="169"/>
      <c r="L26" s="171"/>
      <c r="M26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</row>
    <row r="27" spans="1:16" x14ac:dyDescent="0.3">
      <c r="A27" s="169"/>
      <c r="B27" s="169"/>
      <c r="C27" s="169"/>
      <c r="D27" s="128" t="str">
        <f>IFERROR(VLOOKUP(GERAL[[#This Row],[PONTO]],COORD,2,0),"")</f>
        <v/>
      </c>
      <c r="E27" s="128" t="str">
        <f>IFERROR(VLOOKUP(GERAL[[#This Row],[PONTO]],COORD,3,0),"")</f>
        <v/>
      </c>
      <c r="F27" s="129" t="str">
        <f>IFERROR(VLOOKUP(GERAL[[#This Row],[PONTO]],RAMAIS_ATUAL,24,0),"")</f>
        <v/>
      </c>
      <c r="G27" s="129" t="str">
        <f>IFERROR(SUMIF(GERAL[TRECHO],GERAL[[#This Row],[PONTO]],GERAL[CLT ACUMULADO])+GERAL[[#This Row],[CLIENTES]],"")</f>
        <v/>
      </c>
      <c r="H27" s="55" t="str">
        <f>IFERROR(VLOOKUP(GERAL[[#This Row],[PONTO]],RAMAIS_ATUAL,IF($I$2="SIM",25,23),0),"")</f>
        <v/>
      </c>
      <c r="I27" s="55" t="str">
        <f>IFERROR(IF($I$2="SIM",VLOOKUP(GERAL[[#This Row],[CLT ACUMULADO]],AUX_CLAN,4,0),SUMIF(GERAL[TRECHO],GERAL[[#This Row],[PONTO]],GERAL[ACUMULADA])+GERAL[[#This Row],[TOTAL DO TRECHO]]),"")</f>
        <v/>
      </c>
      <c r="J27" s="55" t="str">
        <f>IFERROR(SQRT((GERAL[[#This Row],[X]]-$P$11)^2+(GERAL[[#This Row],[Y]]-$P$12)^2),"")</f>
        <v/>
      </c>
      <c r="K27" s="169"/>
      <c r="L27" s="171"/>
      <c r="M27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  <c r="O27" s="190" t="s">
        <v>242</v>
      </c>
      <c r="P27" s="191"/>
    </row>
    <row r="28" spans="1:16" x14ac:dyDescent="0.3">
      <c r="A28" s="169"/>
      <c r="B28" s="169"/>
      <c r="C28" s="169"/>
      <c r="D28" s="128" t="str">
        <f>IFERROR(VLOOKUP(GERAL[[#This Row],[PONTO]],COORD,2,0),"")</f>
        <v/>
      </c>
      <c r="E28" s="128" t="str">
        <f>IFERROR(VLOOKUP(GERAL[[#This Row],[PONTO]],COORD,3,0),"")</f>
        <v/>
      </c>
      <c r="F28" s="129" t="str">
        <f>IFERROR(VLOOKUP(GERAL[[#This Row],[PONTO]],RAMAIS_ATUAL,24,0),"")</f>
        <v/>
      </c>
      <c r="G28" s="129" t="str">
        <f>IFERROR(SUMIF(GERAL[TRECHO],GERAL[[#This Row],[PONTO]],GERAL[CLT ACUMULADO])+GERAL[[#This Row],[CLIENTES]],"")</f>
        <v/>
      </c>
      <c r="H28" s="55" t="str">
        <f>IFERROR(VLOOKUP(GERAL[[#This Row],[PONTO]],RAMAIS_ATUAL,IF($I$2="SIM",25,23),0),"")</f>
        <v/>
      </c>
      <c r="I28" s="55" t="str">
        <f>IFERROR(IF($I$2="SIM",VLOOKUP(GERAL[[#This Row],[CLT ACUMULADO]],AUX_CLAN,4,0),SUMIF(GERAL[TRECHO],GERAL[[#This Row],[PONTO]],GERAL[ACUMULADA])+GERAL[[#This Row],[TOTAL DO TRECHO]]),"")</f>
        <v/>
      </c>
      <c r="J28" s="55" t="str">
        <f>IFERROR(SQRT((GERAL[[#This Row],[X]]-$P$11)^2+(GERAL[[#This Row],[Y]]-$P$12)^2),"")</f>
        <v/>
      </c>
      <c r="K28" s="169"/>
      <c r="L28" s="171"/>
      <c r="M28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  <c r="O28" s="192"/>
      <c r="P28" s="192"/>
    </row>
    <row r="29" spans="1:16" x14ac:dyDescent="0.3">
      <c r="A29" s="169"/>
      <c r="B29" s="169"/>
      <c r="C29" s="169"/>
      <c r="D29" s="128" t="str">
        <f>IFERROR(VLOOKUP(GERAL[[#This Row],[PONTO]],COORD,2,0),"")</f>
        <v/>
      </c>
      <c r="E29" s="128" t="str">
        <f>IFERROR(VLOOKUP(GERAL[[#This Row],[PONTO]],COORD,3,0),"")</f>
        <v/>
      </c>
      <c r="F29" s="129" t="str">
        <f>IFERROR(VLOOKUP(GERAL[[#This Row],[PONTO]],RAMAIS_ATUAL,24,0),"")</f>
        <v/>
      </c>
      <c r="G29" s="129" t="str">
        <f>IFERROR(SUMIF(GERAL[TRECHO],GERAL[[#This Row],[PONTO]],GERAL[CLT ACUMULADO])+GERAL[[#This Row],[CLIENTES]],"")</f>
        <v/>
      </c>
      <c r="H29" s="55" t="str">
        <f>IFERROR(VLOOKUP(GERAL[[#This Row],[PONTO]],RAMAIS_ATUAL,IF($I$2="SIM",25,23),0),"")</f>
        <v/>
      </c>
      <c r="I29" s="55" t="str">
        <f>IFERROR(IF($I$2="SIM",VLOOKUP(GERAL[[#This Row],[CLT ACUMULADO]],AUX_CLAN,4,0),SUMIF(GERAL[TRECHO],GERAL[[#This Row],[PONTO]],GERAL[ACUMULADA])+GERAL[[#This Row],[TOTAL DO TRECHO]]),"")</f>
        <v/>
      </c>
      <c r="J29" s="55" t="str">
        <f>IFERROR(SQRT((GERAL[[#This Row],[X]]-$P$11)^2+(GERAL[[#This Row],[Y]]-$P$12)^2),"")</f>
        <v/>
      </c>
      <c r="K29" s="169"/>
      <c r="L29" s="171"/>
      <c r="M29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  <c r="O29" s="188">
        <f>DMDI</f>
        <v>2.84</v>
      </c>
      <c r="P29" s="189"/>
    </row>
    <row r="30" spans="1:16" x14ac:dyDescent="0.3">
      <c r="A30" s="169"/>
      <c r="B30" s="169"/>
      <c r="C30" s="169"/>
      <c r="D30" s="128" t="str">
        <f>IFERROR(VLOOKUP(GERAL[[#This Row],[PONTO]],COORD,2,0),"")</f>
        <v/>
      </c>
      <c r="E30" s="128" t="str">
        <f>IFERROR(VLOOKUP(GERAL[[#This Row],[PONTO]],COORD,3,0),"")</f>
        <v/>
      </c>
      <c r="F30" s="129" t="str">
        <f>IFERROR(VLOOKUP(GERAL[[#This Row],[PONTO]],RAMAIS_ATUAL,24,0),"")</f>
        <v/>
      </c>
      <c r="G30" s="129" t="str">
        <f>IFERROR(SUMIF(GERAL[TRECHO],GERAL[[#This Row],[PONTO]],GERAL[CLT ACUMULADO])+GERAL[[#This Row],[CLIENTES]],"")</f>
        <v/>
      </c>
      <c r="H30" s="55" t="str">
        <f>IFERROR(VLOOKUP(GERAL[[#This Row],[PONTO]],RAMAIS_ATUAL,IF($I$2="SIM",25,23),0),"")</f>
        <v/>
      </c>
      <c r="I30" s="55" t="str">
        <f>IFERROR(IF($I$2="SIM",VLOOKUP(GERAL[[#This Row],[CLT ACUMULADO]],AUX_CLAN,4,0),SUMIF(GERAL[TRECHO],GERAL[[#This Row],[PONTO]],GERAL[ACUMULADA])+GERAL[[#This Row],[TOTAL DO TRECHO]]),"")</f>
        <v/>
      </c>
      <c r="J30" s="55" t="str">
        <f>IFERROR(SQRT((GERAL[[#This Row],[X]]-$P$11)^2+(GERAL[[#This Row],[Y]]-$P$12)^2),"")</f>
        <v/>
      </c>
      <c r="K30" s="169"/>
      <c r="L30" s="171"/>
      <c r="M30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</row>
    <row r="31" spans="1:16" x14ac:dyDescent="0.3">
      <c r="A31" s="169"/>
      <c r="B31" s="169"/>
      <c r="C31" s="169"/>
      <c r="D31" s="128" t="str">
        <f>IFERROR(VLOOKUP(GERAL[[#This Row],[PONTO]],COORD,2,0),"")</f>
        <v/>
      </c>
      <c r="E31" s="128" t="str">
        <f>IFERROR(VLOOKUP(GERAL[[#This Row],[PONTO]],COORD,3,0),"")</f>
        <v/>
      </c>
      <c r="F31" s="129" t="str">
        <f>IFERROR(VLOOKUP(GERAL[[#This Row],[PONTO]],RAMAIS_ATUAL,24,0),"")</f>
        <v/>
      </c>
      <c r="G31" s="129" t="str">
        <f>IFERROR(SUMIF(GERAL[TRECHO],GERAL[[#This Row],[PONTO]],GERAL[CLT ACUMULADO])+GERAL[[#This Row],[CLIENTES]],"")</f>
        <v/>
      </c>
      <c r="H31" s="55" t="str">
        <f>IFERROR(VLOOKUP(GERAL[[#This Row],[PONTO]],RAMAIS_ATUAL,IF($I$2="SIM",25,23),0),"")</f>
        <v/>
      </c>
      <c r="I31" s="55" t="str">
        <f>IFERROR(IF($I$2="SIM",VLOOKUP(GERAL[[#This Row],[CLT ACUMULADO]],AUX_CLAN,4,0),SUMIF(GERAL[TRECHO],GERAL[[#This Row],[PONTO]],GERAL[ACUMULADA])+GERAL[[#This Row],[TOTAL DO TRECHO]]),"")</f>
        <v/>
      </c>
      <c r="J31" s="55" t="str">
        <f>IFERROR(SQRT((GERAL[[#This Row],[X]]-$P$11)^2+(GERAL[[#This Row],[Y]]-$P$12)^2),"")</f>
        <v/>
      </c>
      <c r="K31" s="169"/>
      <c r="L31" s="171"/>
      <c r="M31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  <c r="O31" s="14" t="s">
        <v>221</v>
      </c>
      <c r="P31" s="99">
        <f>VLOOKUP("RAMAL",Tabela7[[PONTO]:[METODO_INST]],15,0)</f>
        <v>118.69775108855391</v>
      </c>
    </row>
    <row r="32" spans="1:16" x14ac:dyDescent="0.3">
      <c r="A32" s="169"/>
      <c r="B32" s="169"/>
      <c r="C32" s="169"/>
      <c r="D32" s="128" t="str">
        <f>IFERROR(VLOOKUP(GERAL[[#This Row],[PONTO]],COORD,2,0),"")</f>
        <v/>
      </c>
      <c r="E32" s="128" t="str">
        <f>IFERROR(VLOOKUP(GERAL[[#This Row],[PONTO]],COORD,3,0),"")</f>
        <v/>
      </c>
      <c r="F32" s="129" t="str">
        <f>IFERROR(VLOOKUP(GERAL[[#This Row],[PONTO]],RAMAIS_ATUAL,24,0),"")</f>
        <v/>
      </c>
      <c r="G32" s="129" t="str">
        <f>IFERROR(SUMIF(GERAL[TRECHO],GERAL[[#This Row],[PONTO]],GERAL[CLT ACUMULADO])+GERAL[[#This Row],[CLIENTES]],"")</f>
        <v/>
      </c>
      <c r="H32" s="55" t="str">
        <f>IFERROR(VLOOKUP(GERAL[[#This Row],[PONTO]],RAMAIS_ATUAL,IF($I$2="SIM",25,23),0),"")</f>
        <v/>
      </c>
      <c r="I32" s="55" t="str">
        <f>IFERROR(IF($I$2="SIM",VLOOKUP(GERAL[[#This Row],[CLT ACUMULADO]],AUX_CLAN,4,0),SUMIF(GERAL[TRECHO],GERAL[[#This Row],[PONTO]],GERAL[ACUMULADA])+GERAL[[#This Row],[TOTAL DO TRECHO]]),"")</f>
        <v/>
      </c>
      <c r="J32" s="55" t="str">
        <f>IFERROR(SQRT((GERAL[[#This Row],[X]]-$P$11)^2+(GERAL[[#This Row],[Y]]-$P$12)^2),"")</f>
        <v/>
      </c>
      <c r="K32" s="169"/>
      <c r="L32" s="171"/>
      <c r="M32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  <c r="O32" s="14" t="s">
        <v>223</v>
      </c>
      <c r="P32" s="99">
        <f>VLOOKUP("RAMAL",DIR_ATUAL[[PONTO]:[ETA]],15,0)</f>
        <v>117.04688712724072</v>
      </c>
    </row>
    <row r="33" spans="1:13" x14ac:dyDescent="0.3">
      <c r="A33" s="169"/>
      <c r="B33" s="169"/>
      <c r="C33" s="169"/>
      <c r="D33" s="128" t="str">
        <f>IFERROR(VLOOKUP(GERAL[[#This Row],[PONTO]],COORD,2,0),"")</f>
        <v/>
      </c>
      <c r="E33" s="128" t="str">
        <f>IFERROR(VLOOKUP(GERAL[[#This Row],[PONTO]],COORD,3,0),"")</f>
        <v/>
      </c>
      <c r="F33" s="129" t="str">
        <f>IFERROR(VLOOKUP(GERAL[[#This Row],[PONTO]],RAMAIS_ATUAL,24,0),"")</f>
        <v/>
      </c>
      <c r="G33" s="129" t="str">
        <f>IFERROR(SUMIF(GERAL[TRECHO],GERAL[[#This Row],[PONTO]],GERAL[CLT ACUMULADO])+GERAL[[#This Row],[CLIENTES]],"")</f>
        <v/>
      </c>
      <c r="H33" s="55" t="str">
        <f>IFERROR(VLOOKUP(GERAL[[#This Row],[PONTO]],RAMAIS_ATUAL,IF($I$2="SIM",25,23),0),"")</f>
        <v/>
      </c>
      <c r="I33" s="55" t="str">
        <f>IFERROR(IF($I$2="SIM",VLOOKUP(GERAL[[#This Row],[CLT ACUMULADO]],AUX_CLAN,4,0),SUMIF(GERAL[TRECHO],GERAL[[#This Row],[PONTO]],GERAL[ACUMULADA])+GERAL[[#This Row],[TOTAL DO TRECHO]]),"")</f>
        <v/>
      </c>
      <c r="J33" s="55" t="str">
        <f>IFERROR(SQRT((GERAL[[#This Row],[X]]-$P$11)^2+(GERAL[[#This Row],[Y]]-$P$12)^2),"")</f>
        <v/>
      </c>
      <c r="K33" s="169"/>
      <c r="L33" s="171"/>
      <c r="M33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</row>
    <row r="34" spans="1:13" x14ac:dyDescent="0.3">
      <c r="A34" s="169"/>
      <c r="B34" s="169"/>
      <c r="C34" s="169"/>
      <c r="D34" s="128" t="str">
        <f>IFERROR(VLOOKUP(GERAL[[#This Row],[PONTO]],COORD,2,0),"")</f>
        <v/>
      </c>
      <c r="E34" s="128" t="str">
        <f>IFERROR(VLOOKUP(GERAL[[#This Row],[PONTO]],COORD,3,0),"")</f>
        <v/>
      </c>
      <c r="F34" s="129" t="str">
        <f>IFERROR(VLOOKUP(GERAL[[#This Row],[PONTO]],RAMAIS_ATUAL,24,0),"")</f>
        <v/>
      </c>
      <c r="G34" s="129" t="str">
        <f>IFERROR(SUMIF(GERAL[TRECHO],GERAL[[#This Row],[PONTO]],GERAL[CLT ACUMULADO])+GERAL[[#This Row],[CLIENTES]],"")</f>
        <v/>
      </c>
      <c r="H34" s="55" t="str">
        <f>IFERROR(VLOOKUP(GERAL[[#This Row],[PONTO]],RAMAIS_ATUAL,IF($I$2="SIM",25,23),0),"")</f>
        <v/>
      </c>
      <c r="I34" s="55" t="str">
        <f>IFERROR(IF($I$2="SIM",VLOOKUP(GERAL[[#This Row],[CLT ACUMULADO]],AUX_CLAN,4,0),SUMIF(GERAL[TRECHO],GERAL[[#This Row],[PONTO]],GERAL[ACUMULADA])+GERAL[[#This Row],[TOTAL DO TRECHO]]),"")</f>
        <v/>
      </c>
      <c r="J34" s="55" t="str">
        <f>IFERROR(SQRT((GERAL[[#This Row],[X]]-$P$11)^2+(GERAL[[#This Row],[Y]]-$P$12)^2),"")</f>
        <v/>
      </c>
      <c r="K34" s="169"/>
      <c r="L34" s="171"/>
      <c r="M34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</row>
    <row r="35" spans="1:13" x14ac:dyDescent="0.3">
      <c r="A35" s="169"/>
      <c r="B35" s="169"/>
      <c r="C35" s="169"/>
      <c r="D35" s="128" t="str">
        <f>IFERROR(VLOOKUP(GERAL[[#This Row],[PONTO]],COORD,2,0),"")</f>
        <v/>
      </c>
      <c r="E35" s="128" t="str">
        <f>IFERROR(VLOOKUP(GERAL[[#This Row],[PONTO]],COORD,3,0),"")</f>
        <v/>
      </c>
      <c r="F35" s="129" t="str">
        <f>IFERROR(VLOOKUP(GERAL[[#This Row],[PONTO]],RAMAIS_ATUAL,24,0),"")</f>
        <v/>
      </c>
      <c r="G35" s="129" t="str">
        <f>IFERROR(SUMIF(GERAL[TRECHO],GERAL[[#This Row],[PONTO]],GERAL[CLT ACUMULADO])+GERAL[[#This Row],[CLIENTES]],"")</f>
        <v/>
      </c>
      <c r="H35" s="55" t="str">
        <f>IFERROR(VLOOKUP(GERAL[[#This Row],[PONTO]],RAMAIS_ATUAL,IF($I$2="SIM",25,23),0),"")</f>
        <v/>
      </c>
      <c r="I35" s="55" t="str">
        <f>IFERROR(IF($I$2="SIM",VLOOKUP(GERAL[[#This Row],[CLT ACUMULADO]],AUX_CLAN,4,0),SUMIF(GERAL[TRECHO],GERAL[[#This Row],[PONTO]],GERAL[ACUMULADA])+GERAL[[#This Row],[TOTAL DO TRECHO]]),"")</f>
        <v/>
      </c>
      <c r="J35" s="55" t="str">
        <f>IFERROR(SQRT((GERAL[[#This Row],[X]]-$P$11)^2+(GERAL[[#This Row],[Y]]-$P$12)^2),"")</f>
        <v/>
      </c>
      <c r="K35" s="169"/>
      <c r="L35" s="171"/>
      <c r="M35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</row>
    <row r="36" spans="1:13" x14ac:dyDescent="0.3">
      <c r="A36" s="169"/>
      <c r="B36" s="169"/>
      <c r="C36" s="169"/>
      <c r="D36" s="128" t="str">
        <f>IFERROR(VLOOKUP(GERAL[[#This Row],[PONTO]],COORD,2,0),"")</f>
        <v/>
      </c>
      <c r="E36" s="128" t="str">
        <f>IFERROR(VLOOKUP(GERAL[[#This Row],[PONTO]],COORD,3,0),"")</f>
        <v/>
      </c>
      <c r="F36" s="129" t="str">
        <f>IFERROR(VLOOKUP(GERAL[[#This Row],[PONTO]],RAMAIS_ATUAL,24,0),"")</f>
        <v/>
      </c>
      <c r="G36" s="129" t="str">
        <f>IFERROR(SUMIF(GERAL[TRECHO],GERAL[[#This Row],[PONTO]],GERAL[CLT ACUMULADO])+GERAL[[#This Row],[CLIENTES]],"")</f>
        <v/>
      </c>
      <c r="H36" s="55" t="str">
        <f>IFERROR(VLOOKUP(GERAL[[#This Row],[PONTO]],RAMAIS_ATUAL,IF($I$2="SIM",25,23),0),"")</f>
        <v/>
      </c>
      <c r="I36" s="55" t="str">
        <f>IFERROR(IF($I$2="SIM",VLOOKUP(GERAL[[#This Row],[CLT ACUMULADO]],AUX_CLAN,4,0),SUMIF(GERAL[TRECHO],GERAL[[#This Row],[PONTO]],GERAL[ACUMULADA])+GERAL[[#This Row],[TOTAL DO TRECHO]]),"")</f>
        <v/>
      </c>
      <c r="J36" s="55" t="str">
        <f>IFERROR(SQRT((GERAL[[#This Row],[X]]-$P$11)^2+(GERAL[[#This Row],[Y]]-$P$12)^2),"")</f>
        <v/>
      </c>
      <c r="K36" s="169"/>
      <c r="L36" s="171"/>
      <c r="M36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</row>
    <row r="37" spans="1:13" x14ac:dyDescent="0.3">
      <c r="A37" s="169"/>
      <c r="B37" s="169"/>
      <c r="C37" s="169"/>
      <c r="D37" s="128" t="str">
        <f>IFERROR(VLOOKUP(GERAL[[#This Row],[PONTO]],COORD,2,0),"")</f>
        <v/>
      </c>
      <c r="E37" s="128" t="str">
        <f>IFERROR(VLOOKUP(GERAL[[#This Row],[PONTO]],COORD,3,0),"")</f>
        <v/>
      </c>
      <c r="F37" s="129" t="str">
        <f>IFERROR(VLOOKUP(GERAL[[#This Row],[PONTO]],RAMAIS_ATUAL,24,0),"")</f>
        <v/>
      </c>
      <c r="G37" s="129" t="str">
        <f>IFERROR(SUMIF(GERAL[TRECHO],GERAL[[#This Row],[PONTO]],GERAL[CLT ACUMULADO])+GERAL[[#This Row],[CLIENTES]],"")</f>
        <v/>
      </c>
      <c r="H37" s="55" t="str">
        <f>IFERROR(VLOOKUP(GERAL[[#This Row],[PONTO]],RAMAIS_ATUAL,IF($I$2="SIM",25,23),0),"")</f>
        <v/>
      </c>
      <c r="I37" s="55" t="str">
        <f>IFERROR(IF($I$2="SIM",VLOOKUP(GERAL[[#This Row],[CLT ACUMULADO]],AUX_CLAN,4,0),SUMIF(GERAL[TRECHO],GERAL[[#This Row],[PONTO]],GERAL[ACUMULADA])+GERAL[[#This Row],[TOTAL DO TRECHO]]),"")</f>
        <v/>
      </c>
      <c r="J37" s="55" t="str">
        <f>IFERROR(SQRT((GERAL[[#This Row],[X]]-$P$11)^2+(GERAL[[#This Row],[Y]]-$P$12)^2),"")</f>
        <v/>
      </c>
      <c r="K37" s="169"/>
      <c r="L37" s="171"/>
      <c r="M37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</row>
    <row r="38" spans="1:13" x14ac:dyDescent="0.3">
      <c r="A38" s="169"/>
      <c r="B38" s="169"/>
      <c r="C38" s="169"/>
      <c r="D38" s="128" t="str">
        <f>IFERROR(VLOOKUP(GERAL[[#This Row],[PONTO]],COORD,2,0),"")</f>
        <v/>
      </c>
      <c r="E38" s="128" t="str">
        <f>IFERROR(VLOOKUP(GERAL[[#This Row],[PONTO]],COORD,3,0),"")</f>
        <v/>
      </c>
      <c r="F38" s="129" t="str">
        <f>IFERROR(VLOOKUP(GERAL[[#This Row],[PONTO]],RAMAIS_ATUAL,24,0),"")</f>
        <v/>
      </c>
      <c r="G38" s="129" t="str">
        <f>IFERROR(SUMIF(GERAL[TRECHO],GERAL[[#This Row],[PONTO]],GERAL[CLT ACUMULADO])+GERAL[[#This Row],[CLIENTES]],"")</f>
        <v/>
      </c>
      <c r="H38" s="55" t="str">
        <f>IFERROR(VLOOKUP(GERAL[[#This Row],[PONTO]],RAMAIS_ATUAL,IF($I$2="SIM",25,23),0),"")</f>
        <v/>
      </c>
      <c r="I38" s="55" t="str">
        <f>IFERROR(IF($I$2="SIM",VLOOKUP(GERAL[[#This Row],[CLT ACUMULADO]],AUX_CLAN,4,0),SUMIF(GERAL[TRECHO],GERAL[[#This Row],[PONTO]],GERAL[ACUMULADA])+GERAL[[#This Row],[TOTAL DO TRECHO]]),"")</f>
        <v/>
      </c>
      <c r="J38" s="55" t="str">
        <f>IFERROR(SQRT((GERAL[[#This Row],[X]]-$P$11)^2+(GERAL[[#This Row],[Y]]-$P$12)^2),"")</f>
        <v/>
      </c>
      <c r="K38" s="169"/>
      <c r="L38" s="171"/>
      <c r="M38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</row>
    <row r="39" spans="1:13" x14ac:dyDescent="0.3">
      <c r="A39" s="169"/>
      <c r="B39" s="169"/>
      <c r="C39" s="169"/>
      <c r="D39" s="128" t="str">
        <f>IFERROR(VLOOKUP(GERAL[[#This Row],[PONTO]],COORD,2,0),"")</f>
        <v/>
      </c>
      <c r="E39" s="128" t="str">
        <f>IFERROR(VLOOKUP(GERAL[[#This Row],[PONTO]],COORD,3,0),"")</f>
        <v/>
      </c>
      <c r="F39" s="129" t="str">
        <f>IFERROR(VLOOKUP(GERAL[[#This Row],[PONTO]],RAMAIS_ATUAL,24,0),"")</f>
        <v/>
      </c>
      <c r="G39" s="129" t="str">
        <f>IFERROR(SUMIF(GERAL[TRECHO],GERAL[[#This Row],[PONTO]],GERAL[CLT ACUMULADO])+GERAL[[#This Row],[CLIENTES]],"")</f>
        <v/>
      </c>
      <c r="H39" s="55" t="str">
        <f>IFERROR(VLOOKUP(GERAL[[#This Row],[PONTO]],RAMAIS_ATUAL,IF($I$2="SIM",25,23),0),"")</f>
        <v/>
      </c>
      <c r="I39" s="55" t="str">
        <f>IFERROR(IF($I$2="SIM",VLOOKUP(GERAL[[#This Row],[CLT ACUMULADO]],AUX_CLAN,4,0),SUMIF(GERAL[TRECHO],GERAL[[#This Row],[PONTO]],GERAL[ACUMULADA])+GERAL[[#This Row],[TOTAL DO TRECHO]]),"")</f>
        <v/>
      </c>
      <c r="J39" s="55" t="str">
        <f>IFERROR(SQRT((GERAL[[#This Row],[X]]-$P$11)^2+(GERAL[[#This Row],[Y]]-$P$12)^2),"")</f>
        <v/>
      </c>
      <c r="K39" s="169"/>
      <c r="L39" s="171"/>
      <c r="M39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</row>
    <row r="40" spans="1:13" x14ac:dyDescent="0.3">
      <c r="A40" s="169"/>
      <c r="B40" s="169"/>
      <c r="C40" s="169"/>
      <c r="D40" s="128" t="str">
        <f>IFERROR(VLOOKUP(GERAL[[#This Row],[PONTO]],COORD,2,0),"")</f>
        <v/>
      </c>
      <c r="E40" s="128" t="str">
        <f>IFERROR(VLOOKUP(GERAL[[#This Row],[PONTO]],COORD,3,0),"")</f>
        <v/>
      </c>
      <c r="F40" s="129" t="str">
        <f>IFERROR(VLOOKUP(GERAL[[#This Row],[PONTO]],RAMAIS_ATUAL,24,0),"")</f>
        <v/>
      </c>
      <c r="G40" s="129" t="str">
        <f>IFERROR(SUMIF(GERAL[TRECHO],GERAL[[#This Row],[PONTO]],GERAL[CLT ACUMULADO])+GERAL[[#This Row],[CLIENTES]],"")</f>
        <v/>
      </c>
      <c r="H40" s="55" t="str">
        <f>IFERROR(VLOOKUP(GERAL[[#This Row],[PONTO]],RAMAIS_ATUAL,IF($I$2="SIM",25,23),0),"")</f>
        <v/>
      </c>
      <c r="I40" s="55" t="str">
        <f>IFERROR(IF($I$2="SIM",VLOOKUP(GERAL[[#This Row],[CLT ACUMULADO]],AUX_CLAN,4,0),SUMIF(GERAL[TRECHO],GERAL[[#This Row],[PONTO]],GERAL[ACUMULADA])+GERAL[[#This Row],[TOTAL DO TRECHO]]),"")</f>
        <v/>
      </c>
      <c r="J40" s="55" t="str">
        <f>IFERROR(SQRT((GERAL[[#This Row],[X]]-$P$11)^2+(GERAL[[#This Row],[Y]]-$P$12)^2),"")</f>
        <v/>
      </c>
      <c r="K40" s="169"/>
      <c r="L40" s="171"/>
      <c r="M40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</row>
    <row r="41" spans="1:13" x14ac:dyDescent="0.3">
      <c r="A41" s="169"/>
      <c r="B41" s="169"/>
      <c r="C41" s="169"/>
      <c r="D41" s="128" t="str">
        <f>IFERROR(VLOOKUP(GERAL[[#This Row],[PONTO]],COORD,2,0),"")</f>
        <v/>
      </c>
      <c r="E41" s="128" t="str">
        <f>IFERROR(VLOOKUP(GERAL[[#This Row],[PONTO]],COORD,3,0),"")</f>
        <v/>
      </c>
      <c r="F41" s="129" t="str">
        <f>IFERROR(VLOOKUP(GERAL[[#This Row],[PONTO]],RAMAIS_ATUAL,24,0),"")</f>
        <v/>
      </c>
      <c r="G41" s="129" t="str">
        <f>IFERROR(SUMIF(GERAL[TRECHO],GERAL[[#This Row],[PONTO]],GERAL[CLT ACUMULADO])+GERAL[[#This Row],[CLIENTES]],"")</f>
        <v/>
      </c>
      <c r="H41" s="55" t="str">
        <f>IFERROR(VLOOKUP(GERAL[[#This Row],[PONTO]],RAMAIS_ATUAL,IF($I$2="SIM",25,23),0),"")</f>
        <v/>
      </c>
      <c r="I41" s="55" t="str">
        <f>IFERROR(IF($I$2="SIM",VLOOKUP(GERAL[[#This Row],[CLT ACUMULADO]],AUX_CLAN,4,0),SUMIF(GERAL[TRECHO],GERAL[[#This Row],[PONTO]],GERAL[ACUMULADA])+GERAL[[#This Row],[TOTAL DO TRECHO]]),"")</f>
        <v/>
      </c>
      <c r="J41" s="55" t="str">
        <f>IFERROR(SQRT((GERAL[[#This Row],[X]]-$P$11)^2+(GERAL[[#This Row],[Y]]-$P$12)^2),"")</f>
        <v/>
      </c>
      <c r="K41" s="169"/>
      <c r="L41" s="171"/>
      <c r="M41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</row>
    <row r="42" spans="1:13" x14ac:dyDescent="0.3">
      <c r="A42" s="169"/>
      <c r="B42" s="169"/>
      <c r="C42" s="169"/>
      <c r="D42" s="128" t="str">
        <f>IFERROR(VLOOKUP(GERAL[[#This Row],[PONTO]],COORD,2,0),"")</f>
        <v/>
      </c>
      <c r="E42" s="128" t="str">
        <f>IFERROR(VLOOKUP(GERAL[[#This Row],[PONTO]],COORD,3,0),"")</f>
        <v/>
      </c>
      <c r="F42" s="129" t="str">
        <f>IFERROR(VLOOKUP(GERAL[[#This Row],[PONTO]],RAMAIS_ATUAL,24,0),"")</f>
        <v/>
      </c>
      <c r="G42" s="129" t="str">
        <f>IFERROR(SUMIF(GERAL[TRECHO],GERAL[[#This Row],[PONTO]],GERAL[CLT ACUMULADO])+GERAL[[#This Row],[CLIENTES]],"")</f>
        <v/>
      </c>
      <c r="H42" s="55" t="str">
        <f>IFERROR(VLOOKUP(GERAL[[#This Row],[PONTO]],RAMAIS_ATUAL,IF($I$2="SIM",25,23),0),"")</f>
        <v/>
      </c>
      <c r="I42" s="55" t="str">
        <f>IFERROR(IF($I$2="SIM",VLOOKUP(GERAL[[#This Row],[CLT ACUMULADO]],AUX_CLAN,4,0),SUMIF(GERAL[TRECHO],GERAL[[#This Row],[PONTO]],GERAL[ACUMULADA])+GERAL[[#This Row],[TOTAL DO TRECHO]]),"")</f>
        <v/>
      </c>
      <c r="J42" s="55" t="str">
        <f>IFERROR(SQRT((GERAL[[#This Row],[X]]-$P$11)^2+(GERAL[[#This Row],[Y]]-$P$12)^2),"")</f>
        <v/>
      </c>
      <c r="K42" s="169"/>
      <c r="L42" s="171"/>
      <c r="M42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</row>
    <row r="43" spans="1:13" x14ac:dyDescent="0.3">
      <c r="A43" s="169"/>
      <c r="B43" s="169"/>
      <c r="C43" s="169"/>
      <c r="D43" s="128" t="str">
        <f>IFERROR(VLOOKUP(GERAL[[#This Row],[PONTO]],COORD,2,0),"")</f>
        <v/>
      </c>
      <c r="E43" s="128" t="str">
        <f>IFERROR(VLOOKUP(GERAL[[#This Row],[PONTO]],COORD,3,0),"")</f>
        <v/>
      </c>
      <c r="F43" s="129" t="str">
        <f>IFERROR(VLOOKUP(GERAL[[#This Row],[PONTO]],RAMAIS_ATUAL,24,0),"")</f>
        <v/>
      </c>
      <c r="G43" s="129" t="str">
        <f>IFERROR(SUMIF(GERAL[TRECHO],GERAL[[#This Row],[PONTO]],GERAL[CLT ACUMULADO])+GERAL[[#This Row],[CLIENTES]],"")</f>
        <v/>
      </c>
      <c r="H43" s="55" t="str">
        <f>IFERROR(VLOOKUP(GERAL[[#This Row],[PONTO]],RAMAIS_ATUAL,IF($I$2="SIM",25,23),0),"")</f>
        <v/>
      </c>
      <c r="I43" s="55" t="str">
        <f>IFERROR(IF($I$2="SIM",VLOOKUP(GERAL[[#This Row],[CLT ACUMULADO]],AUX_CLAN,4,0),SUMIF(GERAL[TRECHO],GERAL[[#This Row],[PONTO]],GERAL[ACUMULADA])+GERAL[[#This Row],[TOTAL DO TRECHO]]),"")</f>
        <v/>
      </c>
      <c r="J43" s="55" t="str">
        <f>IFERROR(SQRT((GERAL[[#This Row],[X]]-$P$11)^2+(GERAL[[#This Row],[Y]]-$P$12)^2),"")</f>
        <v/>
      </c>
      <c r="K43" s="169"/>
      <c r="L43" s="171"/>
      <c r="M43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</row>
    <row r="44" spans="1:13" x14ac:dyDescent="0.3">
      <c r="A44" s="169"/>
      <c r="B44" s="169"/>
      <c r="C44" s="169"/>
      <c r="D44" s="128" t="str">
        <f>IFERROR(VLOOKUP(GERAL[[#This Row],[PONTO]],COORD,2,0),"")</f>
        <v/>
      </c>
      <c r="E44" s="128" t="str">
        <f>IFERROR(VLOOKUP(GERAL[[#This Row],[PONTO]],COORD,3,0),"")</f>
        <v/>
      </c>
      <c r="F44" s="129" t="str">
        <f>IFERROR(VLOOKUP(GERAL[[#This Row],[PONTO]],RAMAIS_ATUAL,24,0),"")</f>
        <v/>
      </c>
      <c r="G44" s="129" t="str">
        <f>IFERROR(SUMIF(GERAL[TRECHO],GERAL[[#This Row],[PONTO]],GERAL[CLT ACUMULADO])+GERAL[[#This Row],[CLIENTES]],"")</f>
        <v/>
      </c>
      <c r="H44" s="55" t="str">
        <f>IFERROR(VLOOKUP(GERAL[[#This Row],[PONTO]],RAMAIS_ATUAL,IF($I$2="SIM",25,23),0),"")</f>
        <v/>
      </c>
      <c r="I44" s="55" t="str">
        <f>IFERROR(IF($I$2="SIM",VLOOKUP(GERAL[[#This Row],[CLT ACUMULADO]],AUX_CLAN,4,0),SUMIF(GERAL[TRECHO],GERAL[[#This Row],[PONTO]],GERAL[ACUMULADA])+GERAL[[#This Row],[TOTAL DO TRECHO]]),"")</f>
        <v/>
      </c>
      <c r="J44" s="55" t="str">
        <f>IFERROR(SQRT((GERAL[[#This Row],[X]]-$P$11)^2+(GERAL[[#This Row],[Y]]-$P$12)^2),"")</f>
        <v/>
      </c>
      <c r="K44" s="169"/>
      <c r="L44" s="171"/>
      <c r="M44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</row>
    <row r="45" spans="1:13" x14ac:dyDescent="0.3">
      <c r="A45" s="169"/>
      <c r="B45" s="169"/>
      <c r="C45" s="169"/>
      <c r="D45" s="128" t="str">
        <f>IFERROR(VLOOKUP(GERAL[[#This Row],[PONTO]],COORD,2,0),"")</f>
        <v/>
      </c>
      <c r="E45" s="128" t="str">
        <f>IFERROR(VLOOKUP(GERAL[[#This Row],[PONTO]],COORD,3,0),"")</f>
        <v/>
      </c>
      <c r="F45" s="129" t="str">
        <f>IFERROR(VLOOKUP(GERAL[[#This Row],[PONTO]],RAMAIS_ATUAL,24,0),"")</f>
        <v/>
      </c>
      <c r="G45" s="129" t="str">
        <f>IFERROR(SUMIF(GERAL[TRECHO],GERAL[[#This Row],[PONTO]],GERAL[CLT ACUMULADO])+GERAL[[#This Row],[CLIENTES]],"")</f>
        <v/>
      </c>
      <c r="H45" s="55" t="str">
        <f>IFERROR(VLOOKUP(GERAL[[#This Row],[PONTO]],RAMAIS_ATUAL,IF($I$2="SIM",25,23),0),"")</f>
        <v/>
      </c>
      <c r="I45" s="55" t="str">
        <f>IFERROR(IF($I$2="SIM",VLOOKUP(GERAL[[#This Row],[CLT ACUMULADO]],AUX_CLAN,4,0),SUMIF(GERAL[TRECHO],GERAL[[#This Row],[PONTO]],GERAL[ACUMULADA])+GERAL[[#This Row],[TOTAL DO TRECHO]]),"")</f>
        <v/>
      </c>
      <c r="J45" s="55" t="str">
        <f>IFERROR(SQRT((GERAL[[#This Row],[X]]-$P$11)^2+(GERAL[[#This Row],[Y]]-$P$12)^2),"")</f>
        <v/>
      </c>
      <c r="K45" s="169"/>
      <c r="L45" s="171"/>
      <c r="M45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</row>
    <row r="46" spans="1:13" x14ac:dyDescent="0.3">
      <c r="A46" s="169"/>
      <c r="B46" s="169"/>
      <c r="C46" s="169"/>
      <c r="D46" s="128" t="str">
        <f>IFERROR(VLOOKUP(GERAL[[#This Row],[PONTO]],COORD,2,0),"")</f>
        <v/>
      </c>
      <c r="E46" s="128" t="str">
        <f>IFERROR(VLOOKUP(GERAL[[#This Row],[PONTO]],COORD,3,0),"")</f>
        <v/>
      </c>
      <c r="F46" s="129" t="str">
        <f>IFERROR(VLOOKUP(GERAL[[#This Row],[PONTO]],RAMAIS_ATUAL,24,0),"")</f>
        <v/>
      </c>
      <c r="G46" s="129" t="str">
        <f>IFERROR(SUMIF(GERAL[TRECHO],GERAL[[#This Row],[PONTO]],GERAL[CLT ACUMULADO])+GERAL[[#This Row],[CLIENTES]],"")</f>
        <v/>
      </c>
      <c r="H46" s="55" t="str">
        <f>IFERROR(VLOOKUP(GERAL[[#This Row],[PONTO]],RAMAIS_ATUAL,IF($I$2="SIM",25,23),0),"")</f>
        <v/>
      </c>
      <c r="I46" s="55" t="str">
        <f>IFERROR(IF($I$2="SIM",VLOOKUP(GERAL[[#This Row],[CLT ACUMULADO]],AUX_CLAN,4,0),SUMIF(GERAL[TRECHO],GERAL[[#This Row],[PONTO]],GERAL[ACUMULADA])+GERAL[[#This Row],[TOTAL DO TRECHO]]),"")</f>
        <v/>
      </c>
      <c r="J46" s="55" t="str">
        <f>IFERROR(SQRT((GERAL[[#This Row],[X]]-$P$11)^2+(GERAL[[#This Row],[Y]]-$P$12)^2),"")</f>
        <v/>
      </c>
      <c r="K46" s="169"/>
      <c r="L46" s="171"/>
      <c r="M46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</row>
    <row r="47" spans="1:13" x14ac:dyDescent="0.3">
      <c r="A47" s="169"/>
      <c r="B47" s="169"/>
      <c r="C47" s="169"/>
      <c r="D47" s="128" t="str">
        <f>IFERROR(VLOOKUP(GERAL[[#This Row],[PONTO]],COORD,2,0),"")</f>
        <v/>
      </c>
      <c r="E47" s="128" t="str">
        <f>IFERROR(VLOOKUP(GERAL[[#This Row],[PONTO]],COORD,3,0),"")</f>
        <v/>
      </c>
      <c r="F47" s="129" t="str">
        <f>IFERROR(VLOOKUP(GERAL[[#This Row],[PONTO]],RAMAIS_ATUAL,24,0),"")</f>
        <v/>
      </c>
      <c r="G47" s="129" t="str">
        <f>IFERROR(SUMIF(GERAL[TRECHO],GERAL[[#This Row],[PONTO]],GERAL[CLT ACUMULADO])+GERAL[[#This Row],[CLIENTES]],"")</f>
        <v/>
      </c>
      <c r="H47" s="55" t="str">
        <f>IFERROR(VLOOKUP(GERAL[[#This Row],[PONTO]],RAMAIS_ATUAL,IF($I$2="SIM",25,23),0),"")</f>
        <v/>
      </c>
      <c r="I47" s="55" t="str">
        <f>IFERROR(IF($I$2="SIM",VLOOKUP(GERAL[[#This Row],[CLT ACUMULADO]],AUX_CLAN,4,0),SUMIF(GERAL[TRECHO],GERAL[[#This Row],[PONTO]],GERAL[ACUMULADA])+GERAL[[#This Row],[TOTAL DO TRECHO]]),"")</f>
        <v/>
      </c>
      <c r="J47" s="55" t="str">
        <f>IFERROR(SQRT((GERAL[[#This Row],[X]]-$P$11)^2+(GERAL[[#This Row],[Y]]-$P$12)^2),"")</f>
        <v/>
      </c>
      <c r="K47" s="169"/>
      <c r="L47" s="171"/>
      <c r="M47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</row>
    <row r="48" spans="1:13" x14ac:dyDescent="0.3">
      <c r="A48" s="169"/>
      <c r="B48" s="169"/>
      <c r="C48" s="169"/>
      <c r="D48" s="128" t="str">
        <f>IFERROR(VLOOKUP(GERAL[[#This Row],[PONTO]],COORD,2,0),"")</f>
        <v/>
      </c>
      <c r="E48" s="128" t="str">
        <f>IFERROR(VLOOKUP(GERAL[[#This Row],[PONTO]],COORD,3,0),"")</f>
        <v/>
      </c>
      <c r="F48" s="129" t="str">
        <f>IFERROR(VLOOKUP(GERAL[[#This Row],[PONTO]],RAMAIS_ATUAL,24,0),"")</f>
        <v/>
      </c>
      <c r="G48" s="129" t="str">
        <f>IFERROR(SUMIF(GERAL[TRECHO],GERAL[[#This Row],[PONTO]],GERAL[CLT ACUMULADO])+GERAL[[#This Row],[CLIENTES]],"")</f>
        <v/>
      </c>
      <c r="H48" s="55" t="str">
        <f>IFERROR(VLOOKUP(GERAL[[#This Row],[PONTO]],RAMAIS_ATUAL,IF($I$2="SIM",25,23),0),"")</f>
        <v/>
      </c>
      <c r="I48" s="55" t="str">
        <f>IFERROR(IF($I$2="SIM",VLOOKUP(GERAL[[#This Row],[CLT ACUMULADO]],AUX_CLAN,4,0),SUMIF(GERAL[TRECHO],GERAL[[#This Row],[PONTO]],GERAL[ACUMULADA])+GERAL[[#This Row],[TOTAL DO TRECHO]]),"")</f>
        <v/>
      </c>
      <c r="J48" s="55" t="str">
        <f>IFERROR(SQRT((GERAL[[#This Row],[X]]-$P$11)^2+(GERAL[[#This Row],[Y]]-$P$12)^2),"")</f>
        <v/>
      </c>
      <c r="K48" s="169"/>
      <c r="L48" s="171"/>
      <c r="M48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</row>
    <row r="49" spans="1:13" x14ac:dyDescent="0.3">
      <c r="A49" s="169"/>
      <c r="B49" s="169"/>
      <c r="C49" s="169"/>
      <c r="D49" s="128" t="str">
        <f>IFERROR(VLOOKUP(GERAL[[#This Row],[PONTO]],COORD,2,0),"")</f>
        <v/>
      </c>
      <c r="E49" s="128" t="str">
        <f>IFERROR(VLOOKUP(GERAL[[#This Row],[PONTO]],COORD,3,0),"")</f>
        <v/>
      </c>
      <c r="F49" s="129" t="str">
        <f>IFERROR(VLOOKUP(GERAL[[#This Row],[PONTO]],RAMAIS_ATUAL,24,0),"")</f>
        <v/>
      </c>
      <c r="G49" s="129" t="str">
        <f>IFERROR(SUMIF(GERAL[TRECHO],GERAL[[#This Row],[PONTO]],GERAL[CLT ACUMULADO])+GERAL[[#This Row],[CLIENTES]],"")</f>
        <v/>
      </c>
      <c r="H49" s="55" t="str">
        <f>IFERROR(VLOOKUP(GERAL[[#This Row],[PONTO]],RAMAIS_ATUAL,IF($I$2="SIM",25,23),0),"")</f>
        <v/>
      </c>
      <c r="I49" s="55" t="str">
        <f>IFERROR(IF($I$2="SIM",VLOOKUP(GERAL[[#This Row],[CLT ACUMULADO]],AUX_CLAN,4,0),SUMIF(GERAL[TRECHO],GERAL[[#This Row],[PONTO]],GERAL[ACUMULADA])+GERAL[[#This Row],[TOTAL DO TRECHO]]),"")</f>
        <v/>
      </c>
      <c r="J49" s="55" t="str">
        <f>IFERROR(SQRT((GERAL[[#This Row],[X]]-$P$11)^2+(GERAL[[#This Row],[Y]]-$P$12)^2),"")</f>
        <v/>
      </c>
      <c r="K49" s="169"/>
      <c r="L49" s="171"/>
      <c r="M49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</row>
    <row r="50" spans="1:13" x14ac:dyDescent="0.3">
      <c r="A50" s="169"/>
      <c r="B50" s="169"/>
      <c r="C50" s="169"/>
      <c r="D50" s="128" t="str">
        <f>IFERROR(VLOOKUP(GERAL[[#This Row],[PONTO]],COORD,2,0),"")</f>
        <v/>
      </c>
      <c r="E50" s="128" t="str">
        <f>IFERROR(VLOOKUP(GERAL[[#This Row],[PONTO]],COORD,3,0),"")</f>
        <v/>
      </c>
      <c r="F50" s="129" t="str">
        <f>IFERROR(VLOOKUP(GERAL[[#This Row],[PONTO]],RAMAIS_ATUAL,24,0),"")</f>
        <v/>
      </c>
      <c r="G50" s="129" t="str">
        <f>IFERROR(SUMIF(GERAL[TRECHO],GERAL[[#This Row],[PONTO]],GERAL[CLT ACUMULADO])+GERAL[[#This Row],[CLIENTES]],"")</f>
        <v/>
      </c>
      <c r="H50" s="55" t="str">
        <f>IFERROR(VLOOKUP(GERAL[[#This Row],[PONTO]],RAMAIS_ATUAL,IF($I$2="SIM",25,23),0),"")</f>
        <v/>
      </c>
      <c r="I50" s="55" t="str">
        <f>IFERROR(IF($I$2="SIM",VLOOKUP(GERAL[[#This Row],[CLT ACUMULADO]],AUX_CLAN,4,0),SUMIF(GERAL[TRECHO],GERAL[[#This Row],[PONTO]],GERAL[ACUMULADA])+GERAL[[#This Row],[TOTAL DO TRECHO]]),"")</f>
        <v/>
      </c>
      <c r="J50" s="55" t="str">
        <f>IFERROR(SQRT((GERAL[[#This Row],[X]]-$P$11)^2+(GERAL[[#This Row],[Y]]-$P$12)^2),"")</f>
        <v/>
      </c>
      <c r="K50" s="169"/>
      <c r="L50" s="171"/>
      <c r="M50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</row>
    <row r="51" spans="1:13" x14ac:dyDescent="0.3">
      <c r="A51" s="169"/>
      <c r="B51" s="169"/>
      <c r="C51" s="169"/>
      <c r="D51" s="128" t="str">
        <f>IFERROR(VLOOKUP(GERAL[[#This Row],[PONTO]],COORD,2,0),"")</f>
        <v/>
      </c>
      <c r="E51" s="128" t="str">
        <f>IFERROR(VLOOKUP(GERAL[[#This Row],[PONTO]],COORD,3,0),"")</f>
        <v/>
      </c>
      <c r="F51" s="129" t="str">
        <f>IFERROR(VLOOKUP(GERAL[[#This Row],[PONTO]],RAMAIS_ATUAL,24,0),"")</f>
        <v/>
      </c>
      <c r="G51" s="129" t="str">
        <f>IFERROR(SUMIF(GERAL[TRECHO],GERAL[[#This Row],[PONTO]],GERAL[CLT ACUMULADO])+GERAL[[#This Row],[CLIENTES]],"")</f>
        <v/>
      </c>
      <c r="H51" s="55" t="str">
        <f>IFERROR(VLOOKUP(GERAL[[#This Row],[PONTO]],RAMAIS_ATUAL,IF($I$2="SIM",25,23),0),"")</f>
        <v/>
      </c>
      <c r="I51" s="55" t="str">
        <f>IFERROR(IF($I$2="SIM",VLOOKUP(GERAL[[#This Row],[CLT ACUMULADO]],AUX_CLAN,4,0),SUMIF(GERAL[TRECHO],GERAL[[#This Row],[PONTO]],GERAL[ACUMULADA])+GERAL[[#This Row],[TOTAL DO TRECHO]]),"")</f>
        <v/>
      </c>
      <c r="J51" s="55" t="str">
        <f>IFERROR(SQRT((GERAL[[#This Row],[X]]-$P$11)^2+(GERAL[[#This Row],[Y]]-$P$12)^2),"")</f>
        <v/>
      </c>
      <c r="K51" s="169"/>
      <c r="L51" s="171"/>
      <c r="M51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</row>
    <row r="52" spans="1:13" x14ac:dyDescent="0.3">
      <c r="D52" s="7"/>
      <c r="E52" s="7"/>
      <c r="F52" s="7"/>
      <c r="G52" s="7"/>
    </row>
    <row r="53" spans="1:13" x14ac:dyDescent="0.3">
      <c r="D53" s="7"/>
      <c r="E53" s="7"/>
      <c r="F53" s="7"/>
      <c r="G53" s="7"/>
    </row>
    <row r="54" spans="1:13" x14ac:dyDescent="0.3">
      <c r="D54" s="7"/>
      <c r="E54" s="7"/>
      <c r="F54" s="7"/>
      <c r="G54" s="7"/>
    </row>
    <row r="55" spans="1:13" x14ac:dyDescent="0.3">
      <c r="D55" s="7"/>
      <c r="E55" s="7"/>
      <c r="F55" s="7"/>
      <c r="G55" s="7"/>
    </row>
    <row r="56" spans="1:13" x14ac:dyDescent="0.3">
      <c r="D56" s="7"/>
      <c r="E56" s="7"/>
      <c r="F56" s="7"/>
      <c r="G56" s="7"/>
    </row>
    <row r="57" spans="1:13" x14ac:dyDescent="0.3">
      <c r="D57" s="7"/>
      <c r="E57" s="7"/>
      <c r="F57" s="7"/>
      <c r="G57" s="7"/>
    </row>
    <row r="58" spans="1:13" x14ac:dyDescent="0.3">
      <c r="D58" s="7"/>
      <c r="E58" s="7"/>
      <c r="F58" s="7"/>
      <c r="G58" s="7"/>
    </row>
    <row r="59" spans="1:13" x14ac:dyDescent="0.3">
      <c r="D59" s="7"/>
      <c r="E59" s="7"/>
      <c r="F59" s="7"/>
      <c r="G59" s="7"/>
    </row>
    <row r="60" spans="1:13" x14ac:dyDescent="0.3">
      <c r="D60" s="7"/>
      <c r="E60" s="7"/>
      <c r="F60" s="7"/>
      <c r="G60" s="7"/>
    </row>
    <row r="61" spans="1:13" x14ac:dyDescent="0.3">
      <c r="D61" s="7"/>
      <c r="E61" s="7"/>
      <c r="F61" s="7"/>
      <c r="G61" s="7"/>
    </row>
    <row r="62" spans="1:13" x14ac:dyDescent="0.3">
      <c r="D62" s="7"/>
      <c r="E62" s="7"/>
      <c r="F62" s="7"/>
      <c r="G62" s="7"/>
    </row>
    <row r="63" spans="1:13" x14ac:dyDescent="0.3">
      <c r="D63" s="7"/>
      <c r="E63" s="7"/>
      <c r="F63" s="7"/>
      <c r="G63" s="7"/>
    </row>
    <row r="64" spans="1:13" x14ac:dyDescent="0.3">
      <c r="D64" s="7"/>
      <c r="E64" s="7"/>
      <c r="F64" s="7"/>
      <c r="G64" s="7"/>
    </row>
    <row r="65" spans="4:7" x14ac:dyDescent="0.3">
      <c r="D65" s="7"/>
      <c r="E65" s="7"/>
      <c r="F65" s="7"/>
      <c r="G65" s="7"/>
    </row>
    <row r="66" spans="4:7" x14ac:dyDescent="0.3">
      <c r="D66" s="7"/>
      <c r="E66" s="7"/>
      <c r="F66" s="7"/>
      <c r="G66" s="7"/>
    </row>
    <row r="67" spans="4:7" x14ac:dyDescent="0.3">
      <c r="D67" s="7"/>
      <c r="E67" s="7"/>
      <c r="F67" s="7"/>
      <c r="G67" s="7"/>
    </row>
    <row r="68" spans="4:7" x14ac:dyDescent="0.3">
      <c r="D68" s="7"/>
      <c r="E68" s="7"/>
      <c r="F68" s="7"/>
      <c r="G68" s="7"/>
    </row>
    <row r="69" spans="4:7" x14ac:dyDescent="0.3">
      <c r="D69" s="7"/>
      <c r="E69" s="7"/>
      <c r="F69" s="7"/>
      <c r="G69" s="7"/>
    </row>
    <row r="70" spans="4:7" x14ac:dyDescent="0.3">
      <c r="D70" s="7"/>
      <c r="E70" s="7"/>
      <c r="F70" s="7"/>
      <c r="G70" s="7"/>
    </row>
    <row r="71" spans="4:7" x14ac:dyDescent="0.3">
      <c r="D71" s="7"/>
      <c r="E71" s="7"/>
      <c r="F71" s="7"/>
      <c r="G71" s="7"/>
    </row>
    <row r="72" spans="4:7" x14ac:dyDescent="0.3">
      <c r="D72" s="7"/>
      <c r="E72" s="7"/>
      <c r="F72" s="7"/>
      <c r="G72" s="7"/>
    </row>
    <row r="73" spans="4:7" x14ac:dyDescent="0.3">
      <c r="D73" s="7"/>
      <c r="E73" s="7"/>
      <c r="F73" s="7"/>
      <c r="G73" s="7"/>
    </row>
    <row r="74" spans="4:7" x14ac:dyDescent="0.3">
      <c r="D74" s="7"/>
      <c r="E74" s="7"/>
      <c r="F74" s="7"/>
      <c r="G74" s="7"/>
    </row>
    <row r="75" spans="4:7" x14ac:dyDescent="0.3">
      <c r="D75" s="7"/>
      <c r="E75" s="7"/>
      <c r="F75" s="7"/>
      <c r="G75" s="7"/>
    </row>
    <row r="76" spans="4:7" x14ac:dyDescent="0.3">
      <c r="D76" s="7"/>
      <c r="E76" s="7"/>
      <c r="F76" s="7"/>
      <c r="G76" s="7"/>
    </row>
    <row r="77" spans="4:7" x14ac:dyDescent="0.3">
      <c r="D77" s="7"/>
      <c r="E77" s="7"/>
      <c r="F77" s="7"/>
      <c r="G77" s="7"/>
    </row>
    <row r="78" spans="4:7" x14ac:dyDescent="0.3">
      <c r="D78" s="7"/>
      <c r="E78" s="7"/>
      <c r="F78" s="7"/>
      <c r="G78" s="7"/>
    </row>
    <row r="79" spans="4:7" x14ac:dyDescent="0.3">
      <c r="D79" s="7"/>
      <c r="E79" s="7"/>
      <c r="F79" s="7"/>
      <c r="G79" s="7"/>
    </row>
    <row r="80" spans="4:7" x14ac:dyDescent="0.3">
      <c r="D80" s="7"/>
      <c r="E80" s="7"/>
      <c r="F80" s="7"/>
      <c r="G80" s="7"/>
    </row>
    <row r="81" spans="4:7" x14ac:dyDescent="0.3">
      <c r="D81" s="7"/>
      <c r="E81" s="7"/>
      <c r="F81" s="7"/>
      <c r="G81" s="7"/>
    </row>
    <row r="82" spans="4:7" x14ac:dyDescent="0.3">
      <c r="D82" s="7"/>
      <c r="E82" s="7"/>
      <c r="F82" s="7"/>
      <c r="G82" s="7"/>
    </row>
    <row r="83" spans="4:7" x14ac:dyDescent="0.3">
      <c r="D83" s="7"/>
      <c r="E83" s="7"/>
      <c r="F83" s="7"/>
      <c r="G83" s="7"/>
    </row>
    <row r="84" spans="4:7" x14ac:dyDescent="0.3">
      <c r="D84" s="7"/>
      <c r="E84" s="7"/>
      <c r="F84" s="7"/>
      <c r="G84" s="7"/>
    </row>
    <row r="85" spans="4:7" x14ac:dyDescent="0.3">
      <c r="D85" s="7"/>
      <c r="E85" s="7"/>
      <c r="F85" s="7"/>
      <c r="G85" s="7"/>
    </row>
    <row r="86" spans="4:7" x14ac:dyDescent="0.3">
      <c r="D86" s="7"/>
      <c r="E86" s="7"/>
      <c r="F86" s="7"/>
      <c r="G86" s="7"/>
    </row>
    <row r="87" spans="4:7" x14ac:dyDescent="0.3">
      <c r="D87" s="7"/>
      <c r="E87" s="7"/>
      <c r="F87" s="7"/>
      <c r="G87" s="7"/>
    </row>
    <row r="88" spans="4:7" x14ac:dyDescent="0.3">
      <c r="D88" s="7"/>
      <c r="E88" s="7"/>
      <c r="F88" s="7"/>
      <c r="G88" s="7"/>
    </row>
    <row r="89" spans="4:7" x14ac:dyDescent="0.3">
      <c r="D89" s="7"/>
      <c r="E89" s="7"/>
      <c r="F89" s="7"/>
      <c r="G89" s="7"/>
    </row>
    <row r="90" spans="4:7" x14ac:dyDescent="0.3">
      <c r="D90" s="7"/>
      <c r="E90" s="7"/>
      <c r="F90" s="7"/>
      <c r="G90" s="7"/>
    </row>
    <row r="91" spans="4:7" x14ac:dyDescent="0.3">
      <c r="D91" s="7"/>
      <c r="E91" s="7"/>
      <c r="F91" s="7"/>
      <c r="G91" s="7"/>
    </row>
    <row r="92" spans="4:7" x14ac:dyDescent="0.3">
      <c r="D92" s="7"/>
      <c r="E92" s="7"/>
      <c r="F92" s="7"/>
      <c r="G92" s="7"/>
    </row>
    <row r="93" spans="4:7" x14ac:dyDescent="0.3">
      <c r="D93" s="7"/>
      <c r="E93" s="7"/>
      <c r="F93" s="7"/>
      <c r="G93" s="7"/>
    </row>
    <row r="94" spans="4:7" x14ac:dyDescent="0.3">
      <c r="D94" s="7"/>
      <c r="E94" s="7"/>
      <c r="F94" s="7"/>
      <c r="G94" s="7"/>
    </row>
    <row r="95" spans="4:7" x14ac:dyDescent="0.3">
      <c r="D95" s="7"/>
      <c r="E95" s="7"/>
      <c r="F95" s="7"/>
      <c r="G95" s="7"/>
    </row>
    <row r="96" spans="4:7" x14ac:dyDescent="0.3">
      <c r="D96" s="7"/>
      <c r="E96" s="7"/>
      <c r="F96" s="7"/>
      <c r="G96" s="7"/>
    </row>
    <row r="97" spans="4:7" x14ac:dyDescent="0.3">
      <c r="D97" s="7"/>
      <c r="E97" s="7"/>
      <c r="F97" s="7"/>
      <c r="G97" s="7"/>
    </row>
    <row r="98" spans="4:7" x14ac:dyDescent="0.3">
      <c r="D98" s="7"/>
      <c r="E98" s="7"/>
      <c r="F98" s="7"/>
      <c r="G98" s="7"/>
    </row>
    <row r="99" spans="4:7" x14ac:dyDescent="0.3">
      <c r="D99" s="7"/>
      <c r="E99" s="7"/>
      <c r="F99" s="7"/>
      <c r="G99" s="7"/>
    </row>
    <row r="100" spans="4:7" x14ac:dyDescent="0.3">
      <c r="D100" s="7"/>
      <c r="E100" s="7"/>
      <c r="F100" s="7"/>
      <c r="G100" s="7"/>
    </row>
    <row r="101" spans="4:7" x14ac:dyDescent="0.3">
      <c r="D101" s="7"/>
      <c r="E101" s="7"/>
      <c r="F101" s="7"/>
      <c r="G101" s="7"/>
    </row>
    <row r="102" spans="4:7" x14ac:dyDescent="0.3">
      <c r="D102" s="7"/>
      <c r="E102" s="7"/>
      <c r="F102" s="7"/>
      <c r="G102" s="7"/>
    </row>
    <row r="103" spans="4:7" x14ac:dyDescent="0.3">
      <c r="D103" s="7"/>
      <c r="E103" s="7"/>
      <c r="F103" s="7"/>
      <c r="G103" s="7"/>
    </row>
    <row r="104" spans="4:7" x14ac:dyDescent="0.3">
      <c r="D104" s="7"/>
      <c r="E104" s="7"/>
      <c r="F104" s="7"/>
      <c r="G104" s="7"/>
    </row>
    <row r="105" spans="4:7" x14ac:dyDescent="0.3">
      <c r="D105" s="7"/>
      <c r="E105" s="7"/>
      <c r="F105" s="7"/>
      <c r="G105" s="7"/>
    </row>
    <row r="106" spans="4:7" x14ac:dyDescent="0.3">
      <c r="D106" s="7"/>
      <c r="E106" s="7"/>
      <c r="F106" s="7"/>
      <c r="G106" s="7"/>
    </row>
    <row r="107" spans="4:7" x14ac:dyDescent="0.3">
      <c r="D107" s="7"/>
      <c r="E107" s="7"/>
      <c r="F107" s="7"/>
      <c r="G107" s="7"/>
    </row>
    <row r="108" spans="4:7" x14ac:dyDescent="0.3">
      <c r="D108" s="7"/>
      <c r="E108" s="7"/>
      <c r="F108" s="7"/>
      <c r="G108" s="7"/>
    </row>
    <row r="109" spans="4:7" x14ac:dyDescent="0.3">
      <c r="D109" s="7"/>
      <c r="E109" s="7"/>
      <c r="F109" s="7"/>
      <c r="G109" s="7"/>
    </row>
    <row r="110" spans="4:7" x14ac:dyDescent="0.3">
      <c r="D110" s="7"/>
      <c r="E110" s="7"/>
      <c r="F110" s="7"/>
      <c r="G110" s="7"/>
    </row>
    <row r="111" spans="4:7" x14ac:dyDescent="0.3">
      <c r="D111" s="7"/>
      <c r="E111" s="7"/>
      <c r="F111" s="7"/>
      <c r="G111" s="7"/>
    </row>
    <row r="112" spans="4:7" x14ac:dyDescent="0.3">
      <c r="D112" s="7"/>
      <c r="E112" s="7"/>
      <c r="F112" s="7"/>
      <c r="G112" s="7"/>
    </row>
    <row r="113" spans="4:7" x14ac:dyDescent="0.3">
      <c r="D113" s="7"/>
      <c r="E113" s="7"/>
      <c r="F113" s="7"/>
      <c r="G113" s="7"/>
    </row>
    <row r="114" spans="4:7" x14ac:dyDescent="0.3">
      <c r="D114" s="7"/>
      <c r="E114" s="7"/>
      <c r="F114" s="7"/>
      <c r="G114" s="7"/>
    </row>
    <row r="115" spans="4:7" x14ac:dyDescent="0.3">
      <c r="D115" s="7"/>
      <c r="E115" s="7"/>
      <c r="F115" s="7"/>
      <c r="G115" s="7"/>
    </row>
    <row r="116" spans="4:7" x14ac:dyDescent="0.3">
      <c r="D116" s="7"/>
      <c r="E116" s="7"/>
      <c r="F116" s="7"/>
      <c r="G116" s="7"/>
    </row>
    <row r="117" spans="4:7" x14ac:dyDescent="0.3">
      <c r="D117" s="7"/>
      <c r="E117" s="7"/>
      <c r="F117" s="7"/>
      <c r="G117" s="7"/>
    </row>
    <row r="118" spans="4:7" x14ac:dyDescent="0.3">
      <c r="D118" s="7"/>
      <c r="E118" s="7"/>
      <c r="F118" s="7"/>
      <c r="G118" s="7"/>
    </row>
    <row r="119" spans="4:7" x14ac:dyDescent="0.3">
      <c r="D119" s="7"/>
      <c r="E119" s="7"/>
      <c r="F119" s="7"/>
      <c r="G119" s="7"/>
    </row>
    <row r="120" spans="4:7" x14ac:dyDescent="0.3">
      <c r="D120" s="7"/>
      <c r="E120" s="7"/>
      <c r="F120" s="7"/>
      <c r="G120" s="7"/>
    </row>
    <row r="121" spans="4:7" x14ac:dyDescent="0.3">
      <c r="D121" s="7"/>
      <c r="E121" s="7"/>
      <c r="F121" s="7"/>
      <c r="G121" s="7"/>
    </row>
    <row r="122" spans="4:7" x14ac:dyDescent="0.3">
      <c r="D122" s="7"/>
      <c r="E122" s="7"/>
      <c r="F122" s="7"/>
      <c r="G122" s="7"/>
    </row>
    <row r="123" spans="4:7" x14ac:dyDescent="0.3">
      <c r="D123" s="7"/>
      <c r="E123" s="7"/>
      <c r="F123" s="7"/>
      <c r="G123" s="7"/>
    </row>
    <row r="124" spans="4:7" x14ac:dyDescent="0.3">
      <c r="D124" s="7"/>
      <c r="E124" s="7"/>
      <c r="F124" s="7"/>
      <c r="G124" s="7"/>
    </row>
    <row r="125" spans="4:7" x14ac:dyDescent="0.3">
      <c r="D125" s="7"/>
      <c r="E125" s="7"/>
      <c r="F125" s="7"/>
      <c r="G125" s="7"/>
    </row>
    <row r="126" spans="4:7" x14ac:dyDescent="0.3">
      <c r="D126" s="7"/>
      <c r="E126" s="7"/>
      <c r="F126" s="7"/>
      <c r="G126" s="7"/>
    </row>
    <row r="127" spans="4:7" x14ac:dyDescent="0.3">
      <c r="D127" s="7"/>
      <c r="E127" s="7"/>
      <c r="F127" s="7"/>
      <c r="G127" s="7"/>
    </row>
    <row r="128" spans="4:7" x14ac:dyDescent="0.3">
      <c r="D128" s="7"/>
      <c r="E128" s="7"/>
      <c r="F128" s="7"/>
      <c r="G128" s="7"/>
    </row>
    <row r="129" spans="4:7" x14ac:dyDescent="0.3">
      <c r="D129" s="7"/>
      <c r="E129" s="7"/>
      <c r="F129" s="7"/>
      <c r="G129" s="7"/>
    </row>
    <row r="130" spans="4:7" x14ac:dyDescent="0.3">
      <c r="D130" s="7"/>
      <c r="E130" s="7"/>
      <c r="F130" s="7"/>
      <c r="G130" s="7"/>
    </row>
    <row r="131" spans="4:7" x14ac:dyDescent="0.3">
      <c r="D131" s="7"/>
      <c r="E131" s="7"/>
      <c r="F131" s="7"/>
      <c r="G131" s="7"/>
    </row>
    <row r="132" spans="4:7" x14ac:dyDescent="0.3">
      <c r="D132" s="7"/>
      <c r="E132" s="7"/>
      <c r="F132" s="7"/>
      <c r="G132" s="7"/>
    </row>
    <row r="133" spans="4:7" x14ac:dyDescent="0.3">
      <c r="D133" s="7"/>
      <c r="E133" s="7"/>
      <c r="F133" s="7"/>
      <c r="G133" s="7"/>
    </row>
    <row r="134" spans="4:7" x14ac:dyDescent="0.3">
      <c r="D134" s="7"/>
      <c r="E134" s="7"/>
      <c r="F134" s="7"/>
      <c r="G134" s="7"/>
    </row>
    <row r="135" spans="4:7" x14ac:dyDescent="0.3">
      <c r="D135" s="7"/>
      <c r="E135" s="7"/>
      <c r="F135" s="7"/>
      <c r="G135" s="7"/>
    </row>
    <row r="136" spans="4:7" x14ac:dyDescent="0.3">
      <c r="D136" s="7"/>
      <c r="E136" s="7"/>
      <c r="F136" s="7"/>
      <c r="G136" s="7"/>
    </row>
    <row r="137" spans="4:7" x14ac:dyDescent="0.3">
      <c r="D137" s="7"/>
      <c r="E137" s="7"/>
      <c r="F137" s="7"/>
      <c r="G137" s="7"/>
    </row>
    <row r="138" spans="4:7" x14ac:dyDescent="0.3">
      <c r="D138" s="7"/>
      <c r="E138" s="7"/>
      <c r="F138" s="7"/>
      <c r="G138" s="7"/>
    </row>
    <row r="139" spans="4:7" x14ac:dyDescent="0.3">
      <c r="D139" s="7"/>
      <c r="E139" s="7"/>
      <c r="F139" s="7"/>
      <c r="G139" s="7"/>
    </row>
    <row r="140" spans="4:7" x14ac:dyDescent="0.3">
      <c r="D140" s="7"/>
      <c r="E140" s="7"/>
      <c r="F140" s="7"/>
      <c r="G140" s="7"/>
    </row>
    <row r="141" spans="4:7" x14ac:dyDescent="0.3">
      <c r="D141" s="7"/>
      <c r="E141" s="7"/>
      <c r="F141" s="7"/>
      <c r="G141" s="7"/>
    </row>
    <row r="142" spans="4:7" x14ac:dyDescent="0.3">
      <c r="D142" s="7"/>
      <c r="E142" s="7"/>
      <c r="F142" s="7"/>
      <c r="G142" s="7"/>
    </row>
    <row r="143" spans="4:7" x14ac:dyDescent="0.3">
      <c r="D143" s="7"/>
      <c r="E143" s="7"/>
      <c r="F143" s="7"/>
      <c r="G143" s="7"/>
    </row>
    <row r="144" spans="4:7" x14ac:dyDescent="0.3">
      <c r="D144" s="7"/>
      <c r="E144" s="7"/>
      <c r="F144" s="7"/>
      <c r="G144" s="7"/>
    </row>
    <row r="145" spans="4:7" x14ac:dyDescent="0.3">
      <c r="D145" s="7"/>
      <c r="E145" s="7"/>
      <c r="F145" s="7"/>
      <c r="G145" s="7"/>
    </row>
    <row r="146" spans="4:7" x14ac:dyDescent="0.3">
      <c r="D146" s="7"/>
      <c r="E146" s="7"/>
      <c r="F146" s="7"/>
      <c r="G146" s="7"/>
    </row>
    <row r="147" spans="4:7" x14ac:dyDescent="0.3">
      <c r="D147" s="7"/>
      <c r="E147" s="7"/>
      <c r="F147" s="7"/>
      <c r="G147" s="7"/>
    </row>
    <row r="148" spans="4:7" x14ac:dyDescent="0.3">
      <c r="D148" s="7"/>
      <c r="E148" s="7"/>
      <c r="F148" s="7"/>
      <c r="G148" s="7"/>
    </row>
    <row r="149" spans="4:7" x14ac:dyDescent="0.3">
      <c r="D149" s="7"/>
      <c r="E149" s="7"/>
      <c r="F149" s="7"/>
      <c r="G149" s="7"/>
    </row>
    <row r="150" spans="4:7" x14ac:dyDescent="0.3">
      <c r="D150" s="7"/>
      <c r="E150" s="7"/>
      <c r="F150" s="7"/>
      <c r="G150" s="7"/>
    </row>
    <row r="151" spans="4:7" x14ac:dyDescent="0.3">
      <c r="D151" s="7"/>
      <c r="E151" s="7"/>
      <c r="F151" s="7"/>
      <c r="G151" s="7"/>
    </row>
    <row r="152" spans="4:7" x14ac:dyDescent="0.3">
      <c r="D152" s="7"/>
      <c r="E152" s="7"/>
      <c r="F152" s="7"/>
      <c r="G152" s="7"/>
    </row>
    <row r="153" spans="4:7" x14ac:dyDescent="0.3">
      <c r="D153" s="7"/>
      <c r="E153" s="7"/>
      <c r="F153" s="7"/>
      <c r="G153" s="7"/>
    </row>
    <row r="154" spans="4:7" x14ac:dyDescent="0.3">
      <c r="D154" s="7"/>
      <c r="E154" s="7"/>
      <c r="F154" s="7"/>
      <c r="G154" s="7"/>
    </row>
    <row r="155" spans="4:7" x14ac:dyDescent="0.3">
      <c r="D155" s="7"/>
      <c r="E155" s="7"/>
      <c r="F155" s="7"/>
      <c r="G155" s="7"/>
    </row>
    <row r="156" spans="4:7" x14ac:dyDescent="0.3">
      <c r="D156" s="7"/>
      <c r="E156" s="7"/>
      <c r="F156" s="7"/>
      <c r="G156" s="7"/>
    </row>
    <row r="157" spans="4:7" x14ac:dyDescent="0.3">
      <c r="D157" s="7"/>
      <c r="E157" s="7"/>
      <c r="F157" s="7"/>
      <c r="G157" s="7"/>
    </row>
    <row r="158" spans="4:7" x14ac:dyDescent="0.3">
      <c r="D158" s="7"/>
      <c r="E158" s="7"/>
      <c r="F158" s="7"/>
      <c r="G158" s="7"/>
    </row>
    <row r="159" spans="4:7" x14ac:dyDescent="0.3">
      <c r="D159" s="7"/>
      <c r="E159" s="7"/>
      <c r="F159" s="7"/>
      <c r="G159" s="7"/>
    </row>
    <row r="160" spans="4:7" x14ac:dyDescent="0.3">
      <c r="D160" s="7"/>
      <c r="E160" s="7"/>
      <c r="F160" s="7"/>
      <c r="G160" s="7"/>
    </row>
    <row r="161" spans="4:7" x14ac:dyDescent="0.3">
      <c r="D161" s="7"/>
      <c r="E161" s="7"/>
      <c r="F161" s="7"/>
      <c r="G161" s="7"/>
    </row>
    <row r="162" spans="4:7" x14ac:dyDescent="0.3">
      <c r="D162" s="7"/>
      <c r="E162" s="7"/>
      <c r="F162" s="7"/>
      <c r="G162" s="7"/>
    </row>
    <row r="163" spans="4:7" x14ac:dyDescent="0.3">
      <c r="D163" s="7"/>
      <c r="E163" s="7"/>
      <c r="F163" s="7"/>
      <c r="G163" s="7"/>
    </row>
    <row r="164" spans="4:7" x14ac:dyDescent="0.3">
      <c r="D164" s="7"/>
      <c r="E164" s="7"/>
      <c r="F164" s="7"/>
      <c r="G164" s="7"/>
    </row>
    <row r="165" spans="4:7" x14ac:dyDescent="0.3">
      <c r="D165" s="7"/>
      <c r="E165" s="7"/>
      <c r="F165" s="7"/>
      <c r="G165" s="7"/>
    </row>
    <row r="166" spans="4:7" x14ac:dyDescent="0.3">
      <c r="D166" s="7"/>
      <c r="E166" s="7"/>
      <c r="F166" s="7"/>
      <c r="G166" s="7"/>
    </row>
    <row r="167" spans="4:7" x14ac:dyDescent="0.3">
      <c r="D167" s="7"/>
      <c r="E167" s="7"/>
      <c r="F167" s="7"/>
      <c r="G167" s="7"/>
    </row>
    <row r="168" spans="4:7" x14ac:dyDescent="0.3">
      <c r="D168" s="7"/>
      <c r="E168" s="7"/>
      <c r="F168" s="7"/>
      <c r="G168" s="7"/>
    </row>
    <row r="169" spans="4:7" x14ac:dyDescent="0.3">
      <c r="D169" s="7"/>
      <c r="E169" s="7"/>
      <c r="F169" s="7"/>
      <c r="G169" s="7"/>
    </row>
    <row r="170" spans="4:7" x14ac:dyDescent="0.3">
      <c r="D170" s="7"/>
      <c r="E170" s="7"/>
      <c r="F170" s="7"/>
      <c r="G170" s="7"/>
    </row>
    <row r="171" spans="4:7" x14ac:dyDescent="0.3">
      <c r="D171" s="7"/>
      <c r="E171" s="7"/>
      <c r="F171" s="7"/>
      <c r="G171" s="7"/>
    </row>
    <row r="172" spans="4:7" x14ac:dyDescent="0.3">
      <c r="D172" s="7"/>
      <c r="E172" s="7"/>
      <c r="F172" s="7"/>
      <c r="G172" s="7"/>
    </row>
    <row r="173" spans="4:7" x14ac:dyDescent="0.3">
      <c r="D173" s="7"/>
      <c r="E173" s="7"/>
      <c r="F173" s="7"/>
      <c r="G173" s="7"/>
    </row>
    <row r="174" spans="4:7" x14ac:dyDescent="0.3">
      <c r="D174" s="7"/>
      <c r="E174" s="7"/>
      <c r="F174" s="7"/>
      <c r="G174" s="7"/>
    </row>
    <row r="175" spans="4:7" x14ac:dyDescent="0.3">
      <c r="D175" s="7"/>
      <c r="E175" s="7"/>
      <c r="F175" s="7"/>
      <c r="G175" s="7"/>
    </row>
    <row r="176" spans="4:7" x14ac:dyDescent="0.3">
      <c r="D176" s="7"/>
      <c r="E176" s="7"/>
      <c r="F176" s="7"/>
      <c r="G176" s="7"/>
    </row>
    <row r="177" spans="4:7" x14ac:dyDescent="0.3">
      <c r="D177" s="7"/>
      <c r="E177" s="7"/>
      <c r="F177" s="7"/>
      <c r="G177" s="7"/>
    </row>
    <row r="178" spans="4:7" x14ac:dyDescent="0.3">
      <c r="D178" s="7"/>
      <c r="E178" s="7"/>
      <c r="F178" s="7"/>
      <c r="G178" s="7"/>
    </row>
    <row r="179" spans="4:7" x14ac:dyDescent="0.3">
      <c r="D179" s="7"/>
      <c r="E179" s="7"/>
      <c r="F179" s="7"/>
      <c r="G179" s="7"/>
    </row>
    <row r="180" spans="4:7" x14ac:dyDescent="0.3">
      <c r="D180" s="7"/>
      <c r="E180" s="7"/>
      <c r="F180" s="7"/>
      <c r="G180" s="7"/>
    </row>
    <row r="181" spans="4:7" x14ac:dyDescent="0.3">
      <c r="D181" s="7"/>
      <c r="E181" s="7"/>
      <c r="F181" s="7"/>
      <c r="G181" s="7"/>
    </row>
    <row r="182" spans="4:7" x14ac:dyDescent="0.3">
      <c r="D182" s="7"/>
      <c r="E182" s="7"/>
      <c r="F182" s="7"/>
      <c r="G182" s="7"/>
    </row>
    <row r="183" spans="4:7" x14ac:dyDescent="0.3">
      <c r="D183" s="7"/>
      <c r="E183" s="7"/>
      <c r="F183" s="7"/>
      <c r="G183" s="7"/>
    </row>
    <row r="184" spans="4:7" x14ac:dyDescent="0.3">
      <c r="D184" s="7"/>
      <c r="E184" s="7"/>
      <c r="F184" s="7"/>
      <c r="G184" s="7"/>
    </row>
    <row r="185" spans="4:7" x14ac:dyDescent="0.3">
      <c r="D185" s="7"/>
      <c r="E185" s="7"/>
      <c r="F185" s="7"/>
      <c r="G185" s="7"/>
    </row>
    <row r="186" spans="4:7" x14ac:dyDescent="0.3">
      <c r="D186" s="7"/>
      <c r="E186" s="7"/>
      <c r="F186" s="7"/>
      <c r="G186" s="7"/>
    </row>
    <row r="187" spans="4:7" x14ac:dyDescent="0.3">
      <c r="D187" s="7"/>
      <c r="E187" s="7"/>
      <c r="F187" s="7"/>
      <c r="G187" s="7"/>
    </row>
    <row r="188" spans="4:7" x14ac:dyDescent="0.3">
      <c r="D188" s="7"/>
      <c r="E188" s="7"/>
      <c r="F188" s="7"/>
      <c r="G188" s="7"/>
    </row>
    <row r="189" spans="4:7" x14ac:dyDescent="0.3">
      <c r="D189" s="7"/>
      <c r="E189" s="7"/>
      <c r="F189" s="7"/>
      <c r="G189" s="7"/>
    </row>
    <row r="190" spans="4:7" x14ac:dyDescent="0.3">
      <c r="D190" s="7"/>
      <c r="E190" s="7"/>
      <c r="F190" s="7"/>
      <c r="G190" s="7"/>
    </row>
    <row r="191" spans="4:7" x14ac:dyDescent="0.3">
      <c r="D191" s="7"/>
      <c r="E191" s="7"/>
      <c r="F191" s="7"/>
      <c r="G191" s="7"/>
    </row>
    <row r="192" spans="4:7" x14ac:dyDescent="0.3">
      <c r="D192" s="7"/>
      <c r="E192" s="7"/>
      <c r="F192" s="7"/>
      <c r="G192" s="7"/>
    </row>
    <row r="193" spans="4:7" x14ac:dyDescent="0.3">
      <c r="D193" s="7"/>
      <c r="E193" s="7"/>
      <c r="F193" s="7"/>
      <c r="G193" s="7"/>
    </row>
    <row r="194" spans="4:7" x14ac:dyDescent="0.3">
      <c r="D194" s="7"/>
      <c r="E194" s="7"/>
      <c r="F194" s="7"/>
      <c r="G194" s="7"/>
    </row>
    <row r="195" spans="4:7" x14ac:dyDescent="0.3">
      <c r="D195" s="7"/>
      <c r="E195" s="7"/>
      <c r="F195" s="7"/>
      <c r="G195" s="7"/>
    </row>
    <row r="196" spans="4:7" x14ac:dyDescent="0.3">
      <c r="D196" s="7"/>
      <c r="E196" s="7"/>
      <c r="F196" s="7"/>
      <c r="G196" s="7"/>
    </row>
    <row r="197" spans="4:7" x14ac:dyDescent="0.3">
      <c r="D197" s="7"/>
      <c r="E197" s="7"/>
      <c r="F197" s="7"/>
      <c r="G197" s="7"/>
    </row>
    <row r="198" spans="4:7" x14ac:dyDescent="0.3">
      <c r="D198" s="7"/>
      <c r="E198" s="7"/>
      <c r="F198" s="7"/>
      <c r="G198" s="7"/>
    </row>
    <row r="199" spans="4:7" x14ac:dyDescent="0.3">
      <c r="D199" s="7"/>
      <c r="E199" s="7"/>
      <c r="F199" s="7"/>
      <c r="G199" s="7"/>
    </row>
    <row r="200" spans="4:7" x14ac:dyDescent="0.3">
      <c r="D200" s="7"/>
      <c r="E200" s="7"/>
      <c r="F200" s="7"/>
      <c r="G200" s="7"/>
    </row>
    <row r="201" spans="4:7" x14ac:dyDescent="0.3">
      <c r="D201" s="7"/>
      <c r="E201" s="7"/>
      <c r="F201" s="7"/>
      <c r="G201" s="7"/>
    </row>
    <row r="202" spans="4:7" x14ac:dyDescent="0.3">
      <c r="D202" s="7"/>
      <c r="E202" s="7"/>
      <c r="F202" s="7"/>
      <c r="G202" s="7"/>
    </row>
    <row r="203" spans="4:7" x14ac:dyDescent="0.3">
      <c r="D203" s="7"/>
      <c r="E203" s="7"/>
      <c r="F203" s="7"/>
      <c r="G203" s="7"/>
    </row>
    <row r="204" spans="4:7" x14ac:dyDescent="0.3">
      <c r="D204" s="7"/>
      <c r="E204" s="7"/>
      <c r="F204" s="7"/>
      <c r="G204" s="7"/>
    </row>
    <row r="205" spans="4:7" x14ac:dyDescent="0.3">
      <c r="D205" s="7"/>
      <c r="E205" s="7"/>
      <c r="F205" s="7"/>
      <c r="G205" s="7"/>
    </row>
    <row r="206" spans="4:7" x14ac:dyDescent="0.3">
      <c r="D206" s="7"/>
      <c r="E206" s="7"/>
      <c r="F206" s="7"/>
      <c r="G206" s="7"/>
    </row>
    <row r="207" spans="4:7" x14ac:dyDescent="0.3">
      <c r="D207" s="7"/>
      <c r="E207" s="7"/>
      <c r="F207" s="7"/>
      <c r="G207" s="7"/>
    </row>
    <row r="208" spans="4:7" x14ac:dyDescent="0.3">
      <c r="D208" s="7"/>
      <c r="E208" s="7"/>
      <c r="F208" s="7"/>
      <c r="G208" s="7"/>
    </row>
    <row r="209" spans="4:7" x14ac:dyDescent="0.3">
      <c r="D209" s="7"/>
      <c r="E209" s="7"/>
      <c r="F209" s="7"/>
      <c r="G209" s="7"/>
    </row>
    <row r="210" spans="4:7" x14ac:dyDescent="0.3">
      <c r="D210" s="7"/>
      <c r="E210" s="7"/>
      <c r="F210" s="7"/>
      <c r="G210" s="7"/>
    </row>
    <row r="211" spans="4:7" x14ac:dyDescent="0.3">
      <c r="D211" s="7"/>
      <c r="E211" s="7"/>
      <c r="F211" s="7"/>
      <c r="G211" s="7"/>
    </row>
    <row r="212" spans="4:7" x14ac:dyDescent="0.3">
      <c r="D212" s="7"/>
      <c r="E212" s="7"/>
      <c r="F212" s="7"/>
      <c r="G212" s="7"/>
    </row>
    <row r="213" spans="4:7" x14ac:dyDescent="0.3">
      <c r="D213" s="7"/>
      <c r="E213" s="7"/>
      <c r="F213" s="7"/>
      <c r="G213" s="7"/>
    </row>
    <row r="214" spans="4:7" x14ac:dyDescent="0.3">
      <c r="D214" s="7"/>
      <c r="E214" s="7"/>
      <c r="F214" s="7"/>
      <c r="G214" s="7"/>
    </row>
    <row r="215" spans="4:7" x14ac:dyDescent="0.3">
      <c r="D215" s="7"/>
      <c r="E215" s="7"/>
      <c r="F215" s="7"/>
      <c r="G215" s="7"/>
    </row>
    <row r="216" spans="4:7" x14ac:dyDescent="0.3">
      <c r="D216" s="7"/>
      <c r="E216" s="7"/>
      <c r="F216" s="7"/>
      <c r="G216" s="7"/>
    </row>
    <row r="217" spans="4:7" x14ac:dyDescent="0.3">
      <c r="D217" s="7"/>
      <c r="E217" s="7"/>
      <c r="F217" s="7"/>
      <c r="G217" s="7"/>
    </row>
    <row r="218" spans="4:7" x14ac:dyDescent="0.3">
      <c r="D218" s="7"/>
      <c r="E218" s="7"/>
      <c r="F218" s="7"/>
      <c r="G218" s="7"/>
    </row>
    <row r="219" spans="4:7" x14ac:dyDescent="0.3">
      <c r="D219" s="7"/>
      <c r="E219" s="7"/>
      <c r="F219" s="7"/>
      <c r="G219" s="7"/>
    </row>
    <row r="220" spans="4:7" x14ac:dyDescent="0.3">
      <c r="D220" s="7"/>
      <c r="E220" s="7"/>
      <c r="F220" s="7"/>
      <c r="G220" s="7"/>
    </row>
    <row r="221" spans="4:7" x14ac:dyDescent="0.3">
      <c r="D221" s="7"/>
      <c r="E221" s="7"/>
      <c r="F221" s="7"/>
      <c r="G221" s="7"/>
    </row>
    <row r="222" spans="4:7" x14ac:dyDescent="0.3">
      <c r="D222" s="7"/>
      <c r="E222" s="7"/>
      <c r="F222" s="7"/>
      <c r="G222" s="7"/>
    </row>
    <row r="223" spans="4:7" x14ac:dyDescent="0.3">
      <c r="D223" s="7"/>
      <c r="E223" s="7"/>
      <c r="F223" s="7"/>
      <c r="G223" s="7"/>
    </row>
    <row r="224" spans="4:7" x14ac:dyDescent="0.3">
      <c r="D224" s="7"/>
      <c r="E224" s="7"/>
      <c r="F224" s="7"/>
      <c r="G224" s="7"/>
    </row>
    <row r="225" spans="4:7" x14ac:dyDescent="0.3">
      <c r="D225" s="7"/>
      <c r="E225" s="7"/>
      <c r="F225" s="7"/>
      <c r="G225" s="7"/>
    </row>
    <row r="226" spans="4:7" x14ac:dyDescent="0.3">
      <c r="D226" s="7"/>
      <c r="E226" s="7"/>
      <c r="F226" s="7"/>
      <c r="G226" s="7"/>
    </row>
    <row r="227" spans="4:7" x14ac:dyDescent="0.3">
      <c r="D227" s="7"/>
      <c r="E227" s="7"/>
      <c r="F227" s="7"/>
      <c r="G227" s="7"/>
    </row>
    <row r="228" spans="4:7" x14ac:dyDescent="0.3">
      <c r="D228" s="7"/>
      <c r="E228" s="7"/>
      <c r="F228" s="7"/>
      <c r="G228" s="7"/>
    </row>
    <row r="229" spans="4:7" x14ac:dyDescent="0.3">
      <c r="D229" s="7"/>
      <c r="E229" s="7"/>
      <c r="F229" s="7"/>
      <c r="G229" s="7"/>
    </row>
    <row r="230" spans="4:7" x14ac:dyDescent="0.3">
      <c r="D230" s="7"/>
      <c r="E230" s="7"/>
      <c r="F230" s="7"/>
      <c r="G230" s="7"/>
    </row>
    <row r="231" spans="4:7" x14ac:dyDescent="0.3">
      <c r="D231" s="7"/>
      <c r="E231" s="7"/>
      <c r="F231" s="7"/>
      <c r="G231" s="7"/>
    </row>
    <row r="232" spans="4:7" x14ac:dyDescent="0.3">
      <c r="D232" s="7"/>
      <c r="E232" s="7"/>
      <c r="F232" s="7"/>
      <c r="G232" s="7"/>
    </row>
    <row r="233" spans="4:7" x14ac:dyDescent="0.3">
      <c r="D233" s="7"/>
      <c r="E233" s="7"/>
      <c r="F233" s="7"/>
      <c r="G233" s="7"/>
    </row>
    <row r="234" spans="4:7" x14ac:dyDescent="0.3">
      <c r="D234" s="7"/>
      <c r="E234" s="7"/>
      <c r="F234" s="7"/>
      <c r="G234" s="7"/>
    </row>
    <row r="235" spans="4:7" x14ac:dyDescent="0.3">
      <c r="D235" s="7"/>
      <c r="E235" s="7"/>
      <c r="F235" s="7"/>
      <c r="G235" s="7"/>
    </row>
    <row r="236" spans="4:7" x14ac:dyDescent="0.3">
      <c r="D236" s="7"/>
      <c r="E236" s="7"/>
      <c r="F236" s="7"/>
      <c r="G236" s="7"/>
    </row>
    <row r="237" spans="4:7" x14ac:dyDescent="0.3">
      <c r="D237" s="7"/>
      <c r="E237" s="7"/>
      <c r="F237" s="7"/>
      <c r="G237" s="7"/>
    </row>
    <row r="238" spans="4:7" x14ac:dyDescent="0.3">
      <c r="D238" s="7"/>
      <c r="E238" s="7"/>
      <c r="F238" s="7"/>
      <c r="G238" s="7"/>
    </row>
    <row r="239" spans="4:7" x14ac:dyDescent="0.3">
      <c r="D239" s="7"/>
      <c r="E239" s="7"/>
      <c r="F239" s="7"/>
      <c r="G239" s="7"/>
    </row>
    <row r="240" spans="4:7" x14ac:dyDescent="0.3">
      <c r="D240" s="7"/>
      <c r="E240" s="7"/>
      <c r="F240" s="7"/>
      <c r="G240" s="7"/>
    </row>
    <row r="241" spans="4:7" x14ac:dyDescent="0.3">
      <c r="D241" s="7"/>
      <c r="E241" s="7"/>
      <c r="F241" s="7"/>
      <c r="G241" s="7"/>
    </row>
    <row r="242" spans="4:7" x14ac:dyDescent="0.3">
      <c r="D242" s="7"/>
      <c r="E242" s="7"/>
      <c r="F242" s="7"/>
      <c r="G242" s="7"/>
    </row>
    <row r="243" spans="4:7" x14ac:dyDescent="0.3">
      <c r="D243" s="7"/>
      <c r="E243" s="7"/>
      <c r="F243" s="7"/>
      <c r="G243" s="7"/>
    </row>
    <row r="244" spans="4:7" x14ac:dyDescent="0.3">
      <c r="D244" s="7"/>
      <c r="E244" s="7"/>
      <c r="F244" s="7"/>
      <c r="G244" s="7"/>
    </row>
    <row r="245" spans="4:7" x14ac:dyDescent="0.3">
      <c r="D245" s="7"/>
      <c r="E245" s="7"/>
      <c r="F245" s="7"/>
      <c r="G245" s="7"/>
    </row>
    <row r="246" spans="4:7" x14ac:dyDescent="0.3">
      <c r="D246" s="7"/>
      <c r="E246" s="7"/>
      <c r="F246" s="7"/>
      <c r="G246" s="7"/>
    </row>
    <row r="247" spans="4:7" x14ac:dyDescent="0.3">
      <c r="D247" s="7"/>
      <c r="E247" s="7"/>
      <c r="F247" s="7"/>
      <c r="G247" s="7"/>
    </row>
    <row r="248" spans="4:7" x14ac:dyDescent="0.3">
      <c r="D248" s="7"/>
      <c r="E248" s="7"/>
      <c r="F248" s="7"/>
      <c r="G248" s="7"/>
    </row>
    <row r="249" spans="4:7" x14ac:dyDescent="0.3">
      <c r="D249" s="7"/>
      <c r="E249" s="7"/>
      <c r="F249" s="7"/>
      <c r="G249" s="7"/>
    </row>
    <row r="250" spans="4:7" x14ac:dyDescent="0.3">
      <c r="D250" s="7"/>
      <c r="E250" s="7"/>
      <c r="F250" s="7"/>
      <c r="G250" s="7"/>
    </row>
    <row r="251" spans="4:7" x14ac:dyDescent="0.3">
      <c r="D251" s="7"/>
      <c r="E251" s="7"/>
      <c r="F251" s="7"/>
      <c r="G251" s="7"/>
    </row>
    <row r="252" spans="4:7" x14ac:dyDescent="0.3">
      <c r="D252" s="7"/>
      <c r="E252" s="7"/>
      <c r="F252" s="7"/>
      <c r="G252" s="7"/>
    </row>
    <row r="253" spans="4:7" x14ac:dyDescent="0.3">
      <c r="D253" s="7"/>
      <c r="E253" s="7"/>
      <c r="F253" s="7"/>
      <c r="G253" s="7"/>
    </row>
    <row r="254" spans="4:7" x14ac:dyDescent="0.3">
      <c r="D254" s="7"/>
      <c r="E254" s="7"/>
      <c r="F254" s="7"/>
      <c r="G254" s="7"/>
    </row>
    <row r="255" spans="4:7" x14ac:dyDescent="0.3">
      <c r="D255" s="7"/>
      <c r="E255" s="7"/>
      <c r="F255" s="7"/>
      <c r="G255" s="7"/>
    </row>
    <row r="256" spans="4:7" x14ac:dyDescent="0.3">
      <c r="D256" s="7"/>
      <c r="E256" s="7"/>
      <c r="F256" s="7"/>
      <c r="G256" s="7"/>
    </row>
    <row r="257" spans="4:7" x14ac:dyDescent="0.3">
      <c r="D257" s="7"/>
      <c r="E257" s="7"/>
      <c r="F257" s="7"/>
      <c r="G257" s="7"/>
    </row>
    <row r="258" spans="4:7" x14ac:dyDescent="0.3">
      <c r="D258" s="7"/>
      <c r="E258" s="7"/>
      <c r="F258" s="7"/>
      <c r="G258" s="7"/>
    </row>
    <row r="259" spans="4:7" x14ac:dyDescent="0.3">
      <c r="D259" s="7"/>
      <c r="E259" s="7"/>
      <c r="F259" s="7"/>
      <c r="G259" s="7"/>
    </row>
    <row r="260" spans="4:7" x14ac:dyDescent="0.3">
      <c r="D260" s="7"/>
      <c r="E260" s="7"/>
      <c r="F260" s="7"/>
      <c r="G260" s="7"/>
    </row>
    <row r="261" spans="4:7" x14ac:dyDescent="0.3">
      <c r="D261" s="7"/>
      <c r="E261" s="7"/>
      <c r="F261" s="7"/>
      <c r="G261" s="7"/>
    </row>
    <row r="262" spans="4:7" x14ac:dyDescent="0.3">
      <c r="D262" s="7"/>
      <c r="E262" s="7"/>
      <c r="F262" s="7"/>
      <c r="G262" s="7"/>
    </row>
    <row r="263" spans="4:7" x14ac:dyDescent="0.3">
      <c r="D263" s="7"/>
      <c r="E263" s="7"/>
      <c r="F263" s="7"/>
      <c r="G263" s="7"/>
    </row>
    <row r="264" spans="4:7" x14ac:dyDescent="0.3">
      <c r="D264" s="7"/>
      <c r="E264" s="7"/>
      <c r="F264" s="7"/>
      <c r="G264" s="7"/>
    </row>
    <row r="265" spans="4:7" x14ac:dyDescent="0.3">
      <c r="D265" s="7"/>
      <c r="E265" s="7"/>
      <c r="F265" s="7"/>
      <c r="G265" s="7"/>
    </row>
    <row r="266" spans="4:7" x14ac:dyDescent="0.3">
      <c r="D266" s="7"/>
      <c r="E266" s="7"/>
      <c r="F266" s="7"/>
      <c r="G266" s="7"/>
    </row>
    <row r="267" spans="4:7" x14ac:dyDescent="0.3">
      <c r="D267" s="7"/>
      <c r="E267" s="7"/>
      <c r="F267" s="7"/>
      <c r="G267" s="7"/>
    </row>
    <row r="268" spans="4:7" x14ac:dyDescent="0.3">
      <c r="D268" s="7"/>
      <c r="E268" s="7"/>
      <c r="F268" s="7"/>
      <c r="G268" s="7"/>
    </row>
    <row r="269" spans="4:7" x14ac:dyDescent="0.3">
      <c r="D269" s="7"/>
      <c r="E269" s="7"/>
      <c r="F269" s="7"/>
      <c r="G269" s="7"/>
    </row>
    <row r="270" spans="4:7" x14ac:dyDescent="0.3">
      <c r="D270" s="7"/>
      <c r="E270" s="7"/>
      <c r="F270" s="7"/>
      <c r="G270" s="7"/>
    </row>
    <row r="271" spans="4:7" x14ac:dyDescent="0.3">
      <c r="D271" s="7"/>
      <c r="E271" s="7"/>
      <c r="F271" s="7"/>
      <c r="G271" s="7"/>
    </row>
    <row r="272" spans="4:7" x14ac:dyDescent="0.3">
      <c r="D272" s="7"/>
      <c r="E272" s="7"/>
      <c r="F272" s="7"/>
      <c r="G272" s="7"/>
    </row>
    <row r="273" spans="4:7" x14ac:dyDescent="0.3">
      <c r="D273" s="7"/>
      <c r="E273" s="7"/>
      <c r="F273" s="7"/>
      <c r="G273" s="7"/>
    </row>
    <row r="274" spans="4:7" x14ac:dyDescent="0.3">
      <c r="D274" s="7"/>
      <c r="E274" s="7"/>
      <c r="F274" s="7"/>
      <c r="G274" s="7"/>
    </row>
    <row r="275" spans="4:7" x14ac:dyDescent="0.3">
      <c r="D275" s="7"/>
      <c r="E275" s="7"/>
      <c r="F275" s="7"/>
      <c r="G275" s="7"/>
    </row>
    <row r="276" spans="4:7" x14ac:dyDescent="0.3">
      <c r="D276" s="7"/>
      <c r="E276" s="7"/>
      <c r="F276" s="7"/>
      <c r="G276" s="7"/>
    </row>
    <row r="277" spans="4:7" x14ac:dyDescent="0.3">
      <c r="D277" s="7"/>
      <c r="E277" s="7"/>
      <c r="F277" s="7"/>
      <c r="G277" s="7"/>
    </row>
    <row r="278" spans="4:7" x14ac:dyDescent="0.3">
      <c r="D278" s="7"/>
      <c r="E278" s="7"/>
      <c r="F278" s="7"/>
      <c r="G278" s="7"/>
    </row>
    <row r="279" spans="4:7" x14ac:dyDescent="0.3">
      <c r="D279" s="7"/>
      <c r="E279" s="7"/>
      <c r="F279" s="7"/>
      <c r="G279" s="7"/>
    </row>
    <row r="280" spans="4:7" x14ac:dyDescent="0.3">
      <c r="D280" s="7"/>
      <c r="E280" s="7"/>
      <c r="F280" s="7"/>
      <c r="G280" s="7"/>
    </row>
    <row r="281" spans="4:7" x14ac:dyDescent="0.3">
      <c r="D281" s="7"/>
      <c r="E281" s="7"/>
      <c r="F281" s="7"/>
      <c r="G281" s="7"/>
    </row>
    <row r="282" spans="4:7" x14ac:dyDescent="0.3">
      <c r="D282" s="7"/>
      <c r="E282" s="7"/>
      <c r="F282" s="7"/>
      <c r="G282" s="7"/>
    </row>
    <row r="283" spans="4:7" x14ac:dyDescent="0.3">
      <c r="D283" s="7"/>
      <c r="E283" s="7"/>
      <c r="F283" s="7"/>
      <c r="G283" s="7"/>
    </row>
    <row r="284" spans="4:7" x14ac:dyDescent="0.3">
      <c r="D284" s="7"/>
      <c r="E284" s="7"/>
      <c r="F284" s="7"/>
      <c r="G284" s="7"/>
    </row>
    <row r="285" spans="4:7" x14ac:dyDescent="0.3">
      <c r="D285" s="7"/>
      <c r="E285" s="7"/>
      <c r="F285" s="7"/>
      <c r="G285" s="7"/>
    </row>
    <row r="286" spans="4:7" x14ac:dyDescent="0.3">
      <c r="D286" s="7"/>
      <c r="E286" s="7"/>
      <c r="F286" s="7"/>
      <c r="G286" s="7"/>
    </row>
    <row r="287" spans="4:7" x14ac:dyDescent="0.3">
      <c r="D287" s="7"/>
      <c r="E287" s="7"/>
      <c r="F287" s="7"/>
      <c r="G287" s="7"/>
    </row>
    <row r="288" spans="4:7" x14ac:dyDescent="0.3">
      <c r="D288" s="7"/>
      <c r="E288" s="7"/>
      <c r="F288" s="7"/>
      <c r="G288" s="7"/>
    </row>
    <row r="289" spans="4:7" x14ac:dyDescent="0.3">
      <c r="D289" s="7"/>
      <c r="E289" s="7"/>
      <c r="F289" s="7"/>
      <c r="G289" s="7"/>
    </row>
    <row r="290" spans="4:7" x14ac:dyDescent="0.3">
      <c r="D290" s="7"/>
      <c r="E290" s="7"/>
      <c r="F290" s="7"/>
      <c r="G290" s="7"/>
    </row>
    <row r="291" spans="4:7" x14ac:dyDescent="0.3">
      <c r="D291" s="7"/>
      <c r="E291" s="7"/>
      <c r="F291" s="7"/>
      <c r="G291" s="7"/>
    </row>
    <row r="292" spans="4:7" x14ac:dyDescent="0.3">
      <c r="D292" s="7"/>
      <c r="E292" s="7"/>
      <c r="F292" s="7"/>
      <c r="G292" s="7"/>
    </row>
    <row r="293" spans="4:7" x14ac:dyDescent="0.3">
      <c r="D293" s="7"/>
      <c r="E293" s="7"/>
      <c r="F293" s="7"/>
      <c r="G293" s="7"/>
    </row>
    <row r="294" spans="4:7" x14ac:dyDescent="0.3">
      <c r="D294" s="7"/>
      <c r="E294" s="7"/>
      <c r="F294" s="7"/>
      <c r="G294" s="7"/>
    </row>
    <row r="295" spans="4:7" x14ac:dyDescent="0.3">
      <c r="D295" s="7"/>
      <c r="E295" s="7"/>
      <c r="F295" s="7"/>
      <c r="G295" s="7"/>
    </row>
    <row r="296" spans="4:7" x14ac:dyDescent="0.3">
      <c r="D296" s="7"/>
      <c r="E296" s="7"/>
      <c r="F296" s="7"/>
      <c r="G296" s="7"/>
    </row>
    <row r="297" spans="4:7" x14ac:dyDescent="0.3">
      <c r="D297" s="7"/>
      <c r="E297" s="7"/>
      <c r="F297" s="7"/>
      <c r="G297" s="7"/>
    </row>
    <row r="298" spans="4:7" x14ac:dyDescent="0.3">
      <c r="D298" s="7"/>
      <c r="E298" s="7"/>
      <c r="F298" s="7"/>
      <c r="G298" s="7"/>
    </row>
    <row r="299" spans="4:7" x14ac:dyDescent="0.3">
      <c r="D299" s="7"/>
      <c r="E299" s="7"/>
      <c r="F299" s="7"/>
      <c r="G299" s="7"/>
    </row>
    <row r="300" spans="4:7" x14ac:dyDescent="0.3">
      <c r="D300" s="7"/>
      <c r="E300" s="7"/>
      <c r="F300" s="7"/>
      <c r="G300" s="7"/>
    </row>
    <row r="301" spans="4:7" x14ac:dyDescent="0.3">
      <c r="D301" s="7"/>
      <c r="E301" s="7"/>
      <c r="F301" s="7"/>
      <c r="G301" s="7"/>
    </row>
    <row r="302" spans="4:7" x14ac:dyDescent="0.3">
      <c r="D302" s="7"/>
      <c r="E302" s="7"/>
      <c r="F302" s="7"/>
      <c r="G302" s="7"/>
    </row>
    <row r="303" spans="4:7" x14ac:dyDescent="0.3">
      <c r="D303" s="7"/>
      <c r="E303" s="7"/>
      <c r="F303" s="7"/>
      <c r="G303" s="7"/>
    </row>
    <row r="304" spans="4:7" x14ac:dyDescent="0.3">
      <c r="D304" s="7"/>
      <c r="E304" s="7"/>
      <c r="F304" s="7"/>
      <c r="G304" s="7"/>
    </row>
    <row r="305" spans="4:7" x14ac:dyDescent="0.3">
      <c r="D305" s="7"/>
      <c r="E305" s="7"/>
      <c r="F305" s="7"/>
      <c r="G305" s="7"/>
    </row>
    <row r="306" spans="4:7" x14ac:dyDescent="0.3">
      <c r="D306" s="7"/>
      <c r="E306" s="7"/>
      <c r="F306" s="7"/>
      <c r="G306" s="7"/>
    </row>
    <row r="307" spans="4:7" x14ac:dyDescent="0.3">
      <c r="D307" s="7"/>
      <c r="E307" s="7"/>
      <c r="F307" s="7"/>
      <c r="G307" s="7"/>
    </row>
    <row r="308" spans="4:7" x14ac:dyDescent="0.3">
      <c r="D308" s="7"/>
      <c r="E308" s="7"/>
      <c r="F308" s="7"/>
      <c r="G308" s="7"/>
    </row>
    <row r="309" spans="4:7" x14ac:dyDescent="0.3">
      <c r="D309" s="7"/>
      <c r="E309" s="7"/>
      <c r="F309" s="7"/>
      <c r="G309" s="7"/>
    </row>
    <row r="310" spans="4:7" x14ac:dyDescent="0.3">
      <c r="D310" s="7"/>
      <c r="E310" s="7"/>
      <c r="F310" s="7"/>
      <c r="G310" s="7"/>
    </row>
    <row r="311" spans="4:7" x14ac:dyDescent="0.3">
      <c r="D311" s="7"/>
      <c r="E311" s="7"/>
      <c r="F311" s="7"/>
      <c r="G311" s="7"/>
    </row>
    <row r="312" spans="4:7" x14ac:dyDescent="0.3">
      <c r="D312" s="7"/>
      <c r="E312" s="7"/>
      <c r="F312" s="7"/>
      <c r="G312" s="7"/>
    </row>
    <row r="313" spans="4:7" x14ac:dyDescent="0.3">
      <c r="D313" s="7"/>
      <c r="E313" s="7"/>
      <c r="F313" s="7"/>
      <c r="G313" s="7"/>
    </row>
    <row r="314" spans="4:7" x14ac:dyDescent="0.3">
      <c r="D314" s="7"/>
      <c r="E314" s="7"/>
      <c r="F314" s="7"/>
      <c r="G314" s="7"/>
    </row>
    <row r="315" spans="4:7" x14ac:dyDescent="0.3">
      <c r="D315" s="7"/>
      <c r="E315" s="7"/>
      <c r="F315" s="7"/>
      <c r="G315" s="7"/>
    </row>
    <row r="316" spans="4:7" x14ac:dyDescent="0.3">
      <c r="D316" s="7"/>
      <c r="E316" s="7"/>
      <c r="F316" s="7"/>
      <c r="G316" s="7"/>
    </row>
    <row r="317" spans="4:7" x14ac:dyDescent="0.3">
      <c r="D317" s="7"/>
      <c r="E317" s="7"/>
      <c r="F317" s="7"/>
      <c r="G317" s="7"/>
    </row>
    <row r="318" spans="4:7" x14ac:dyDescent="0.3">
      <c r="D318" s="7"/>
      <c r="E318" s="7"/>
      <c r="F318" s="7"/>
      <c r="G318" s="7"/>
    </row>
    <row r="319" spans="4:7" x14ac:dyDescent="0.3">
      <c r="D319" s="7"/>
      <c r="E319" s="7"/>
      <c r="F319" s="7"/>
      <c r="G319" s="7"/>
    </row>
    <row r="320" spans="4:7" x14ac:dyDescent="0.3">
      <c r="D320" s="7"/>
      <c r="E320" s="7"/>
      <c r="F320" s="7"/>
      <c r="G320" s="7"/>
    </row>
    <row r="321" spans="4:7" x14ac:dyDescent="0.3">
      <c r="D321" s="7"/>
      <c r="E321" s="7"/>
      <c r="F321" s="7"/>
      <c r="G321" s="7"/>
    </row>
    <row r="322" spans="4:7" x14ac:dyDescent="0.3">
      <c r="D322" s="7"/>
      <c r="E322" s="7"/>
      <c r="F322" s="7"/>
      <c r="G322" s="7"/>
    </row>
    <row r="323" spans="4:7" x14ac:dyDescent="0.3">
      <c r="D323" s="7"/>
      <c r="E323" s="7"/>
      <c r="F323" s="7"/>
      <c r="G323" s="7"/>
    </row>
    <row r="324" spans="4:7" x14ac:dyDescent="0.3">
      <c r="D324" s="7"/>
      <c r="E324" s="7"/>
      <c r="F324" s="7"/>
      <c r="G324" s="7"/>
    </row>
    <row r="325" spans="4:7" x14ac:dyDescent="0.3">
      <c r="D325" s="7"/>
      <c r="E325" s="7"/>
      <c r="F325" s="7"/>
      <c r="G325" s="7"/>
    </row>
    <row r="326" spans="4:7" x14ac:dyDescent="0.3">
      <c r="D326" s="7"/>
      <c r="E326" s="7"/>
      <c r="F326" s="7"/>
      <c r="G326" s="7"/>
    </row>
    <row r="327" spans="4:7" x14ac:dyDescent="0.3">
      <c r="D327" s="7"/>
      <c r="E327" s="7"/>
      <c r="F327" s="7"/>
      <c r="G327" s="7"/>
    </row>
    <row r="328" spans="4:7" x14ac:dyDescent="0.3">
      <c r="D328" s="7"/>
      <c r="E328" s="7"/>
      <c r="F328" s="7"/>
      <c r="G328" s="7"/>
    </row>
    <row r="329" spans="4:7" x14ac:dyDescent="0.3">
      <c r="D329" s="7"/>
      <c r="E329" s="7"/>
      <c r="F329" s="7"/>
      <c r="G329" s="7"/>
    </row>
    <row r="330" spans="4:7" x14ac:dyDescent="0.3">
      <c r="D330" s="7"/>
      <c r="E330" s="7"/>
      <c r="F330" s="7"/>
      <c r="G330" s="7"/>
    </row>
    <row r="331" spans="4:7" x14ac:dyDescent="0.3">
      <c r="D331" s="7"/>
      <c r="E331" s="7"/>
      <c r="F331" s="7"/>
      <c r="G331" s="7"/>
    </row>
    <row r="332" spans="4:7" x14ac:dyDescent="0.3">
      <c r="D332" s="7"/>
      <c r="E332" s="7"/>
      <c r="F332" s="7"/>
      <c r="G332" s="7"/>
    </row>
    <row r="333" spans="4:7" x14ac:dyDescent="0.3">
      <c r="D333" s="7"/>
      <c r="E333" s="7"/>
      <c r="F333" s="7"/>
      <c r="G333" s="7"/>
    </row>
    <row r="334" spans="4:7" x14ac:dyDescent="0.3">
      <c r="D334" s="7"/>
      <c r="E334" s="7"/>
      <c r="F334" s="7"/>
      <c r="G334" s="7"/>
    </row>
    <row r="335" spans="4:7" x14ac:dyDescent="0.3">
      <c r="D335" s="7"/>
      <c r="E335" s="7"/>
      <c r="F335" s="7"/>
      <c r="G335" s="7"/>
    </row>
    <row r="336" spans="4:7" x14ac:dyDescent="0.3">
      <c r="D336" s="7"/>
      <c r="E336" s="7"/>
      <c r="F336" s="7"/>
      <c r="G336" s="7"/>
    </row>
    <row r="337" spans="4:7" x14ac:dyDescent="0.3">
      <c r="D337" s="7"/>
      <c r="E337" s="7"/>
      <c r="F337" s="7"/>
      <c r="G337" s="7"/>
    </row>
    <row r="338" spans="4:7" x14ac:dyDescent="0.3">
      <c r="D338" s="7"/>
      <c r="E338" s="7"/>
      <c r="F338" s="7"/>
      <c r="G338" s="7"/>
    </row>
    <row r="339" spans="4:7" x14ac:dyDescent="0.3">
      <c r="D339" s="7"/>
      <c r="E339" s="7"/>
      <c r="F339" s="7"/>
      <c r="G339" s="7"/>
    </row>
    <row r="340" spans="4:7" x14ac:dyDescent="0.3">
      <c r="D340" s="7"/>
      <c r="E340" s="7"/>
      <c r="F340" s="7"/>
      <c r="G340" s="7"/>
    </row>
    <row r="341" spans="4:7" x14ac:dyDescent="0.3">
      <c r="D341" s="7"/>
      <c r="E341" s="7"/>
      <c r="F341" s="7"/>
      <c r="G341" s="7"/>
    </row>
    <row r="342" spans="4:7" x14ac:dyDescent="0.3">
      <c r="D342" s="7"/>
      <c r="E342" s="7"/>
      <c r="F342" s="7"/>
      <c r="G342" s="7"/>
    </row>
    <row r="343" spans="4:7" x14ac:dyDescent="0.3">
      <c r="D343" s="7"/>
      <c r="E343" s="7"/>
      <c r="F343" s="7"/>
      <c r="G343" s="7"/>
    </row>
    <row r="344" spans="4:7" x14ac:dyDescent="0.3">
      <c r="D344" s="7"/>
      <c r="E344" s="7"/>
      <c r="F344" s="7"/>
      <c r="G344" s="7"/>
    </row>
    <row r="345" spans="4:7" x14ac:dyDescent="0.3">
      <c r="D345" s="7"/>
      <c r="E345" s="7"/>
      <c r="F345" s="7"/>
      <c r="G345" s="7"/>
    </row>
    <row r="346" spans="4:7" x14ac:dyDescent="0.3">
      <c r="D346" s="7"/>
      <c r="E346" s="7"/>
      <c r="F346" s="7"/>
      <c r="G346" s="7"/>
    </row>
    <row r="347" spans="4:7" x14ac:dyDescent="0.3">
      <c r="D347" s="7"/>
      <c r="E347" s="7"/>
      <c r="F347" s="7"/>
      <c r="G347" s="7"/>
    </row>
    <row r="348" spans="4:7" x14ac:dyDescent="0.3">
      <c r="D348" s="7"/>
      <c r="E348" s="7"/>
      <c r="F348" s="7"/>
      <c r="G348" s="7"/>
    </row>
    <row r="349" spans="4:7" x14ac:dyDescent="0.3">
      <c r="D349" s="7"/>
      <c r="E349" s="7"/>
      <c r="F349" s="7"/>
      <c r="G349" s="7"/>
    </row>
    <row r="350" spans="4:7" x14ac:dyDescent="0.3">
      <c r="D350" s="7"/>
      <c r="E350" s="7"/>
      <c r="F350" s="7"/>
      <c r="G350" s="7"/>
    </row>
    <row r="351" spans="4:7" x14ac:dyDescent="0.3">
      <c r="D351" s="7"/>
      <c r="E351" s="7"/>
      <c r="F351" s="7"/>
      <c r="G351" s="7"/>
    </row>
    <row r="352" spans="4:7" x14ac:dyDescent="0.3">
      <c r="D352" s="7"/>
      <c r="E352" s="7"/>
      <c r="F352" s="7"/>
      <c r="G352" s="7"/>
    </row>
    <row r="353" spans="4:7" x14ac:dyDescent="0.3">
      <c r="D353" s="7"/>
      <c r="E353" s="7"/>
      <c r="F353" s="7"/>
      <c r="G353" s="7"/>
    </row>
    <row r="354" spans="4:7" x14ac:dyDescent="0.3">
      <c r="D354" s="7"/>
      <c r="E354" s="7"/>
      <c r="F354" s="7"/>
      <c r="G354" s="7"/>
    </row>
    <row r="355" spans="4:7" x14ac:dyDescent="0.3">
      <c r="D355" s="7"/>
      <c r="E355" s="7"/>
      <c r="F355" s="7"/>
      <c r="G355" s="7"/>
    </row>
    <row r="356" spans="4:7" x14ac:dyDescent="0.3">
      <c r="D356" s="7"/>
      <c r="E356" s="7"/>
      <c r="F356" s="7"/>
      <c r="G356" s="7"/>
    </row>
    <row r="357" spans="4:7" x14ac:dyDescent="0.3">
      <c r="D357" s="7"/>
      <c r="E357" s="7"/>
      <c r="F357" s="7"/>
      <c r="G357" s="7"/>
    </row>
    <row r="358" spans="4:7" x14ac:dyDescent="0.3">
      <c r="D358" s="7"/>
      <c r="E358" s="7"/>
      <c r="F358" s="7"/>
      <c r="G358" s="7"/>
    </row>
    <row r="359" spans="4:7" x14ac:dyDescent="0.3">
      <c r="D359" s="7"/>
      <c r="E359" s="7"/>
      <c r="F359" s="7"/>
      <c r="G359" s="7"/>
    </row>
    <row r="360" spans="4:7" x14ac:dyDescent="0.3">
      <c r="D360" s="7"/>
      <c r="E360" s="7"/>
      <c r="F360" s="7"/>
      <c r="G360" s="7"/>
    </row>
    <row r="361" spans="4:7" x14ac:dyDescent="0.3">
      <c r="D361" s="7"/>
      <c r="E361" s="7"/>
      <c r="F361" s="7"/>
      <c r="G361" s="7"/>
    </row>
    <row r="362" spans="4:7" x14ac:dyDescent="0.3">
      <c r="D362" s="7"/>
      <c r="E362" s="7"/>
      <c r="F362" s="7"/>
      <c r="G362" s="7"/>
    </row>
    <row r="363" spans="4:7" x14ac:dyDescent="0.3">
      <c r="D363" s="7"/>
      <c r="E363" s="7"/>
      <c r="F363" s="7"/>
      <c r="G363" s="7"/>
    </row>
    <row r="364" spans="4:7" x14ac:dyDescent="0.3">
      <c r="D364" s="7"/>
      <c r="E364" s="7"/>
      <c r="F364" s="7"/>
      <c r="G364" s="7"/>
    </row>
    <row r="365" spans="4:7" x14ac:dyDescent="0.3">
      <c r="D365" s="7"/>
      <c r="E365" s="7"/>
      <c r="F365" s="7"/>
      <c r="G365" s="7"/>
    </row>
    <row r="366" spans="4:7" x14ac:dyDescent="0.3">
      <c r="D366" s="7"/>
      <c r="E366" s="7"/>
      <c r="F366" s="7"/>
      <c r="G366" s="7"/>
    </row>
    <row r="367" spans="4:7" x14ac:dyDescent="0.3">
      <c r="D367" s="7"/>
      <c r="E367" s="7"/>
      <c r="F367" s="7"/>
      <c r="G367" s="7"/>
    </row>
    <row r="368" spans="4:7" x14ac:dyDescent="0.3">
      <c r="D368" s="7"/>
      <c r="E368" s="7"/>
      <c r="F368" s="7"/>
      <c r="G368" s="7"/>
    </row>
    <row r="369" spans="4:7" x14ac:dyDescent="0.3">
      <c r="D369" s="7"/>
      <c r="E369" s="7"/>
      <c r="F369" s="7"/>
      <c r="G369" s="7"/>
    </row>
    <row r="370" spans="4:7" x14ac:dyDescent="0.3">
      <c r="D370" s="7"/>
      <c r="E370" s="7"/>
      <c r="F370" s="7"/>
      <c r="G370" s="7"/>
    </row>
    <row r="371" spans="4:7" x14ac:dyDescent="0.3">
      <c r="D371" s="7"/>
      <c r="E371" s="7"/>
      <c r="F371" s="7"/>
      <c r="G371" s="7"/>
    </row>
    <row r="372" spans="4:7" x14ac:dyDescent="0.3">
      <c r="D372" s="7"/>
      <c r="E372" s="7"/>
      <c r="F372" s="7"/>
      <c r="G372" s="7"/>
    </row>
    <row r="373" spans="4:7" x14ac:dyDescent="0.3">
      <c r="D373" s="7"/>
      <c r="E373" s="7"/>
      <c r="F373" s="7"/>
      <c r="G373" s="7"/>
    </row>
    <row r="374" spans="4:7" x14ac:dyDescent="0.3">
      <c r="D374" s="7"/>
      <c r="E374" s="7"/>
      <c r="F374" s="7"/>
      <c r="G374" s="7"/>
    </row>
    <row r="375" spans="4:7" x14ac:dyDescent="0.3">
      <c r="D375" s="7"/>
      <c r="E375" s="7"/>
      <c r="F375" s="7"/>
      <c r="G375" s="7"/>
    </row>
    <row r="376" spans="4:7" x14ac:dyDescent="0.3">
      <c r="D376" s="7"/>
      <c r="E376" s="7"/>
      <c r="F376" s="7"/>
      <c r="G376" s="7"/>
    </row>
    <row r="377" spans="4:7" x14ac:dyDescent="0.3">
      <c r="D377" s="7"/>
      <c r="E377" s="7"/>
      <c r="F377" s="7"/>
      <c r="G377" s="7"/>
    </row>
    <row r="378" spans="4:7" x14ac:dyDescent="0.3">
      <c r="D378" s="7"/>
      <c r="E378" s="7"/>
      <c r="F378" s="7"/>
      <c r="G378" s="7"/>
    </row>
    <row r="379" spans="4:7" x14ac:dyDescent="0.3">
      <c r="D379" s="7"/>
      <c r="E379" s="7"/>
      <c r="F379" s="7"/>
      <c r="G379" s="7"/>
    </row>
    <row r="380" spans="4:7" x14ac:dyDescent="0.3">
      <c r="D380" s="7"/>
      <c r="E380" s="7"/>
      <c r="F380" s="7"/>
      <c r="G380" s="7"/>
    </row>
    <row r="381" spans="4:7" x14ac:dyDescent="0.3">
      <c r="D381" s="7"/>
      <c r="E381" s="7"/>
      <c r="F381" s="7"/>
      <c r="G381" s="7"/>
    </row>
    <row r="382" spans="4:7" x14ac:dyDescent="0.3">
      <c r="D382" s="7"/>
      <c r="E382" s="7"/>
      <c r="F382" s="7"/>
      <c r="G382" s="7"/>
    </row>
    <row r="383" spans="4:7" x14ac:dyDescent="0.3">
      <c r="D383" s="7"/>
      <c r="E383" s="7"/>
      <c r="F383" s="7"/>
      <c r="G383" s="7"/>
    </row>
    <row r="384" spans="4:7" x14ac:dyDescent="0.3">
      <c r="D384" s="7"/>
      <c r="E384" s="7"/>
      <c r="F384" s="7"/>
      <c r="G384" s="7"/>
    </row>
    <row r="385" spans="4:7" x14ac:dyDescent="0.3">
      <c r="D385" s="7"/>
      <c r="E385" s="7"/>
      <c r="F385" s="7"/>
      <c r="G385" s="7"/>
    </row>
    <row r="386" spans="4:7" x14ac:dyDescent="0.3">
      <c r="D386" s="7"/>
      <c r="E386" s="7"/>
      <c r="F386" s="7"/>
      <c r="G386" s="7"/>
    </row>
    <row r="387" spans="4:7" x14ac:dyDescent="0.3">
      <c r="D387" s="7"/>
      <c r="E387" s="7"/>
      <c r="F387" s="7"/>
      <c r="G387" s="7"/>
    </row>
    <row r="388" spans="4:7" x14ac:dyDescent="0.3">
      <c r="D388" s="7"/>
      <c r="E388" s="7"/>
      <c r="F388" s="7"/>
      <c r="G388" s="7"/>
    </row>
    <row r="389" spans="4:7" x14ac:dyDescent="0.3">
      <c r="D389" s="7"/>
      <c r="E389" s="7"/>
      <c r="F389" s="7"/>
      <c r="G389" s="7"/>
    </row>
    <row r="390" spans="4:7" x14ac:dyDescent="0.3">
      <c r="D390" s="7"/>
      <c r="E390" s="7"/>
      <c r="F390" s="7"/>
      <c r="G390" s="7"/>
    </row>
    <row r="391" spans="4:7" x14ac:dyDescent="0.3">
      <c r="D391" s="7"/>
      <c r="E391" s="7"/>
      <c r="F391" s="7"/>
      <c r="G391" s="7"/>
    </row>
    <row r="392" spans="4:7" x14ac:dyDescent="0.3">
      <c r="D392" s="7"/>
      <c r="E392" s="7"/>
      <c r="F392" s="7"/>
      <c r="G392" s="7"/>
    </row>
    <row r="393" spans="4:7" x14ac:dyDescent="0.3">
      <c r="D393" s="7"/>
      <c r="E393" s="7"/>
      <c r="F393" s="7"/>
      <c r="G393" s="7"/>
    </row>
    <row r="394" spans="4:7" x14ac:dyDescent="0.3">
      <c r="D394" s="7"/>
      <c r="E394" s="7"/>
      <c r="F394" s="7"/>
      <c r="G394" s="7"/>
    </row>
    <row r="395" spans="4:7" x14ac:dyDescent="0.3">
      <c r="D395" s="7"/>
      <c r="E395" s="7"/>
      <c r="F395" s="7"/>
      <c r="G395" s="7"/>
    </row>
    <row r="396" spans="4:7" x14ac:dyDescent="0.3">
      <c r="D396" s="7"/>
      <c r="E396" s="7"/>
      <c r="F396" s="7"/>
      <c r="G396" s="7"/>
    </row>
    <row r="397" spans="4:7" x14ac:dyDescent="0.3">
      <c r="D397" s="7"/>
      <c r="E397" s="7"/>
      <c r="F397" s="7"/>
      <c r="G397" s="7"/>
    </row>
    <row r="398" spans="4:7" x14ac:dyDescent="0.3">
      <c r="D398" s="7"/>
      <c r="E398" s="7"/>
      <c r="F398" s="7"/>
      <c r="G398" s="7"/>
    </row>
    <row r="399" spans="4:7" x14ac:dyDescent="0.3">
      <c r="D399" s="7"/>
      <c r="E399" s="7"/>
      <c r="F399" s="7"/>
      <c r="G399" s="7"/>
    </row>
    <row r="400" spans="4:7" x14ac:dyDescent="0.3">
      <c r="D400" s="7"/>
      <c r="E400" s="7"/>
      <c r="F400" s="7"/>
      <c r="G400" s="7"/>
    </row>
    <row r="401" spans="4:7" x14ac:dyDescent="0.3">
      <c r="D401" s="7"/>
      <c r="E401" s="7"/>
      <c r="F401" s="7"/>
      <c r="G401" s="7"/>
    </row>
    <row r="402" spans="4:7" x14ac:dyDescent="0.3">
      <c r="D402" s="7"/>
      <c r="E402" s="7"/>
      <c r="F402" s="7"/>
      <c r="G402" s="7"/>
    </row>
    <row r="403" spans="4:7" x14ac:dyDescent="0.3">
      <c r="D403" s="7"/>
      <c r="E403" s="7"/>
      <c r="F403" s="7"/>
      <c r="G403" s="7"/>
    </row>
    <row r="404" spans="4:7" x14ac:dyDescent="0.3">
      <c r="D404" s="7"/>
      <c r="E404" s="7"/>
      <c r="F404" s="7"/>
      <c r="G404" s="7"/>
    </row>
    <row r="405" spans="4:7" x14ac:dyDescent="0.3">
      <c r="D405" s="7"/>
      <c r="E405" s="7"/>
      <c r="F405" s="7"/>
      <c r="G405" s="7"/>
    </row>
    <row r="406" spans="4:7" x14ac:dyDescent="0.3">
      <c r="D406" s="7"/>
      <c r="E406" s="7"/>
      <c r="F406" s="7"/>
      <c r="G406" s="7"/>
    </row>
    <row r="407" spans="4:7" x14ac:dyDescent="0.3">
      <c r="D407" s="7"/>
      <c r="E407" s="7"/>
      <c r="F407" s="7"/>
      <c r="G407" s="7"/>
    </row>
    <row r="408" spans="4:7" x14ac:dyDescent="0.3">
      <c r="D408" s="7"/>
      <c r="E408" s="7"/>
      <c r="F408" s="7"/>
      <c r="G408" s="7"/>
    </row>
    <row r="409" spans="4:7" x14ac:dyDescent="0.3">
      <c r="D409" s="7"/>
      <c r="E409" s="7"/>
      <c r="F409" s="7"/>
      <c r="G409" s="7"/>
    </row>
    <row r="410" spans="4:7" x14ac:dyDescent="0.3">
      <c r="D410" s="7"/>
      <c r="E410" s="7"/>
      <c r="F410" s="7"/>
      <c r="G410" s="7"/>
    </row>
    <row r="411" spans="4:7" x14ac:dyDescent="0.3">
      <c r="D411" s="7"/>
      <c r="E411" s="7"/>
      <c r="F411" s="7"/>
      <c r="G411" s="7"/>
    </row>
    <row r="412" spans="4:7" x14ac:dyDescent="0.3">
      <c r="D412" s="7"/>
      <c r="E412" s="7"/>
      <c r="F412" s="7"/>
      <c r="G412" s="7"/>
    </row>
    <row r="413" spans="4:7" x14ac:dyDescent="0.3">
      <c r="D413" s="7"/>
      <c r="E413" s="7"/>
      <c r="F413" s="7"/>
      <c r="G413" s="7"/>
    </row>
    <row r="414" spans="4:7" x14ac:dyDescent="0.3">
      <c r="D414" s="7"/>
      <c r="E414" s="7"/>
      <c r="F414" s="7"/>
      <c r="G414" s="7"/>
    </row>
    <row r="415" spans="4:7" x14ac:dyDescent="0.3">
      <c r="D415" s="7"/>
      <c r="E415" s="7"/>
      <c r="F415" s="7"/>
      <c r="G415" s="7"/>
    </row>
    <row r="416" spans="4:7" x14ac:dyDescent="0.3">
      <c r="D416" s="7"/>
      <c r="E416" s="7"/>
      <c r="F416" s="7"/>
      <c r="G416" s="7"/>
    </row>
    <row r="417" spans="4:7" x14ac:dyDescent="0.3">
      <c r="D417" s="7"/>
      <c r="E417" s="7"/>
      <c r="F417" s="7"/>
      <c r="G417" s="7"/>
    </row>
    <row r="418" spans="4:7" x14ac:dyDescent="0.3">
      <c r="D418" s="7"/>
      <c r="E418" s="7"/>
      <c r="F418" s="7"/>
      <c r="G418" s="7"/>
    </row>
    <row r="419" spans="4:7" x14ac:dyDescent="0.3">
      <c r="D419" s="7"/>
      <c r="E419" s="7"/>
      <c r="F419" s="7"/>
      <c r="G419" s="7"/>
    </row>
    <row r="420" spans="4:7" x14ac:dyDescent="0.3">
      <c r="D420" s="7"/>
      <c r="E420" s="7"/>
      <c r="F420" s="7"/>
      <c r="G420" s="7"/>
    </row>
    <row r="421" spans="4:7" x14ac:dyDescent="0.3">
      <c r="D421" s="7"/>
      <c r="E421" s="7"/>
      <c r="F421" s="7"/>
      <c r="G421" s="7"/>
    </row>
    <row r="422" spans="4:7" x14ac:dyDescent="0.3">
      <c r="D422" s="7"/>
      <c r="E422" s="7"/>
      <c r="F422" s="7"/>
      <c r="G422" s="7"/>
    </row>
    <row r="423" spans="4:7" x14ac:dyDescent="0.3">
      <c r="D423" s="7"/>
      <c r="E423" s="7"/>
      <c r="F423" s="7"/>
      <c r="G423" s="7"/>
    </row>
    <row r="424" spans="4:7" x14ac:dyDescent="0.3">
      <c r="D424" s="7"/>
      <c r="E424" s="7"/>
      <c r="F424" s="7"/>
      <c r="G424" s="7"/>
    </row>
    <row r="425" spans="4:7" x14ac:dyDescent="0.3">
      <c r="D425" s="7"/>
      <c r="E425" s="7"/>
      <c r="F425" s="7"/>
      <c r="G425" s="7"/>
    </row>
    <row r="426" spans="4:7" x14ac:dyDescent="0.3">
      <c r="D426" s="7"/>
      <c r="E426" s="7"/>
      <c r="F426" s="7"/>
      <c r="G426" s="7"/>
    </row>
    <row r="427" spans="4:7" x14ac:dyDescent="0.3">
      <c r="D427" s="7"/>
      <c r="E427" s="7"/>
      <c r="F427" s="7"/>
      <c r="G427" s="7"/>
    </row>
    <row r="428" spans="4:7" x14ac:dyDescent="0.3">
      <c r="D428" s="7"/>
      <c r="E428" s="7"/>
      <c r="F428" s="7"/>
      <c r="G428" s="7"/>
    </row>
    <row r="429" spans="4:7" x14ac:dyDescent="0.3">
      <c r="D429" s="7"/>
      <c r="E429" s="7"/>
      <c r="F429" s="7"/>
      <c r="G429" s="7"/>
    </row>
    <row r="430" spans="4:7" x14ac:dyDescent="0.3">
      <c r="D430" s="7"/>
      <c r="E430" s="7"/>
      <c r="F430" s="7"/>
      <c r="G430" s="7"/>
    </row>
    <row r="431" spans="4:7" x14ac:dyDescent="0.3">
      <c r="D431" s="7"/>
      <c r="E431" s="7"/>
      <c r="F431" s="7"/>
      <c r="G431" s="7"/>
    </row>
    <row r="432" spans="4:7" x14ac:dyDescent="0.3">
      <c r="D432" s="7"/>
      <c r="E432" s="7"/>
      <c r="F432" s="7"/>
      <c r="G432" s="7"/>
    </row>
    <row r="433" spans="4:7" x14ac:dyDescent="0.3">
      <c r="D433" s="7"/>
      <c r="E433" s="7"/>
      <c r="F433" s="7"/>
      <c r="G433" s="7"/>
    </row>
    <row r="434" spans="4:7" x14ac:dyDescent="0.3">
      <c r="D434" s="7"/>
      <c r="E434" s="7"/>
      <c r="F434" s="7"/>
      <c r="G434" s="7"/>
    </row>
    <row r="435" spans="4:7" x14ac:dyDescent="0.3">
      <c r="D435" s="7"/>
      <c r="E435" s="7"/>
      <c r="F435" s="7"/>
      <c r="G435" s="7"/>
    </row>
    <row r="436" spans="4:7" x14ac:dyDescent="0.3">
      <c r="D436" s="7"/>
      <c r="E436" s="7"/>
      <c r="F436" s="7"/>
      <c r="G436" s="7"/>
    </row>
    <row r="437" spans="4:7" x14ac:dyDescent="0.3">
      <c r="D437" s="7"/>
      <c r="E437" s="7"/>
      <c r="F437" s="7"/>
      <c r="G437" s="7"/>
    </row>
    <row r="438" spans="4:7" x14ac:dyDescent="0.3">
      <c r="D438" s="7"/>
      <c r="E438" s="7"/>
      <c r="F438" s="7"/>
      <c r="G438" s="7"/>
    </row>
    <row r="439" spans="4:7" x14ac:dyDescent="0.3">
      <c r="D439" s="7"/>
      <c r="E439" s="7"/>
      <c r="F439" s="7"/>
      <c r="G439" s="7"/>
    </row>
    <row r="440" spans="4:7" x14ac:dyDescent="0.3">
      <c r="D440" s="7"/>
      <c r="E440" s="7"/>
      <c r="F440" s="7"/>
      <c r="G440" s="7"/>
    </row>
    <row r="441" spans="4:7" x14ac:dyDescent="0.3">
      <c r="D441" s="7"/>
      <c r="E441" s="7"/>
      <c r="F441" s="7"/>
      <c r="G441" s="7"/>
    </row>
    <row r="442" spans="4:7" x14ac:dyDescent="0.3">
      <c r="D442" s="7"/>
      <c r="E442" s="7"/>
      <c r="F442" s="7"/>
      <c r="G442" s="7"/>
    </row>
    <row r="443" spans="4:7" x14ac:dyDescent="0.3">
      <c r="D443" s="7"/>
      <c r="E443" s="7"/>
      <c r="F443" s="7"/>
      <c r="G443" s="7"/>
    </row>
    <row r="444" spans="4:7" x14ac:dyDescent="0.3">
      <c r="D444" s="7"/>
      <c r="E444" s="7"/>
      <c r="F444" s="7"/>
      <c r="G444" s="7"/>
    </row>
    <row r="445" spans="4:7" x14ac:dyDescent="0.3">
      <c r="D445" s="7"/>
      <c r="E445" s="7"/>
      <c r="F445" s="7"/>
      <c r="G445" s="7"/>
    </row>
    <row r="446" spans="4:7" x14ac:dyDescent="0.3">
      <c r="D446" s="7"/>
      <c r="E446" s="7"/>
      <c r="F446" s="7"/>
      <c r="G446" s="7"/>
    </row>
    <row r="447" spans="4:7" x14ac:dyDescent="0.3">
      <c r="D447" s="7"/>
      <c r="E447" s="7"/>
      <c r="F447" s="7"/>
      <c r="G447" s="7"/>
    </row>
    <row r="448" spans="4:7" x14ac:dyDescent="0.3">
      <c r="D448" s="7"/>
      <c r="E448" s="7"/>
      <c r="F448" s="7"/>
      <c r="G448" s="7"/>
    </row>
    <row r="449" spans="4:7" x14ac:dyDescent="0.3">
      <c r="D449" s="7"/>
      <c r="E449" s="7"/>
      <c r="F449" s="7"/>
      <c r="G449" s="7"/>
    </row>
    <row r="450" spans="4:7" x14ac:dyDescent="0.3">
      <c r="D450" s="7"/>
      <c r="E450" s="7"/>
      <c r="F450" s="7"/>
      <c r="G450" s="7"/>
    </row>
    <row r="451" spans="4:7" x14ac:dyDescent="0.3">
      <c r="D451" s="7"/>
      <c r="E451" s="7"/>
      <c r="F451" s="7"/>
      <c r="G451" s="7"/>
    </row>
    <row r="452" spans="4:7" x14ac:dyDescent="0.3">
      <c r="D452" s="7"/>
      <c r="E452" s="7"/>
      <c r="F452" s="7"/>
      <c r="G452" s="7"/>
    </row>
    <row r="453" spans="4:7" x14ac:dyDescent="0.3">
      <c r="D453" s="7"/>
      <c r="E453" s="7"/>
      <c r="F453" s="7"/>
      <c r="G453" s="7"/>
    </row>
    <row r="454" spans="4:7" x14ac:dyDescent="0.3">
      <c r="D454" s="7"/>
      <c r="E454" s="7"/>
      <c r="F454" s="7"/>
      <c r="G454" s="7"/>
    </row>
  </sheetData>
  <mergeCells count="22">
    <mergeCell ref="O29:P29"/>
    <mergeCell ref="O27:P28"/>
    <mergeCell ref="O20:P20"/>
    <mergeCell ref="O23:P24"/>
    <mergeCell ref="L2:L4"/>
    <mergeCell ref="O14:P15"/>
    <mergeCell ref="O16:P16"/>
    <mergeCell ref="O25:P25"/>
    <mergeCell ref="O9:P10"/>
    <mergeCell ref="O21:P21"/>
    <mergeCell ref="O18:P19"/>
    <mergeCell ref="P2:P4"/>
    <mergeCell ref="H6:H7"/>
    <mergeCell ref="K2:K4"/>
    <mergeCell ref="J6:J7"/>
    <mergeCell ref="A6:A7"/>
    <mergeCell ref="D6:E6"/>
    <mergeCell ref="A2:G3"/>
    <mergeCell ref="I2:I4"/>
    <mergeCell ref="I6:I7"/>
    <mergeCell ref="H2:H4"/>
    <mergeCell ref="K6:K7"/>
  </mergeCells>
  <phoneticPr fontId="30" type="noConversion"/>
  <conditionalFormatting sqref="K9:K51">
    <cfRule type="cellIs" dxfId="18" priority="1" operator="equal">
      <formula>"DIREITO"</formula>
    </cfRule>
    <cfRule type="cellIs" dxfId="17" priority="2" operator="equal">
      <formula>"ESQUERDO"</formula>
    </cfRule>
  </conditionalFormatting>
  <dataValidations count="2">
    <dataValidation type="list" allowBlank="1" showInputMessage="1" showErrorMessage="1" sqref="I2:I5" xr:uid="{00000000-0002-0000-0400-000000000000}">
      <formula1>",SIM,NÃO"</formula1>
    </dataValidation>
    <dataValidation type="list" allowBlank="1" showInputMessage="1" showErrorMessage="1" sqref="K9:K51" xr:uid="{00000000-0002-0000-0400-000001000000}">
      <formula1>"DIREITO,ESQUERDO,TRAFO, ,"</formula1>
    </dataValidation>
  </dataValidations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4"/>
  <dimension ref="A2:AC14"/>
  <sheetViews>
    <sheetView zoomScale="110" zoomScaleNormal="110" workbookViewId="0">
      <selection activeCell="C2" sqref="C2:C3"/>
    </sheetView>
  </sheetViews>
  <sheetFormatPr defaultRowHeight="14.4" x14ac:dyDescent="0.3"/>
  <cols>
    <col min="1" max="1" width="11.6640625" bestFit="1" customWidth="1"/>
    <col min="2" max="2" width="12.6640625" customWidth="1"/>
    <col min="3" max="3" width="14.88671875" customWidth="1"/>
    <col min="4" max="4" width="10.44140625" bestFit="1" customWidth="1"/>
    <col min="5" max="5" width="11.5546875" bestFit="1" customWidth="1"/>
    <col min="6" max="6" width="8.21875" customWidth="1"/>
    <col min="7" max="7" width="8.88671875" customWidth="1"/>
    <col min="8" max="8" width="16.109375" bestFit="1" customWidth="1"/>
    <col min="9" max="9" width="7.109375" hidden="1" customWidth="1"/>
    <col min="10" max="10" width="6.109375" hidden="1" customWidth="1"/>
    <col min="11" max="11" width="10.77734375" hidden="1" customWidth="1"/>
    <col min="12" max="12" width="15.44140625" hidden="1" customWidth="1"/>
    <col min="13" max="13" width="17.5546875" hidden="1" customWidth="1"/>
    <col min="14" max="14" width="8.77734375" bestFit="1" customWidth="1"/>
    <col min="15" max="15" width="11.6640625" customWidth="1"/>
    <col min="16" max="16" width="7.5546875" hidden="1" customWidth="1"/>
    <col min="17" max="17" width="20.6640625" hidden="1" customWidth="1"/>
    <col min="18" max="18" width="9" hidden="1" customWidth="1"/>
    <col min="19" max="19" width="8" bestFit="1" customWidth="1"/>
    <col min="20" max="20" width="16" hidden="1" customWidth="1"/>
    <col min="21" max="21" width="13.21875" hidden="1" customWidth="1"/>
    <col min="22" max="22" width="13.33203125" hidden="1" customWidth="1"/>
    <col min="23" max="23" width="6.5546875" hidden="1" customWidth="1"/>
    <col min="24" max="24" width="6.44140625" hidden="1" customWidth="1"/>
    <col min="25" max="25" width="13.33203125" hidden="1" customWidth="1"/>
    <col min="26" max="26" width="11.5546875" hidden="1" customWidth="1"/>
    <col min="27" max="27" width="4.33203125" customWidth="1"/>
    <col min="28" max="28" width="2.33203125" bestFit="1" customWidth="1"/>
    <col min="29" max="29" width="11.5546875" bestFit="1" customWidth="1"/>
  </cols>
  <sheetData>
    <row r="2" spans="1:29" x14ac:dyDescent="0.3">
      <c r="A2" s="233" t="s">
        <v>0</v>
      </c>
      <c r="B2" s="231">
        <f>VLOOKUP("RAMAL",Tabela7[[PONTO]:[ETA]],15,0)</f>
        <v>118.69775108855391</v>
      </c>
      <c r="C2" s="234">
        <f>VLOOKUP("RAMAL",Tabela7[[PONTO]:[ETA]],14,0)</f>
        <v>6.5497565320275494E-2</v>
      </c>
      <c r="D2" s="201"/>
      <c r="E2" s="201"/>
      <c r="F2" s="64"/>
      <c r="H2" s="153" t="s">
        <v>1</v>
      </c>
      <c r="AB2" s="190" t="s">
        <v>2</v>
      </c>
      <c r="AC2" s="191"/>
    </row>
    <row r="3" spans="1:29" x14ac:dyDescent="0.3">
      <c r="A3" s="179"/>
      <c r="B3" s="232"/>
      <c r="C3" s="232"/>
      <c r="D3" s="179"/>
      <c r="E3" s="179"/>
      <c r="F3" s="64"/>
      <c r="AB3" s="192"/>
      <c r="AC3" s="192"/>
    </row>
    <row r="4" spans="1:29" x14ac:dyDescent="0.3">
      <c r="AB4" s="11" t="s">
        <v>3</v>
      </c>
      <c r="AC4" s="13">
        <f>IFERROR(SUMPRODUCT(G8:G10,D8:D10)/SUM(G8:G10),"INSERIR DADOS")</f>
        <v>635973.75956464384</v>
      </c>
    </row>
    <row r="5" spans="1:29" ht="13.8" customHeight="1" x14ac:dyDescent="0.3">
      <c r="A5" s="233" t="s">
        <v>4</v>
      </c>
      <c r="B5" s="180" t="s">
        <v>5</v>
      </c>
      <c r="C5" s="180" t="s">
        <v>6</v>
      </c>
      <c r="D5" s="235" t="s">
        <v>7</v>
      </c>
      <c r="E5" s="182"/>
      <c r="F5" s="176" t="s">
        <v>8</v>
      </c>
      <c r="G5" s="176" t="s">
        <v>9</v>
      </c>
      <c r="H5" s="176" t="s">
        <v>10</v>
      </c>
      <c r="I5" s="176"/>
      <c r="J5" s="50"/>
      <c r="K5" s="50"/>
      <c r="L5" s="176" t="s">
        <v>11</v>
      </c>
      <c r="M5" s="176" t="s">
        <v>12</v>
      </c>
      <c r="N5" s="176" t="s">
        <v>13</v>
      </c>
      <c r="O5" s="176" t="s">
        <v>14</v>
      </c>
      <c r="P5" s="50"/>
      <c r="Q5" s="176" t="s">
        <v>15</v>
      </c>
      <c r="S5" s="176" t="s">
        <v>16</v>
      </c>
      <c r="Z5" s="176" t="s">
        <v>17</v>
      </c>
      <c r="AB5" s="12" t="s">
        <v>18</v>
      </c>
      <c r="AC5" s="13">
        <f>IFERROR(SUMPRODUCT(G8:G10,E8:E10)/SUM(G8:G10),"INSERIR DADOS")</f>
        <v>7462095.1658970984</v>
      </c>
    </row>
    <row r="6" spans="1:29" ht="34.200000000000003" customHeight="1" x14ac:dyDescent="0.3">
      <c r="A6" s="179"/>
      <c r="B6" s="179"/>
      <c r="C6" s="179"/>
      <c r="D6" s="8" t="s">
        <v>19</v>
      </c>
      <c r="E6" s="8" t="s">
        <v>20</v>
      </c>
      <c r="F6" s="179"/>
      <c r="G6" s="179"/>
      <c r="H6" s="179"/>
      <c r="I6" s="179"/>
      <c r="J6" s="14"/>
      <c r="K6" s="14"/>
      <c r="L6" s="179"/>
      <c r="M6" s="179"/>
      <c r="N6" s="179"/>
      <c r="O6" s="179"/>
      <c r="P6" s="14"/>
      <c r="Q6" s="179"/>
      <c r="S6" s="179"/>
      <c r="Z6" s="179"/>
    </row>
    <row r="7" spans="1:29" x14ac:dyDescent="0.3">
      <c r="A7" s="53" t="s">
        <v>4</v>
      </c>
      <c r="B7" s="53" t="s">
        <v>21</v>
      </c>
      <c r="C7" s="53" t="s">
        <v>22</v>
      </c>
      <c r="D7" s="53" t="s">
        <v>3</v>
      </c>
      <c r="E7" s="53" t="s">
        <v>18</v>
      </c>
      <c r="F7" s="53" t="s">
        <v>23</v>
      </c>
      <c r="G7" s="53" t="s">
        <v>24</v>
      </c>
      <c r="H7" s="53" t="s">
        <v>10</v>
      </c>
      <c r="I7" s="67" t="s">
        <v>25</v>
      </c>
      <c r="J7" s="67" t="s">
        <v>26</v>
      </c>
      <c r="K7" s="67" t="s">
        <v>27</v>
      </c>
      <c r="L7" s="53" t="s">
        <v>28</v>
      </c>
      <c r="M7" s="53" t="s">
        <v>29</v>
      </c>
      <c r="N7" s="53" t="s">
        <v>13</v>
      </c>
      <c r="O7" s="67" t="s">
        <v>30</v>
      </c>
      <c r="P7" s="67" t="s">
        <v>31</v>
      </c>
      <c r="Q7" s="53" t="s">
        <v>32</v>
      </c>
      <c r="R7" s="75" t="s">
        <v>33</v>
      </c>
      <c r="S7" s="75" t="s">
        <v>34</v>
      </c>
      <c r="T7" s="75" t="s">
        <v>35</v>
      </c>
      <c r="U7" s="75" t="s">
        <v>36</v>
      </c>
      <c r="V7" s="75" t="s">
        <v>37</v>
      </c>
      <c r="W7" s="75" t="s">
        <v>38</v>
      </c>
      <c r="X7" s="75" t="s">
        <v>39</v>
      </c>
      <c r="Y7" s="75" t="s">
        <v>40</v>
      </c>
      <c r="Z7" s="53" t="s">
        <v>41</v>
      </c>
    </row>
    <row r="8" spans="1:29" x14ac:dyDescent="0.3">
      <c r="A8" s="54">
        <f>GERAL!A9</f>
        <v>11</v>
      </c>
      <c r="B8" s="54">
        <f>IFERROR(IF(Tabela7[[#This Row],[PONTO]]="RAMAL",A7,VLOOKUP(Tabela7[[#This Row],[PONTO]],GERAL[],2,0)),"")</f>
        <v>0</v>
      </c>
      <c r="C8" s="54">
        <f>IFERROR(IF(Tabela7[[#This Row],[PONTO]]="RAMAL",15,VLOOKUP(Tabela7[[#This Row],[PONTO]],GERAL[],3,0)),0)</f>
        <v>4</v>
      </c>
      <c r="D8" s="55">
        <f>IFERROR(IF(Tabela7[[#This Row],[PONTO]]="RAMAL","",VLOOKUP(Tabela7[[#This Row],[PONTO]],GERAL[],4,0)),"")</f>
        <v>635957</v>
      </c>
      <c r="E8" s="55">
        <f>IFERROR(IF(Tabela7[[#This Row],[PONTO]]="RAMAL","",VLOOKUP(Tabela7[[#This Row],[PONTO]],GERAL[],5,0)),"")</f>
        <v>7462079</v>
      </c>
      <c r="F8" s="55">
        <f>IFERROR(IF(Tabela7[[#This Row],[PONTO]]="RAMAL",DMDI,VLOOKUP(Tabela7[[#This Row],[PONTO]],GERAL[],8,0)),"")</f>
        <v>16.471999999999998</v>
      </c>
      <c r="G8" s="55">
        <f>IFERROR(IF(Tabela7[[#This Row],[PONTO]]="RAMAL",Tabela7[[#This Row],[KVA PONTO]],VLOOKUP(Tabela7[[#This Row],[PONTO]],GERAL[],9,0)),"")</f>
        <v>101.95599999999999</v>
      </c>
      <c r="H8" s="55" t="str">
        <f>IFERROR(VLOOKUP(Tabela7[[#This Row],[PONTO]],GERAL[],12,0),"")</f>
        <v>240 Al</v>
      </c>
      <c r="I8" s="61">
        <f>IFERROR(Tabela7[[#This Row],[Ib]],"")</f>
        <v>89.188369765905264</v>
      </c>
      <c r="J8" s="144">
        <f>IFERROR(IFERROR(Tabela7[[#This Row],[ACUMULADA]]/((IF(Tabela7[[#This Row],[FASE]]="MONO",T_LINHA_MONO,IF(Tabela7[[#This Row],[FASE]]="BIF",T_LINHA_TRF,T_LINHA_TRF*SQRT(3)))/1000)*VLOOKUP(Tabela7[[#This Row],[CONDUTOR]],CABOS[],9,0))+30,U8+60*(V8/X8)),"")</f>
        <v>63.726694449291912</v>
      </c>
      <c r="K8" s="69">
        <f>IFERROR((VLOOKUP(Tabela7[[#This Row],[CONDUTOR]],CABOS[],3,0)/VLOOKUP(Tabela7[[#This Row],[CONDUTOR]],CABOS[],6,0))*(1+VLOOKUP(Tabela7[[#This Row],[CONDUTOR]],CABOS[],5,0)*(Tabela7[[#This Row],[T]]-20)),"")</f>
        <v>0.1525662191921664</v>
      </c>
      <c r="L8" s="62">
        <f>IFERROR(IF(Tabela7[[#This Row],[FASE]]="MONO",6,IF(Tabela7[[#This Row],[FASE]]="BIF",2,1))*Tabela7[[#This Row],[ACUMULADA]]*(SQRT(Tabela7[[#This Row],[R CORR]]^2+VLOOKUP(Tabela7[[#This Row],[CONDUTOR]],CABOS[],4,0)^2)/(($P$7^2)/100))*Tabela7[[#This Row],[M]]*T_LINHA_MONO/100+IF(Tabela7[[#This Row],[TRECHO]]=0,T_LINHA_MONO*QT_MTTR,0),"")</f>
        <v>4.5282967315829756</v>
      </c>
      <c r="M8" s="143">
        <f>IFERROR(SUMIF(Tabela7[PONTO],Tabela7[[#This Row],[TRECHO]],Tabela7[Coluna1])+Tabela7[[#This Row],[QT-PONTO]],"")</f>
        <v>4.5282967315829756</v>
      </c>
      <c r="N8" s="56">
        <f>IFERROR(Tabela7[[#This Row],[Coluna1]]/T_LINHA_MONO,"")</f>
        <v>3.5651090958408183E-2</v>
      </c>
      <c r="O8" s="55">
        <f>IFERROR(T_LINHA_MONO*(1-Tabela7[[#This Row],[QT %]]),"")</f>
        <v>122.48876249013469</v>
      </c>
      <c r="P8" s="55">
        <f>IFERROR(T_LINHA_TRF*(1-Tabela7[[#This Row],[QT %]]),"")</f>
        <v>212.15675998915017</v>
      </c>
      <c r="Q8" s="68" t="str">
        <f>IFERROR(IF(Tabela7[[#This Row],[PROTECAO]]="OK","Protecao OK","Ajustar Disj/Condutor"),"")</f>
        <v>Ajustar Disj/Condutor</v>
      </c>
      <c r="R8" s="74" t="str">
        <f>IF(Tabela7[[#This Row],[ETA]]=1,"MONO",IF(Tabela7[[#This Row],[ETA]]=2,"BIF","TRI"))</f>
        <v>TRI</v>
      </c>
      <c r="S8" s="74">
        <v>3</v>
      </c>
      <c r="T8" s="74" t="str">
        <f t="shared" ref="T8:T14" si="0">"AEREO"</f>
        <v>AEREO</v>
      </c>
      <c r="U8" s="74">
        <f>30</f>
        <v>30</v>
      </c>
      <c r="V8" s="74">
        <f>IFERROR(IF(Tabela7[[#This Row],[FASE]]="MONO",Tabela7[[#This Row],[ACUMULADA]]*1000/(T_LINHA_TRF*Tabela7[[#This Row],[ETA]]),Tabela7[[#This Row],[ACUMULADA]]*1000/(SQRT(3)*$P$7*Tabela7[[#This Row],[ETA]])),"")</f>
        <v>89.188369765905264</v>
      </c>
      <c r="W8" s="74">
        <f>IFERROR(VLOOKUP(Tabela7[[#This Row],[Ib]],TabelaDisjuntores[],2,TRUE),"")</f>
        <v>80</v>
      </c>
      <c r="X8" s="74">
        <f>IFERROR(VLOOKUP(Tabela7[[#This Row],[CONDUTOR]],CABOS[],2,0),"")</f>
        <v>476</v>
      </c>
      <c r="Y8" s="74" t="str">
        <f>IF(AND(Tabela7[[#This Row],[Ib]]&lt;=Tabela7[[#This Row],[In]],Tabela7[[#This Row],[In]]&lt;=Tabela7[[#This Row],[Iz]]),"OK","VERIFICAR")</f>
        <v>VERIFICAR</v>
      </c>
      <c r="Z8" s="108">
        <f>IFERROR(SQRT((Tabela7[[#This Row],[X]]-$AC$4)^2+(Tabela7[[#This Row],[Y]]-$AC$5)^2),0)</f>
        <v>23.285601474864436</v>
      </c>
    </row>
    <row r="9" spans="1:29" x14ac:dyDescent="0.3">
      <c r="A9" s="169">
        <v>12</v>
      </c>
      <c r="B9" s="54">
        <f>IFERROR(IF(Tabela7[[#This Row],[PONTO]]="RAMAL",A8,VLOOKUP(Tabela7[[#This Row],[PONTO]],GERAL[],2,0)),"")</f>
        <v>11</v>
      </c>
      <c r="C9" s="54">
        <f>IFERROR(IF(Tabela7[[#This Row],[PONTO]]="RAMAL",15,VLOOKUP(Tabela7[[#This Row],[PONTO]],GERAL[],3,0)),0)</f>
        <v>30</v>
      </c>
      <c r="D9" s="55">
        <f>IFERROR(IF(Tabela7[[#This Row],[PONTO]]="RAMAL","",VLOOKUP(Tabela7[[#This Row],[PONTO]],GERAL[],4,0)),"")</f>
        <v>635986</v>
      </c>
      <c r="E9" s="55">
        <f>IFERROR(IF(Tabela7[[#This Row],[PONTO]]="RAMAL","",VLOOKUP(Tabela7[[#This Row],[PONTO]],GERAL[],5,0)),"")</f>
        <v>7462112</v>
      </c>
      <c r="F9" s="55">
        <f>IFERROR(IF(Tabela7[[#This Row],[PONTO]]="RAMAL",DMDI,VLOOKUP(Tabela7[[#This Row],[PONTO]],GERAL[],8,0)),"")</f>
        <v>19.198399999999999</v>
      </c>
      <c r="G9" s="55">
        <f>IF(Tabela7[[#This Row],[PONTO]]="RAMAL",Tabela7[[#This Row],[KVA PONTO]],VLOOKUP(Tabela7[[#This Row],[PONTO]],GERAL[],9,0))</f>
        <v>42.884</v>
      </c>
      <c r="H9" s="55" t="str">
        <f>IFERROR(VLOOKUP(Tabela7[[#This Row],[PONTO]],GERAL[],12,0),0)</f>
        <v>185 Al - MX</v>
      </c>
      <c r="I9" s="61">
        <f>IFERROR(Tabela7[[#This Row],[Ib]],"")</f>
        <v>37.513771127163501</v>
      </c>
      <c r="J9" s="144">
        <f>IFERROR(IFERROR(Tabela7[[#This Row],[ACUMULADA]]/((IF(Tabela7[[#This Row],[FASE]]="MONO",T_LINHA_MONO,IF(Tabela7[[#This Row],[FASE]]="BIF",T_LINHA_TRF,T_LINHA_TRF*SQRT(3)))/1000)*VLOOKUP(Tabela7[[#This Row],[CONDUTOR]],CABOS[],9,0))+30,U9+60*(V9/X9)),"")</f>
        <v>49.021067050392759</v>
      </c>
      <c r="K9" s="69">
        <f>IFERROR((VLOOKUP(Tabela7[[#This Row],[CONDUTOR]],CABOS[],3,0)/VLOOKUP(Tabela7[[#This Row],[CONDUTOR]],CABOS[],6,0))*(1+VLOOKUP(Tabela7[[#This Row],[CONDUTOR]],CABOS[],5,0)*(Tabela7[[#This Row],[T]]-20)),"")</f>
        <v>0.18688471465146511</v>
      </c>
      <c r="L9" s="62">
        <f>IFERROR(IF(Tabela7[[#This Row],[FASE]]="MONO",6,IF(Tabela7[[#This Row],[FASE]]="BIF",2,1))*Tabela7[[#This Row],[ACUMULADA]]*(SQRT(Tabela7[[#This Row],[R CORR]]^2+VLOOKUP(Tabela7[[#This Row],[CONDUTOR]],CABOS[],4,0)^2)/(($P$7^2)/100))*Tabela7[[#This Row],[M]]*T_LINHA_MONO/100+IF(Tabela7[[#This Row],[TRECHO]]=0,T_LINHA_MONO*QT_MTTR,0),"")</f>
        <v>0.74585657330571264</v>
      </c>
      <c r="M9" s="143">
        <f>IFERROR(SUMIF(Tabela7[PONTO],Tabela7[[#This Row],[TRECHO]],Tabela7[Coluna1])+Tabela7[[#This Row],[QT-PONTO]],"")</f>
        <v>5.2741533048886886</v>
      </c>
      <c r="N9" s="57">
        <f>IFERROR(Tabela7[[#This Row],[Coluna1]]/T_LINHA_MONO,"")</f>
        <v>4.1523188595338711E-2</v>
      </c>
      <c r="O9" s="55">
        <f>IFERROR(T_LINHA_MONO*(1-Tabela7[[#This Row],[QT %]]),"")</f>
        <v>121.74290591682899</v>
      </c>
      <c r="P9" s="55">
        <f>IFERROR(T_LINHA_TRF*(1-Tabela7[[#This Row],[QT %]]),"")</f>
        <v>210.86489850902549</v>
      </c>
      <c r="Q9" s="68" t="str">
        <f>IFERROR(IF(Tabela7[[#This Row],[PROTECAO]]="OK","Protecao OK","Ajustar Disj/Condutor"),"")</f>
        <v>Ajustar Disj/Condutor</v>
      </c>
      <c r="R9" s="54" t="str">
        <f t="shared" ref="R9:R14" si="1">"TRI"</f>
        <v>TRI</v>
      </c>
      <c r="S9" s="54">
        <v>3</v>
      </c>
      <c r="T9" s="74" t="str">
        <f t="shared" si="0"/>
        <v>AEREO</v>
      </c>
      <c r="U9" s="74">
        <f>30</f>
        <v>30</v>
      </c>
      <c r="V9" s="74">
        <f>IFERROR(IF(Tabela7[[#This Row],[FASE]]="MONO",Tabela7[[#This Row],[ACUMULADA]]*1000/(T_LINHA_TRF*Tabela7[[#This Row],[ETA]]),Tabela7[[#This Row],[ACUMULADA]]*1000/(SQRT(3)*$P$7*Tabela7[[#This Row],[ETA]])),"")</f>
        <v>37.513771127163501</v>
      </c>
      <c r="W9" s="74">
        <f>IFERROR(VLOOKUP(Tabela7[[#This Row],[Ib]],TabelaDisjuntores[],2,TRUE),"")</f>
        <v>32</v>
      </c>
      <c r="X9" s="74">
        <f>IFERROR(VLOOKUP(Tabela7[[#This Row],[CONDUTOR]],CABOS[],2,0),"")</f>
        <v>355</v>
      </c>
      <c r="Y9" s="74" t="str">
        <f>IF(AND(Tabela7[[#This Row],[Ib]]&lt;=Tabela7[[#This Row],[In]],Tabela7[[#This Row],[In]]&lt;=Tabela7[[#This Row],[Iz]]),"OK","VERIFICAR")</f>
        <v>VERIFICAR</v>
      </c>
      <c r="Z9" s="108">
        <f>IFERROR(SQRT((Tabela7[[#This Row],[X]]-$AC$4)^2+(Tabela7[[#This Row],[Y]]-$AC$5)^2),0)</f>
        <v>20.813824209187263</v>
      </c>
    </row>
    <row r="10" spans="1:29" x14ac:dyDescent="0.3">
      <c r="A10" s="169">
        <v>13</v>
      </c>
      <c r="B10" s="54">
        <f>IFERROR(IF(Tabela7[[#This Row],[PONTO]]="RAMAL",A9,VLOOKUP(Tabela7[[#This Row],[PONTO]],GERAL[],2,0)),"")</f>
        <v>12</v>
      </c>
      <c r="C10" s="54">
        <f>IFERROR(IF(Tabela7[[#This Row],[PONTO]]="RAMAL",15,VLOOKUP(Tabela7[[#This Row],[PONTO]],GERAL[],3,0)),0)</f>
        <v>36</v>
      </c>
      <c r="D10" s="55">
        <f>IFERROR(IF(Tabela7[[#This Row],[PONTO]]="RAMAL","",VLOOKUP(Tabela7[[#This Row],[PONTO]],GERAL[],4,0)),"")</f>
        <v>636017</v>
      </c>
      <c r="E10" s="55">
        <f>IFERROR(IF(Tabela7[[#This Row],[PONTO]]="RAMAL","",VLOOKUP(Tabela7[[#This Row],[PONTO]],GERAL[],5,0)),"")</f>
        <v>7462129</v>
      </c>
      <c r="F10" s="55">
        <f>IFERROR(IF(Tabela7[[#This Row],[PONTO]]="RAMAL",DMDI,VLOOKUP(Tabela7[[#This Row],[PONTO]],GERAL[],8,0)),"")</f>
        <v>11.0192</v>
      </c>
      <c r="G10" s="55">
        <f>IF(Tabela7[[#This Row],[PONTO]]="RAMAL",Tabela7[[#This Row],[KVA PONTO]],VLOOKUP(Tabela7[[#This Row],[PONTO]],GERAL[],9,0))</f>
        <v>27.377600000000001</v>
      </c>
      <c r="H10" s="55" t="str">
        <f>IFERROR(VLOOKUP(Tabela7[[#This Row],[PONTO]],GERAL[],12,0),0)</f>
        <v>70 Al - MX</v>
      </c>
      <c r="I10" s="61">
        <f>IFERROR(Tabela7[[#This Row],[Ib]],"")</f>
        <v>23.949188984493787</v>
      </c>
      <c r="J10" s="144">
        <f>IFERROR(IFERROR(Tabela7[[#This Row],[ACUMULADA]]/((IF(Tabela7[[#This Row],[FASE]]="MONO",T_LINHA_MONO,IF(Tabela7[[#This Row],[FASE]]="BIF",T_LINHA_TRF,T_LINHA_TRF*SQRT(3)))/1000)*VLOOKUP(Tabela7[[#This Row],[CONDUTOR]],CABOS[],9,0))+30,U10+60*(V10/X10)),"")</f>
        <v>51.340861471331095</v>
      </c>
      <c r="K10" s="69">
        <f>IFERROR((VLOOKUP(Tabela7[[#This Row],[CONDUTOR]],CABOS[],3,0)/VLOOKUP(Tabela7[[#This Row],[CONDUTOR]],CABOS[],6,0))*(1+VLOOKUP(Tabela7[[#This Row],[CONDUTOR]],CABOS[],5,0)*(Tabela7[[#This Row],[T]]-20)),"")</f>
        <v>0.5004720394542358</v>
      </c>
      <c r="L10" s="62">
        <f>IFERROR(IF(Tabela7[[#This Row],[FASE]]="MONO",6,IF(Tabela7[[#This Row],[FASE]]="BIF",2,1))*Tabela7[[#This Row],[ACUMULADA]]*(SQRT(Tabela7[[#This Row],[R CORR]]^2+VLOOKUP(Tabela7[[#This Row],[CONDUTOR]],CABOS[],4,0)^2)/(($P$7^2)/100))*Tabela7[[#This Row],[M]]*T_LINHA_MONO/100+IF(Tabela7[[#This Row],[TRECHO]]=0,T_LINHA_MONO*QT_MTTR,0),"")</f>
        <v>1.3348716216068626</v>
      </c>
      <c r="M10" s="143">
        <f>IFERROR(SUMIF(Tabela7[PONTO],Tabela7[[#This Row],[TRECHO]],Tabela7[Coluna1])+Tabela7[[#This Row],[QT-PONTO]],"")</f>
        <v>6.6090249264955512</v>
      </c>
      <c r="N10" s="57">
        <f>IFERROR(Tabela7[[#This Row],[Coluna1]]/T_LINHA_MONO,"")</f>
        <v>5.2032577096270266E-2</v>
      </c>
      <c r="O10" s="55">
        <f>IFERROR(T_LINHA_MONO*(1-Tabela7[[#This Row],[QT %]]),"")</f>
        <v>120.40803429522212</v>
      </c>
      <c r="P10" s="55">
        <f>IFERROR(T_LINHA_TRF*(1-Tabela7[[#This Row],[QT %]]),"")</f>
        <v>208.55283303882052</v>
      </c>
      <c r="Q10" s="68" t="str">
        <f>IFERROR(IF(Tabela7[[#This Row],[PROTECAO]]="OK","Protecao OK","Ajustar Disj/Condutor"),"")</f>
        <v>Ajustar Disj/Condutor</v>
      </c>
      <c r="R10" s="54" t="str">
        <f t="shared" si="1"/>
        <v>TRI</v>
      </c>
      <c r="S10" s="54">
        <v>3</v>
      </c>
      <c r="T10" s="54" t="str">
        <f t="shared" si="0"/>
        <v>AEREO</v>
      </c>
      <c r="U10" s="54">
        <f>30</f>
        <v>30</v>
      </c>
      <c r="V10" s="54">
        <f>IFERROR(IF(Tabela7[[#This Row],[FASE]]="MONO",Tabela7[[#This Row],[ACUMULADA]]*1000/(T_LINHA_TRF*Tabela7[[#This Row],[ETA]]),Tabela7[[#This Row],[ACUMULADA]]*1000/(SQRT(3)*$P$7*Tabela7[[#This Row],[ETA]])),"")</f>
        <v>23.949188984493787</v>
      </c>
      <c r="W10" s="54">
        <f>IFERROR(VLOOKUP(Tabela7[[#This Row],[Ib]],TabelaDisjuntores[],2,TRUE),"")</f>
        <v>20</v>
      </c>
      <c r="X10" s="54">
        <f>IFERROR(VLOOKUP(Tabela7[[#This Row],[CONDUTOR]],CABOS[],2,0),"")</f>
        <v>202</v>
      </c>
      <c r="Y10" s="74" t="str">
        <f>IF(AND(Tabela7[[#This Row],[Ib]]&lt;=Tabela7[[#This Row],[In]],Tabela7[[#This Row],[In]]&lt;=Tabela7[[#This Row],[Iz]]),"OK","VERIFICAR")</f>
        <v>VERIFICAR</v>
      </c>
      <c r="Z10" s="108">
        <f>IFERROR(SQRT((Tabela7[[#This Row],[X]]-$AC$4)^2+(Tabela7[[#This Row],[Y]]-$AC$5)^2),0)</f>
        <v>54.904296452537835</v>
      </c>
    </row>
    <row r="11" spans="1:29" x14ac:dyDescent="0.3">
      <c r="A11" s="173">
        <v>14</v>
      </c>
      <c r="B11" s="54">
        <f>IFERROR(IF(Tabela7[[#This Row],[PONTO]]="RAMAL",A10,VLOOKUP(Tabela7[[#This Row],[PONTO]],GERAL[],2,0)),"")</f>
        <v>13</v>
      </c>
      <c r="C11" s="54">
        <f>IFERROR(IF(Tabela7[[#This Row],[PONTO]]="RAMAL",15,VLOOKUP(Tabela7[[#This Row],[PONTO]],GERAL[],3,0)),0)</f>
        <v>36</v>
      </c>
      <c r="D11" s="55">
        <f>IFERROR(IF(Tabela7[[#This Row],[PONTO]]="RAMAL","",VLOOKUP(Tabela7[[#This Row],[PONTO]],GERAL[],4,0)),"")</f>
        <v>63645</v>
      </c>
      <c r="E11" s="55">
        <f>IFERROR(IF(Tabela7[[#This Row],[PONTO]]="RAMAL","",VLOOKUP(Tabela7[[#This Row],[PONTO]],GERAL[],5,0)),"")</f>
        <v>7462154</v>
      </c>
      <c r="F11" s="55">
        <f>IFERROR(IF(Tabela7[[#This Row],[PONTO]]="RAMAL",DMDI,VLOOKUP(Tabela7[[#This Row],[PONTO]],GERAL[],8,0)),"")</f>
        <v>13.7456</v>
      </c>
      <c r="G11" s="55">
        <f>IF(Tabela7[[#This Row],[PONTO]]="RAMAL",Tabela7[[#This Row],[KVA PONTO]],VLOOKUP(Tabela7[[#This Row],[PONTO]],GERAL[],9,0))</f>
        <v>19.198399999999999</v>
      </c>
      <c r="H11" s="55" t="str">
        <f>IFERROR(VLOOKUP(Tabela7[[#This Row],[PONTO]],GERAL[],12,0),0)</f>
        <v>70 Al - MX</v>
      </c>
      <c r="I11" s="61">
        <f>IFERROR(Tabela7[[#This Row],[Ib]],"")</f>
        <v>16.794244557591075</v>
      </c>
      <c r="J11" s="144">
        <f>IFERROR(IFERROR(Tabela7[[#This Row],[ACUMULADA]]/((IF(Tabela7[[#This Row],[FASE]]="MONO",T_LINHA_MONO,IF(Tabela7[[#This Row],[FASE]]="BIF",T_LINHA_TRF,T_LINHA_TRF*SQRT(3)))/1000)*VLOOKUP(Tabela7[[#This Row],[CONDUTOR]],CABOS[],9,0))+30,U11+60*(V11/X11)),"")</f>
        <v>44.96516841765542</v>
      </c>
      <c r="K11" s="69">
        <f>IFERROR((VLOOKUP(Tabela7[[#This Row],[CONDUTOR]],CABOS[],3,0)/VLOOKUP(Tabela7[[#This Row],[CONDUTOR]],CABOS[],6,0))*(1+VLOOKUP(Tabela7[[#This Row],[CONDUTOR]],CABOS[],5,0)*(Tabela7[[#This Row],[T]]-20)),"")</f>
        <v>0.48905491419045255</v>
      </c>
      <c r="L11" s="62">
        <f>IFERROR(IF(Tabela7[[#This Row],[FASE]]="MONO",6,IF(Tabela7[[#This Row],[FASE]]="BIF",2,1))*Tabela7[[#This Row],[ACUMULADA]]*(SQRT(Tabela7[[#This Row],[R CORR]]^2+VLOOKUP(Tabela7[[#This Row],[CONDUTOR]],CABOS[],4,0)^2)/(($P$7^2)/100))*Tabela7[[#This Row],[M]]*T_LINHA_MONO/100+IF(Tabela7[[#This Row],[TRECHO]]=0,T_LINHA_MONO*QT_MTTR,0),"")</f>
        <v>0.91600426591778827</v>
      </c>
      <c r="M11" s="143">
        <f>IFERROR(SUMIF(Tabela7[PONTO],Tabela7[[#This Row],[TRECHO]],Tabela7[Coluna1])+Tabela7[[#This Row],[QT-PONTO]],"")</f>
        <v>7.5250291924133395</v>
      </c>
      <c r="N11" s="57">
        <f>IFERROR(Tabela7[[#This Row],[Coluna1]]/T_LINHA_MONO,"")</f>
        <v>5.9244240407722276E-2</v>
      </c>
      <c r="O11" s="55">
        <f>IFERROR(T_LINHA_MONO*(1-Tabela7[[#This Row],[QT %]]),"")</f>
        <v>119.49203002930433</v>
      </c>
      <c r="P11" s="55">
        <f>IFERROR(T_LINHA_TRF*(1-Tabela7[[#This Row],[QT %]]),"")</f>
        <v>206.96626711030112</v>
      </c>
      <c r="Q11" s="68" t="str">
        <f>IFERROR(IF(Tabela7[[#This Row],[PROTECAO]]="OK","Protecao OK","Ajustar Disj/Condutor"),"")</f>
        <v>Ajustar Disj/Condutor</v>
      </c>
      <c r="R11" s="54" t="str">
        <f t="shared" si="1"/>
        <v>TRI</v>
      </c>
      <c r="S11" s="54">
        <v>3</v>
      </c>
      <c r="T11" s="74" t="str">
        <f t="shared" si="0"/>
        <v>AEREO</v>
      </c>
      <c r="U11" s="71"/>
      <c r="V11" s="71">
        <f>IFERROR(IF(Tabela7[[#This Row],[FASE]]="MONO",Tabela7[[#This Row],[ACUMULADA]]*1000/(T_LINHA_TRF*Tabela7[[#This Row],[ETA]]),Tabela7[[#This Row],[ACUMULADA]]*1000/(SQRT(3)*$P$7*Tabela7[[#This Row],[ETA]])),"")</f>
        <v>16.794244557591075</v>
      </c>
      <c r="W11" s="71">
        <f>IFERROR(VLOOKUP(Tabela7[[#This Row],[Ib]],TabelaDisjuntores[],2,TRUE),"")</f>
        <v>16</v>
      </c>
      <c r="X11" s="71">
        <f>IFERROR(VLOOKUP(Tabela7[[#This Row],[CONDUTOR]],CABOS[],2,0),"")</f>
        <v>202</v>
      </c>
      <c r="Y11" s="74" t="str">
        <f>IF(AND(Tabela7[[#This Row],[Ib]]&lt;=Tabela7[[#This Row],[In]],Tabela7[[#This Row],[In]]&lt;=Tabela7[[#This Row],[Iz]]),"OK","VERIFICAR")</f>
        <v>VERIFICAR</v>
      </c>
      <c r="Z11" s="108">
        <f>IFERROR(SQRT((Tabela7[[#This Row],[X]]-$AC$4)^2+(Tabela7[[#This Row],[Y]]-$AC$5)^2),0)</f>
        <v>572328.76258865022</v>
      </c>
    </row>
    <row r="12" spans="1:29" x14ac:dyDescent="0.3">
      <c r="A12" s="173">
        <v>15</v>
      </c>
      <c r="B12" s="54">
        <f>IFERROR(IF(Tabela7[[#This Row],[PONTO]]="RAMAL",A11,VLOOKUP(Tabela7[[#This Row],[PONTO]],GERAL[],2,0)),"")</f>
        <v>14</v>
      </c>
      <c r="C12" s="54">
        <f>IFERROR(IF(Tabela7[[#This Row],[PONTO]]="RAMAL",15,VLOOKUP(Tabela7[[#This Row],[PONTO]],GERAL[],3,0)),0)</f>
        <v>38</v>
      </c>
      <c r="D12" s="55">
        <f>IFERROR(IF(Tabela7[[#This Row],[PONTO]]="RAMAL","",VLOOKUP(Tabela7[[#This Row],[PONTO]],GERAL[],4,0)),"")</f>
        <v>636075</v>
      </c>
      <c r="E12" s="55">
        <f>IFERROR(IF(Tabela7[[#This Row],[PONTO]]="RAMAL","",VLOOKUP(Tabela7[[#This Row],[PONTO]],GERAL[],5,0)),"")</f>
        <v>7462174</v>
      </c>
      <c r="F12" s="55">
        <f>IFERROR(IF(Tabela7[[#This Row],[PONTO]]="RAMAL",DMDI,VLOOKUP(Tabela7[[#This Row],[PONTO]],GERAL[],8,0)),"")</f>
        <v>11.0192</v>
      </c>
      <c r="G12" s="55">
        <f>IF(Tabela7[[#This Row],[PONTO]]="RAMAL",Tabela7[[#This Row],[KVA PONTO]],VLOOKUP(Tabela7[[#This Row],[PONTO]],GERAL[],9,0))</f>
        <v>11.0192</v>
      </c>
      <c r="H12" s="55" t="str">
        <f>IFERROR(VLOOKUP(Tabela7[[#This Row],[PONTO]],GERAL[],12,0),0)</f>
        <v>70 Al - MX</v>
      </c>
      <c r="I12" s="61">
        <f>IFERROR(Tabela7[[#This Row],[Ib]],"")</f>
        <v>9.639300130688369</v>
      </c>
      <c r="J12" s="144">
        <f>IFERROR(IFERROR(Tabela7[[#This Row],[ACUMULADA]]/((IF(Tabela7[[#This Row],[FASE]]="MONO",T_LINHA_MONO,IF(Tabela7[[#This Row],[FASE]]="BIF",T_LINHA_TRF,T_LINHA_TRF*SQRT(3)))/1000)*VLOOKUP(Tabela7[[#This Row],[CONDUTOR]],CABOS[],9,0))+30,U12+60*(V12/X12)),"")</f>
        <v>38.589475363979737</v>
      </c>
      <c r="K12" s="69">
        <f>IFERROR((VLOOKUP(Tabela7[[#This Row],[CONDUTOR]],CABOS[],3,0)/VLOOKUP(Tabela7[[#This Row],[CONDUTOR]],CABOS[],6,0))*(1+VLOOKUP(Tabela7[[#This Row],[CONDUTOR]],CABOS[],5,0)*(Tabela7[[#This Row],[T]]-20)),"")</f>
        <v>0.47763778892666936</v>
      </c>
      <c r="L12" s="62">
        <f>IFERROR(IF(Tabela7[[#This Row],[FASE]]="MONO",6,IF(Tabela7[[#This Row],[FASE]]="BIF",2,1))*Tabela7[[#This Row],[ACUMULADA]]*(SQRT(Tabela7[[#This Row],[R CORR]]^2+VLOOKUP(Tabela7[[#This Row],[CONDUTOR]],CABOS[],4,0)^2)/(($P$7^2)/100))*Tabela7[[#This Row],[M]]*T_LINHA_MONO/100+IF(Tabela7[[#This Row],[TRECHO]]=0,T_LINHA_MONO*QT_MTTR,0),"")</f>
        <v>0.54282219801693943</v>
      </c>
      <c r="M12" s="143">
        <f>IFERROR(SUMIF(Tabela7[PONTO],Tabela7[[#This Row],[TRECHO]],Tabela7[Coluna1])+Tabela7[[#This Row],[QT-PONTO]],"")</f>
        <v>8.0678513904302793</v>
      </c>
      <c r="N12" s="57">
        <f>IFERROR(Tabela7[[#This Row],[Coluna1]]/T_LINHA_MONO,"")</f>
        <v>6.3517856891547514E-2</v>
      </c>
      <c r="O12" s="55">
        <f>IFERROR(T_LINHA_MONO*(1-Tabela7[[#This Row],[QT %]]),"")</f>
        <v>118.9492078312874</v>
      </c>
      <c r="P12" s="55">
        <f>IFERROR(T_LINHA_TRF*(1-Tabela7[[#This Row],[QT %]]),"")</f>
        <v>206.02607148385954</v>
      </c>
      <c r="Q12" s="68" t="str">
        <f>IFERROR(IF(Tabela7[[#This Row],[PROTECAO]]="OK","Protecao OK","Ajustar Disj/Condutor"),"")</f>
        <v>Ajustar Disj/Condutor</v>
      </c>
      <c r="R12" s="54" t="str">
        <f t="shared" si="1"/>
        <v>TRI</v>
      </c>
      <c r="S12" s="54">
        <v>3</v>
      </c>
      <c r="T12" s="74" t="str">
        <f t="shared" si="0"/>
        <v>AEREO</v>
      </c>
      <c r="U12" s="71"/>
      <c r="V12" s="71">
        <f>IFERROR(IF(Tabela7[[#This Row],[FASE]]="MONO",Tabela7[[#This Row],[ACUMULADA]]*1000/(T_LINHA_TRF*Tabela7[[#This Row],[ETA]]),Tabela7[[#This Row],[ACUMULADA]]*1000/(SQRT(3)*$P$7*Tabela7[[#This Row],[ETA]])),"")</f>
        <v>9.639300130688369</v>
      </c>
      <c r="W12" s="71">
        <f>IFERROR(VLOOKUP(Tabela7[[#This Row],[Ib]],TabelaDisjuntores[],2,TRUE),"")</f>
        <v>6</v>
      </c>
      <c r="X12" s="71">
        <f>IFERROR(VLOOKUP(Tabela7[[#This Row],[CONDUTOR]],CABOS[],2,0),"")</f>
        <v>202</v>
      </c>
      <c r="Y12" s="74" t="str">
        <f>IF(AND(Tabela7[[#This Row],[Ib]]&lt;=Tabela7[[#This Row],[In]],Tabela7[[#This Row],[In]]&lt;=Tabela7[[#This Row],[Iz]]),"OK","VERIFICAR")</f>
        <v>VERIFICAR</v>
      </c>
      <c r="Z12" s="108">
        <f>IFERROR(SQRT((Tabela7[[#This Row],[X]]-$AC$4)^2+(Tabela7[[#This Row],[Y]]-$AC$5)^2),0)</f>
        <v>128.31383998388162</v>
      </c>
    </row>
    <row r="13" spans="1:29" x14ac:dyDescent="0.3">
      <c r="A13" s="173"/>
      <c r="B13" s="54" t="str">
        <f>IFERROR(IF(Tabela7[[#This Row],[PONTO]]="RAMAL",A12,VLOOKUP(Tabela7[[#This Row],[PONTO]],GERAL[],2,0)),"")</f>
        <v/>
      </c>
      <c r="C13" s="54" t="str">
        <f>IFERROR(IF(Tabela7[[#This Row],[PONTO]]="RAMAL",15,VLOOKUP(Tabela7[[#This Row],[PONTO]],GERAL[],3,0)),"")</f>
        <v/>
      </c>
      <c r="D13" s="55" t="str">
        <f>IFERROR(IF(Tabela7[[#This Row],[PONTO]]="RAMAL","",VLOOKUP(Tabela7[[#This Row],[PONTO]],GERAL[],4,0)),"")</f>
        <v/>
      </c>
      <c r="E13" s="55" t="str">
        <f>IFERROR(IF(Tabela7[[#This Row],[PONTO]]="RAMAL","",VLOOKUP(Tabela7[[#This Row],[PONTO]],GERAL[],5,0)),"")</f>
        <v/>
      </c>
      <c r="F13" s="55" t="str">
        <f>IFERROR(IF(Tabela7[[#This Row],[PONTO]]="RAMAL",DMDI,VLOOKUP(Tabela7[[#This Row],[PONTO]],GERAL[],8,0)),"")</f>
        <v/>
      </c>
      <c r="G13" s="55" t="str">
        <f>IFERROR(IF(Tabela7[[#This Row],[PONTO]]="RAMAL",Tabela7[[#This Row],[KVA PONTO]],VLOOKUP(Tabela7[[#This Row],[PONTO]],GERAL[],9,TRUE)),"")</f>
        <v/>
      </c>
      <c r="H13" s="55" t="str">
        <f>IFERROR(VLOOKUP(Tabela7[[#This Row],[PONTO]],GERAL[],12,0),"")</f>
        <v/>
      </c>
      <c r="I13" s="61" t="str">
        <f>IFERROR(Tabela7[[#This Row],[Ib]],"")</f>
        <v/>
      </c>
      <c r="J13" s="144" t="str">
        <f>IFERROR(IFERROR(Tabela7[[#This Row],[ACUMULADA]]/((IF(Tabela7[[#This Row],[FASE]]="MONO",T_LINHA_MONO,IF(Tabela7[[#This Row],[FASE]]="BIF",T_LINHA_TRF,T_LINHA_TRF*SQRT(3)))/1000)*VLOOKUP(Tabela7[[#This Row],[CONDUTOR]],CABOS[],9,0))+30,U13+60*(V13/X13)),"")</f>
        <v/>
      </c>
      <c r="K13" s="69" t="str">
        <f>IFERROR((VLOOKUP(Tabela7[[#This Row],[CONDUTOR]],CABOS[],3,0)/VLOOKUP(Tabela7[[#This Row],[CONDUTOR]],CABOS[],6,0))*(1+VLOOKUP(Tabela7[[#This Row],[CONDUTOR]],CABOS[],5,0)*(Tabela7[[#This Row],[T]]-20)),"")</f>
        <v/>
      </c>
      <c r="L13" s="62" t="str">
        <f>IFERROR(IF(Tabela7[[#This Row],[FASE]]="MONO",6,IF(Tabela7[[#This Row],[FASE]]="BIF",2,1))*Tabela7[[#This Row],[ACUMULADA]]*(SQRT(Tabela7[[#This Row],[R CORR]]^2+VLOOKUP(Tabela7[[#This Row],[CONDUTOR]],CABOS[],4,0)^2)/(($P$7^2)/100))*Tabela7[[#This Row],[M]]*T_LINHA_MONO/100+IF(Tabela7[[#This Row],[TRECHO]]=0,T_LINHA_MONO*QT_MTTR,0),"")</f>
        <v/>
      </c>
      <c r="M13" s="143">
        <f ca="1">IFERROR(SUMIF(Tabela7[PONTO],Tabela7[[#This Row],[TRECHO]],Tabela7[Coluna1])+Tabela7[[#This Row],[QT-PONTO]],"")</f>
        <v>0</v>
      </c>
      <c r="N13" s="57">
        <f ca="1">IFERROR(Tabela7[[#This Row],[Coluna1]]/T_LINHA_MONO,"")</f>
        <v>0</v>
      </c>
      <c r="O13" s="55">
        <f ca="1">IFERROR(T_LINHA_MONO*(1-Tabela7[[#This Row],[QT %]]),"")</f>
        <v>0</v>
      </c>
      <c r="P13" s="55">
        <f ca="1">IFERROR(T_LINHA_TRF*(1-Tabela7[[#This Row],[QT %]]),"")</f>
        <v>0</v>
      </c>
      <c r="Q13" s="68" t="str">
        <f>IFERROR(IF(Tabela7[[#This Row],[PROTECAO]]="OK","Protecao OK","Ajustar Disj/Condutor"),"")</f>
        <v>Protecao OK</v>
      </c>
      <c r="R13" s="54" t="str">
        <f t="shared" si="1"/>
        <v>TRI</v>
      </c>
      <c r="S13" s="54">
        <v>3</v>
      </c>
      <c r="T13" s="74" t="str">
        <f t="shared" si="0"/>
        <v>AEREO</v>
      </c>
      <c r="U13" s="71"/>
      <c r="V13" s="71" t="str">
        <f>IFERROR(IF(Tabela7[[#This Row],[FASE]]="MONO",Tabela7[[#This Row],[ACUMULADA]]*1000/(T_LINHA_TRF*Tabela7[[#This Row],[ETA]]),Tabela7[[#This Row],[ACUMULADA]]*1000/(SQRT(3)*$P$7*Tabela7[[#This Row],[ETA]])),"")</f>
        <v/>
      </c>
      <c r="W13" s="71" t="str">
        <f>IFERROR(VLOOKUP(Tabela7[[#This Row],[Ib]],TabelaDisjuntores[],2,TRUE),"")</f>
        <v/>
      </c>
      <c r="X13" s="71" t="str">
        <f>IFERROR(VLOOKUP(Tabela7[[#This Row],[CONDUTOR]],CABOS[],2,0),"")</f>
        <v/>
      </c>
      <c r="Y13" s="74" t="str">
        <f>IF(AND(Tabela7[[#This Row],[Ib]]&lt;=Tabela7[[#This Row],[In]],Tabela7[[#This Row],[In]]&lt;=Tabela7[[#This Row],[Iz]]),"OK","VERIFICAR")</f>
        <v>OK</v>
      </c>
      <c r="Z13" s="108">
        <f>IFERROR(SQRT((Tabela7[[#This Row],[X]]-$AC$4)^2+(Tabela7[[#This Row],[Y]]-$AC$5)^2),0)</f>
        <v>0</v>
      </c>
    </row>
    <row r="14" spans="1:29" x14ac:dyDescent="0.3">
      <c r="A14" s="71" t="s">
        <v>42</v>
      </c>
      <c r="B14" s="169">
        <v>15</v>
      </c>
      <c r="C14" s="54">
        <v>15</v>
      </c>
      <c r="D14" s="55" t="str">
        <f>IFERROR(IF(Tabela7[[#This Row],[PONTO]]="RAMAL","",VLOOKUP(Tabela7[[#This Row],[PONTO]],GERAL[],4,0)),"")</f>
        <v/>
      </c>
      <c r="E14" s="55" t="str">
        <f>IFERROR(IF(Tabela7[[#This Row],[PONTO]]="RAMAL","",VLOOKUP(Tabela7[[#This Row],[PONTO]],GERAL[],5,0)),"")</f>
        <v/>
      </c>
      <c r="F14" s="55">
        <f>IFERROR(IF(Tabela7[[#This Row],[PONTO]]="RAMAL",DMDI,VLOOKUP(Tabela7[[#This Row],[PONTO]],GERAL[],8,0)),"")</f>
        <v>2.84</v>
      </c>
      <c r="G14" s="55">
        <f>IF(Tabela7[[#This Row],[PONTO]]="RAMAL",Tabela7[[#This Row],[KVA PONTO]],VLOOKUP(Tabela7[[#This Row],[PONTO]],GERAL[],9,0))</f>
        <v>2.84</v>
      </c>
      <c r="H14" s="175" t="s">
        <v>1</v>
      </c>
      <c r="I14" s="61">
        <f>IFERROR(Tabela7[[#This Row],[Ib]],"")</f>
        <v>2.4843557037856625</v>
      </c>
      <c r="J14" s="144">
        <f>IFERROR(IFERROR(Tabela7[[#This Row],[ACUMULADA]]/((IF(Tabela7[[#This Row],[FASE]]="MONO",T_LINHA_MONO,IF(Tabela7[[#This Row],[FASE]]="BIF",T_LINHA_TRF,T_LINHA_TRF*SQRT(3)))/1000)*VLOOKUP(Tabela7[[#This Row],[CONDUTOR]],CABOS[],9,0))+30,U14+60*(V14/X14)),"")</f>
        <v>37.098159153673322</v>
      </c>
      <c r="K14" s="69">
        <f>IFERROR((VLOOKUP(Tabela7[[#This Row],[CONDUTOR]],CABOS[],3,0)/VLOOKUP(Tabela7[[#This Row],[CONDUTOR]],CABOS[],6,0))*(1+VLOOKUP(Tabela7[[#This Row],[CONDUTOR]],CABOS[],5,0)*(Tabela7[[#This Row],[T]]-20)),"")</f>
        <v>2.0824525085361536</v>
      </c>
      <c r="L14" s="62">
        <f>IFERROR(IF(Tabela7[[#This Row],[FASE]]="MONO",6,IF(Tabela7[[#This Row],[FASE]]="BIF",2,1))*Tabela7[[#This Row],[ACUMULADA]]*(SQRT(Tabela7[[#This Row],[R CORR]]^2+VLOOKUP(Tabela7[[#This Row],[CONDUTOR]],CABOS[],4,0)^2)/(($P$7^2)/100))*Tabela7[[#This Row],[M]]*T_LINHA_MONO/100+IF(Tabela7[[#This Row],[TRECHO]]=0,T_LINHA_MONO*QT_MTTR,0),"")</f>
        <v>0.25145674273347429</v>
      </c>
      <c r="M14" s="143">
        <f>IFERROR(SUMIF(Tabela7[PONTO],Tabela7[[#This Row],[TRECHO]],Tabela7[Coluna1])+Tabela7[[#This Row],[QT-PONTO]],"")</f>
        <v>8.3193081331637533</v>
      </c>
      <c r="N14" s="57">
        <f>IFERROR(Tabela7[[#This Row],[Coluna1]]/T_LINHA_MONO,"")</f>
        <v>6.5497565320275494E-2</v>
      </c>
      <c r="O14" s="55">
        <f>IFERROR(T_LINHA_MONO*(1-Tabela7[[#This Row],[QT %]]),"")</f>
        <v>118.69775108855391</v>
      </c>
      <c r="P14" s="55">
        <f>IFERROR(T_LINHA_TRF*(1-Tabela7[[#This Row],[QT %]]),"")</f>
        <v>205.59053562953937</v>
      </c>
      <c r="Q14" s="68" t="str">
        <f>IFERROR(IF(Tabela7[[#This Row],[PROTECAO]]="OK","Protecao OK","Ajustar Disj/Condutor"),"")</f>
        <v>Ajustar Disj/Condutor</v>
      </c>
      <c r="R14" s="54" t="str">
        <f t="shared" si="1"/>
        <v>TRI</v>
      </c>
      <c r="S14" s="54">
        <v>3</v>
      </c>
      <c r="T14" s="121" t="str">
        <f t="shared" si="0"/>
        <v>AEREO</v>
      </c>
      <c r="U14" s="94">
        <f>30</f>
        <v>30</v>
      </c>
      <c r="V14" s="94">
        <f>IFERROR(IF(Tabela7[[#This Row],[FASE]]="MONO",Tabela7[[#This Row],[ACUMULADA]]*1000/(T_LINHA_TRF*Tabela7[[#This Row],[ETA]]),Tabela7[[#This Row],[ACUMULADA]]*1000/(SQRT(3)*$P$7*Tabela7[[#This Row],[ETA]])),"")</f>
        <v>2.4843557037856625</v>
      </c>
      <c r="W14" s="94">
        <f>IFERROR(VLOOKUP(Tabela7[[#This Row],[Ib]],TabelaDisjuntores[],2,TRUE),"")</f>
        <v>0</v>
      </c>
      <c r="X14" s="94">
        <f>IFERROR(VLOOKUP(Tabela7[[#This Row],[CONDUTOR]],CABOS[],2,0),"")</f>
        <v>63</v>
      </c>
      <c r="Y14" s="94" t="str">
        <f>IF(AND(Tabela7[[#This Row],[Ib]]&lt;=Tabela7[[#This Row],[In]],Tabela7[[#This Row],[In]]&lt;=Tabela7[[#This Row],[Iz]]),"OK","VERIFICAR")</f>
        <v>VERIFICAR</v>
      </c>
      <c r="Z14" s="108">
        <f>IFERROR(SQRT((Tabela7[[#This Row],[X]]-$AC$4)^2+(Tabela7[[#This Row],[Y]]-$AC$5)^2),0)</f>
        <v>0</v>
      </c>
    </row>
  </sheetData>
  <mergeCells count="21">
    <mergeCell ref="A2:A3"/>
    <mergeCell ref="C2:C3"/>
    <mergeCell ref="E2:E3"/>
    <mergeCell ref="I5:I6"/>
    <mergeCell ref="Z5:Z6"/>
    <mergeCell ref="A5:A6"/>
    <mergeCell ref="G5:G6"/>
    <mergeCell ref="S5:S6"/>
    <mergeCell ref="B5:B6"/>
    <mergeCell ref="H5:H6"/>
    <mergeCell ref="D5:E5"/>
    <mergeCell ref="C5:C6"/>
    <mergeCell ref="M5:M6"/>
    <mergeCell ref="O5:O6"/>
    <mergeCell ref="Q5:Q6"/>
    <mergeCell ref="AB2:AC3"/>
    <mergeCell ref="B2:B3"/>
    <mergeCell ref="F5:F6"/>
    <mergeCell ref="D2:D3"/>
    <mergeCell ref="L5:L6"/>
    <mergeCell ref="N5:N6"/>
  </mergeCells>
  <conditionalFormatting sqref="Q8:Y13">
    <cfRule type="cellIs" dxfId="16" priority="1" operator="equal">
      <formula>"Condutor Suporta Amperagem"</formula>
    </cfRule>
    <cfRule type="cellIs" dxfId="15" priority="2" operator="equal">
      <formula>"Condutor Sobrecarregado"</formula>
    </cfRule>
  </conditionalFormatting>
  <pageMargins left="0.511811024" right="0.511811024" top="0.78740157499999996" bottom="0.78740157499999996" header="0.31496062000000002" footer="0.31496062000000002"/>
  <ignoredErrors>
    <ignoredError sqref="B14" calculatedColumn="1"/>
  </ignoredErrors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5"/>
  <dimension ref="A2:AC18"/>
  <sheetViews>
    <sheetView zoomScale="110" zoomScaleNormal="110" workbookViewId="0">
      <pane ySplit="1" topLeftCell="A2" activePane="bottomLeft" state="frozen"/>
      <selection pane="bottomLeft" activeCell="A16" sqref="A16"/>
    </sheetView>
  </sheetViews>
  <sheetFormatPr defaultRowHeight="14.4" x14ac:dyDescent="0.3"/>
  <cols>
    <col min="1" max="1" width="11.33203125" bestFit="1" customWidth="1"/>
    <col min="2" max="2" width="12.44140625" bestFit="1" customWidth="1"/>
    <col min="3" max="3" width="14.6640625" bestFit="1" customWidth="1"/>
    <col min="4" max="4" width="10.44140625" bestFit="1" customWidth="1"/>
    <col min="5" max="5" width="11.5546875" bestFit="1" customWidth="1"/>
    <col min="6" max="6" width="9.77734375" customWidth="1"/>
    <col min="7" max="7" width="10.44140625" customWidth="1"/>
    <col min="8" max="8" width="16.109375" bestFit="1" customWidth="1"/>
    <col min="9" max="11" width="11" hidden="1" customWidth="1"/>
    <col min="12" max="12" width="15.109375" hidden="1" customWidth="1"/>
    <col min="13" max="13" width="12.44140625" hidden="1" customWidth="1"/>
    <col min="16" max="16" width="8.77734375" hidden="1" customWidth="1"/>
    <col min="17" max="17" width="27.109375" hidden="1" customWidth="1"/>
    <col min="18" max="18" width="13" hidden="1" customWidth="1"/>
    <col min="19" max="19" width="7.21875" bestFit="1" customWidth="1"/>
    <col min="20" max="25" width="13" hidden="1" customWidth="1"/>
    <col min="26" max="26" width="13.33203125" hidden="1" customWidth="1"/>
    <col min="27" max="27" width="1.44140625" customWidth="1"/>
    <col min="29" max="29" width="11.5546875" bestFit="1" customWidth="1"/>
    <col min="34" max="34" width="8.44140625" customWidth="1"/>
  </cols>
  <sheetData>
    <row r="2" spans="1:29" x14ac:dyDescent="0.3">
      <c r="A2" s="233" t="s">
        <v>0</v>
      </c>
      <c r="B2" s="231">
        <f>VLOOKUP("RAMAL",DIR_ATUAL[[PONTO]:[ETA]],15,0)</f>
        <v>117.04688712724072</v>
      </c>
      <c r="C2" s="231">
        <f>VLOOKUP("RAMAL",DIR_ATUAL[],14,0)</f>
        <v>7.8494748308361395E-2</v>
      </c>
      <c r="D2" s="201"/>
      <c r="E2" s="201"/>
      <c r="F2" s="64"/>
      <c r="H2" s="55" t="s">
        <v>1</v>
      </c>
      <c r="AB2" s="190" t="s">
        <v>2</v>
      </c>
      <c r="AC2" s="191"/>
    </row>
    <row r="3" spans="1:29" x14ac:dyDescent="0.3">
      <c r="A3" s="179"/>
      <c r="B3" s="232"/>
      <c r="C3" s="232"/>
      <c r="D3" s="179"/>
      <c r="E3" s="179"/>
      <c r="F3" s="64"/>
      <c r="AB3" s="192"/>
      <c r="AC3" s="192"/>
    </row>
    <row r="4" spans="1:29" x14ac:dyDescent="0.3">
      <c r="AB4" s="11" t="s">
        <v>3</v>
      </c>
      <c r="AC4" s="13">
        <f>IFERROR(SUMPRODUCT(G8:G17,D8:D17)/SUM(G8:G17),"INSERIR DADOS")</f>
        <v>619438.78020508238</v>
      </c>
    </row>
    <row r="5" spans="1:29" ht="13.8" customHeight="1" x14ac:dyDescent="0.3">
      <c r="A5" s="233" t="s">
        <v>4</v>
      </c>
      <c r="B5" s="180" t="s">
        <v>5</v>
      </c>
      <c r="C5" s="180" t="s">
        <v>6</v>
      </c>
      <c r="D5" s="235" t="s">
        <v>7</v>
      </c>
      <c r="E5" s="182"/>
      <c r="F5" s="176" t="s">
        <v>8</v>
      </c>
      <c r="G5" s="176" t="s">
        <v>9</v>
      </c>
      <c r="H5" s="176" t="s">
        <v>10</v>
      </c>
      <c r="I5" s="176"/>
      <c r="J5" s="50"/>
      <c r="K5" s="50"/>
      <c r="L5" s="176" t="s">
        <v>11</v>
      </c>
      <c r="M5" s="176" t="s">
        <v>12</v>
      </c>
      <c r="N5" s="176" t="s">
        <v>13</v>
      </c>
      <c r="O5" s="176" t="s">
        <v>14</v>
      </c>
      <c r="P5" s="50"/>
      <c r="Q5" s="176" t="s">
        <v>15</v>
      </c>
      <c r="R5" s="50"/>
      <c r="S5" s="176" t="s">
        <v>16</v>
      </c>
      <c r="Z5" s="176" t="s">
        <v>17</v>
      </c>
      <c r="AB5" s="12" t="s">
        <v>18</v>
      </c>
      <c r="AC5" s="13">
        <f>IFERROR(SUMPRODUCT(G8:G17,E8:E17)/SUM(G8:G17),"INSERIR DADOS")</f>
        <v>6469996.1359786</v>
      </c>
    </row>
    <row r="6" spans="1:29" ht="34.200000000000003" customHeight="1" x14ac:dyDescent="0.3">
      <c r="A6" s="179"/>
      <c r="B6" s="179"/>
      <c r="C6" s="179"/>
      <c r="D6" s="8" t="s">
        <v>19</v>
      </c>
      <c r="E6" s="8" t="s">
        <v>20</v>
      </c>
      <c r="F6" s="179"/>
      <c r="G6" s="179"/>
      <c r="H6" s="179"/>
      <c r="I6" s="179"/>
      <c r="J6" s="14"/>
      <c r="K6" s="14"/>
      <c r="L6" s="179"/>
      <c r="M6" s="179"/>
      <c r="N6" s="179"/>
      <c r="O6" s="179"/>
      <c r="P6" s="14"/>
      <c r="Q6" s="179"/>
      <c r="R6" s="14"/>
      <c r="S6" s="179"/>
      <c r="Z6" s="179"/>
    </row>
    <row r="7" spans="1:29" x14ac:dyDescent="0.3">
      <c r="A7" s="53" t="s">
        <v>4</v>
      </c>
      <c r="B7" s="53" t="s">
        <v>21</v>
      </c>
      <c r="C7" s="53" t="s">
        <v>22</v>
      </c>
      <c r="D7" s="53" t="s">
        <v>3</v>
      </c>
      <c r="E7" s="53" t="s">
        <v>18</v>
      </c>
      <c r="F7" s="53" t="s">
        <v>23</v>
      </c>
      <c r="G7" s="53" t="s">
        <v>24</v>
      </c>
      <c r="H7" s="53" t="s">
        <v>10</v>
      </c>
      <c r="I7" s="67" t="s">
        <v>25</v>
      </c>
      <c r="J7" s="67" t="s">
        <v>26</v>
      </c>
      <c r="K7" s="67" t="s">
        <v>27</v>
      </c>
      <c r="L7" s="53" t="s">
        <v>28</v>
      </c>
      <c r="M7" s="53" t="s">
        <v>29</v>
      </c>
      <c r="N7" s="53" t="s">
        <v>13</v>
      </c>
      <c r="O7" s="67" t="s">
        <v>30</v>
      </c>
      <c r="P7" s="67" t="s">
        <v>31</v>
      </c>
      <c r="Q7" s="53" t="s">
        <v>32</v>
      </c>
      <c r="R7" s="53" t="s">
        <v>33</v>
      </c>
      <c r="S7" s="53" t="s">
        <v>34</v>
      </c>
      <c r="T7" s="53" t="s">
        <v>35</v>
      </c>
      <c r="U7" s="53" t="s">
        <v>36</v>
      </c>
      <c r="V7" s="53" t="s">
        <v>37</v>
      </c>
      <c r="W7" s="53" t="s">
        <v>38</v>
      </c>
      <c r="X7" s="53" t="s">
        <v>39</v>
      </c>
      <c r="Y7" s="53" t="s">
        <v>40</v>
      </c>
      <c r="Z7" s="53" t="s">
        <v>41</v>
      </c>
    </row>
    <row r="8" spans="1:29" x14ac:dyDescent="0.3">
      <c r="A8" s="54">
        <f>GERAL!A9</f>
        <v>11</v>
      </c>
      <c r="B8" s="54">
        <f>IFERROR(IF(DIR_ATUAL[[#This Row],[PONTO]]="RAMAL",A7,VLOOKUP(DIR_ATUAL[[#This Row],[PONTO]],GERAL[],2,0)),"")</f>
        <v>0</v>
      </c>
      <c r="C8" s="54">
        <f>IFERROR(IF(DIR_ATUAL[[#This Row],[PONTO]]="RAMAL",15,VLOOKUP(DIR_ATUAL[[#This Row],[PONTO]],GERAL[],3,0)),"")</f>
        <v>4</v>
      </c>
      <c r="D8" s="55">
        <f>IFERROR(IF(DIR_ATUAL[[#This Row],[PONTO]]="RAMAL","",VLOOKUP(DIR_ATUAL[[#This Row],[PONTO]],GERAL[],4,0)),"")</f>
        <v>635957</v>
      </c>
      <c r="E8" s="55">
        <f>IFERROR(IF(DIR_ATUAL[[#This Row],[PONTO]]="RAMAL","",VLOOKUP(DIR_ATUAL[[#This Row],[PONTO]],GERAL[],5,0)),"")</f>
        <v>7462079</v>
      </c>
      <c r="F8" s="55">
        <f>IFERROR(IF(DIR_ATUAL[[#This Row],[PONTO]]="RAMAL",DMDI,VLOOKUP(DIR_ATUAL[[#This Row],[PONTO]],GERAL[],8,0)),"")</f>
        <v>16.471999999999998</v>
      </c>
      <c r="G8" s="55">
        <f>IFERROR(IF(DIR_ATUAL[[#This Row],[PONTO]]="RAMAL",DIR_ATUAL[[#This Row],[KVA PONTO]],VLOOKUP(DIR_ATUAL[[#This Row],[PONTO]],GERAL[],9,0)),"")</f>
        <v>101.95599999999999</v>
      </c>
      <c r="H8" s="55" t="str">
        <f>IFERROR(VLOOKUP(DIR_ATUAL[[#This Row],[PONTO]],GERAL[],12,0),"")</f>
        <v>240 Al</v>
      </c>
      <c r="I8" s="61">
        <f>IFERROR(DIR_ATUAL[[#This Row],[Ib]],"")</f>
        <v>89.188369765905264</v>
      </c>
      <c r="J8" s="61">
        <f>IFERROR(IFERROR(DIR_ATUAL[[#This Row],[ACUMULADA]]/((IF(DIR_ATUAL[[#This Row],[FASE]]="MONO",T_LINHA_MONO,IF(DIR_ATUAL[[#This Row],[FASE]]="BIF",T_LINHA_TRF,T_LINHA_TRF*SQRT(3)))/1000)*VLOOKUP(H8,CABOS[],9,0))+30,U8+60*(V8/X8)),"")</f>
        <v>63.726694449291912</v>
      </c>
      <c r="K8" s="69">
        <f>IFERROR((VLOOKUP(DIR_ATUAL[[#This Row],[CONDUTOR]],CABOS[],3,0)/VLOOKUP(DIR_ATUAL[[#This Row],[CONDUTOR]],CABOS[],6,0))*(1+VLOOKUP(DIR_ATUAL[[#This Row],[CONDUTOR]],CABOS[],5,0)*(DIR_ATUAL[[#This Row],[T]]-20)),"")</f>
        <v>0.1525662191921664</v>
      </c>
      <c r="L8" s="62">
        <f>IFERROR(IF(DIR_ATUAL[[#This Row],[FASE]]="MONO",6,IF(DIR_ATUAL[[#This Row],[FASE]]="BIF",2,1))*DIR_ATUAL[[#This Row],[ACUMULADA]]*(SQRT(DIR_ATUAL[[#This Row],[R CORR]]^2+VLOOKUP(DIR_ATUAL[[#This Row],[CONDUTOR]],CABOS[],4,0)^2)/(($P$7^2)/100))*DIR_ATUAL[[#This Row],[M]]*T_LINHA_MONO/100+IF(DIR_ATUAL[[#This Row],[TRECHO]]=0,T_LINHA_MONO*QT_MTTR,0),"")</f>
        <v>4.5282967315829756</v>
      </c>
      <c r="M8" s="63">
        <f>IFERROR(SUMIF(DIR_ATUAL[PONTO],DIR_ATUAL[[#This Row],[TRECHO]],DIR_ATUAL[Coluna1])+DIR_ATUAL[[#This Row],[QT-PONTO]],"")</f>
        <v>4.5282967315829756</v>
      </c>
      <c r="N8" s="56">
        <f>IFERROR(DIR_ATUAL[[#This Row],[Coluna1]]/T_LINHA_MONO,"")</f>
        <v>3.5651090958408183E-2</v>
      </c>
      <c r="O8" s="55">
        <f>IFERROR(T_LINHA_MONO*(1-DIR_ATUAL[[#This Row],[QT %]]),"")</f>
        <v>122.48876249013469</v>
      </c>
      <c r="P8" s="55">
        <f>IFERROR(T_LINHA_TRF*(1-DIR_ATUAL[[#This Row],[QT %]]),"")</f>
        <v>212.15675998915017</v>
      </c>
      <c r="Q8" s="68" t="str">
        <f>IFERROR(IF(DIR_ATUAL[[#This Row],[PROTECAO]]="OK","Protecao OK","Ajustar Disj/Condutor"),"")</f>
        <v>Ajustar Disj/Condutor</v>
      </c>
      <c r="R8" s="54" t="str">
        <f>IF(DIR_ATUAL[[#This Row],[ETA]]=1,"MONO",IF(DIR_ATUAL[[#This Row],[ETA]]=2,"BIF","TRI"))</f>
        <v>TRI</v>
      </c>
      <c r="S8" s="54">
        <v>3</v>
      </c>
      <c r="T8" s="74" t="str">
        <f t="shared" ref="T8:T18" si="0">"AEREO"</f>
        <v>AEREO</v>
      </c>
      <c r="U8" s="74">
        <f>30</f>
        <v>30</v>
      </c>
      <c r="V8" s="74">
        <f>IFERROR(IF(DIR_ATUAL[[#This Row],[FASE]]="MONO",DIR_ATUAL[[#This Row],[ACUMULADA]]*1000/(T_LINHA_TRF*DIR_ATUAL[[#This Row],[ETA]]),DIR_ATUAL[[#This Row],[ACUMULADA]]*1000/(SQRT(3)*$P$7*DIR_ATUAL[[#This Row],[ETA]])),"")</f>
        <v>89.188369765905264</v>
      </c>
      <c r="W8" s="74">
        <f>IFERROR(VLOOKUP(DIR_ATUAL[[#This Row],[Ib]],TabelaDisjuntores[],2,TRUE),"")</f>
        <v>80</v>
      </c>
      <c r="X8" s="74">
        <f>IFERROR(VLOOKUP(DIR_ATUAL[[#This Row],[CONDUTOR]],CABOS[],2,0),0)</f>
        <v>476</v>
      </c>
      <c r="Y8" s="74" t="str">
        <f>IF(AND(DIR_ATUAL[[#This Row],[Ib]]&lt;=DIR_ATUAL[[#This Row],[In]],DIR_ATUAL[[#This Row],[In]]&lt;=DIR_ATUAL[[#This Row],[Iz]]),"OK","VERIFICAR")</f>
        <v>VERIFICAR</v>
      </c>
      <c r="Z8" s="109">
        <f>IFERROR(SQRT((DIR_ATUAL[[#This Row],[X]]-$AC$4)^2+(DIR_ATUAL[[#This Row],[Y]]-$AC$5)^2),0)</f>
        <v>992220.36900584574</v>
      </c>
    </row>
    <row r="9" spans="1:29" x14ac:dyDescent="0.3">
      <c r="A9" s="169">
        <v>10</v>
      </c>
      <c r="B9" s="54">
        <f>IFERROR(IF(DIR_ATUAL[[#This Row],[PONTO]]="RAMAL",A8,VLOOKUP(DIR_ATUAL[[#This Row],[PONTO]],GERAL[],2,0)),"")</f>
        <v>11</v>
      </c>
      <c r="C9" s="54">
        <f>IFERROR(IF(DIR_ATUAL[[#This Row],[PONTO]]="RAMAL",15,VLOOKUP(DIR_ATUAL[[#This Row],[PONTO]],GERAL[],3,0)),"")</f>
        <v>36</v>
      </c>
      <c r="D9" s="55">
        <f>IFERROR(IF(DIR_ATUAL[[#This Row],[PONTO]]="RAMAL","",VLOOKUP(DIR_ATUAL[[#This Row],[PONTO]],GERAL[],4,0)),"")</f>
        <v>635924</v>
      </c>
      <c r="E9" s="55">
        <f>IFERROR(IF(DIR_ATUAL[[#This Row],[PONTO]]="RAMAL","",VLOOKUP(DIR_ATUAL[[#This Row],[PONTO]],GERAL[],5,0)),"")</f>
        <v>7462060</v>
      </c>
      <c r="F9" s="55">
        <f>IFERROR(IF(DIR_ATUAL[[#This Row],[PONTO]]="RAMAL",DMDI,VLOOKUP(DIR_ATUAL[[#This Row],[PONTO]],GERAL[],8,0)),"")</f>
        <v>11.0192</v>
      </c>
      <c r="G9" s="55">
        <f>IFERROR(IF(DIR_ATUAL[[#This Row],[PONTO]]="RAMAL",DIR_ATUAL[[#This Row],[KVA PONTO]],VLOOKUP(DIR_ATUAL[[#This Row],[PONTO]],GERAL[],9,0)),"")</f>
        <v>63.388799999999996</v>
      </c>
      <c r="H9" s="55" t="str">
        <f>IFERROR(VLOOKUP(DIR_ATUAL[[#This Row],[PONTO]],GERAL[],12,0),"")</f>
        <v>185 Al - MX</v>
      </c>
      <c r="I9" s="61">
        <f>IFERROR(DIR_ATUAL[[#This Row],[Ib]],"")</f>
        <v>55.45081930849598</v>
      </c>
      <c r="J9" s="61">
        <f>IFERROR(IFERROR(DIR_ATUAL[[#This Row],[ACUMULADA]]/((IF(DIR_ATUAL[[#This Row],[FASE]]="MONO",T_LINHA_MONO,IF(DIR_ATUAL[[#This Row],[FASE]]="BIF",T_LINHA_TRF,T_LINHA_TRF*SQRT(3)))/1000)*VLOOKUP(H9,CABOS[],9,0))+30,U9+60*(V9/X9)),"")</f>
        <v>58.115908381772613</v>
      </c>
      <c r="K9" s="69">
        <f>IFERROR((VLOOKUP(DIR_ATUAL[[#This Row],[CONDUTOR]],CABOS[],3,0)/VLOOKUP(DIR_ATUAL[[#This Row],[CONDUTOR]],CABOS[],6,0))*(1+VLOOKUP(DIR_ATUAL[[#This Row],[CONDUTOR]],CABOS[],5,0)*(DIR_ATUAL[[#This Row],[T]]-20)),"")</f>
        <v>0.19301722538360377</v>
      </c>
      <c r="L9" s="62">
        <f>IFERROR(IF(DIR_ATUAL[[#This Row],[FASE]]="MONO",6,IF(DIR_ATUAL[[#This Row],[FASE]]="BIF",2,1))*DIR_ATUAL[[#This Row],[ACUMULADA]]*(SQRT(DIR_ATUAL[[#This Row],[R CORR]]^2+VLOOKUP(DIR_ATUAL[[#This Row],[CONDUTOR]],CABOS[],4,0)^2)/(($P$7^2)/100))*DIR_ATUAL[[#This Row],[M]]*T_LINHA_MONO/100+IF(DIR_ATUAL[[#This Row],[TRECHO]]=0,T_LINHA_MONO*QT_MTTR,0),"")</f>
        <v>1.3541918350780315</v>
      </c>
      <c r="M9" s="63">
        <f>IFERROR(SUMIF(DIR_ATUAL[PONTO],DIR_ATUAL[[#This Row],[TRECHO]],DIR_ATUAL[Coluna1])+DIR_ATUAL[[#This Row],[QT-PONTO]],"")</f>
        <v>5.8824885666610074</v>
      </c>
      <c r="N9" s="57">
        <f>IFERROR(DIR_ATUAL[[#This Row],[Coluna1]]/T_LINHA_MONO,"")</f>
        <v>4.6312586692726747E-2</v>
      </c>
      <c r="O9" s="55">
        <f>IFERROR(T_LINHA_MONO*(1-DIR_ATUAL[[#This Row],[QT %]]),"")</f>
        <v>121.13457065505666</v>
      </c>
      <c r="P9" s="55">
        <f>IFERROR(T_LINHA_TRF*(1-DIR_ATUAL[[#This Row],[QT %]]),"")</f>
        <v>209.81123092760012</v>
      </c>
      <c r="Q9" s="68" t="str">
        <f>IFERROR(IF(DIR_ATUAL[[#This Row],[PROTECAO]]="OK","Protecao OK","Ajustar Disj/Condutor"),"")</f>
        <v>Ajustar Disj/Condutor</v>
      </c>
      <c r="R9" s="54" t="str">
        <f>IF(DIR_ATUAL[[#This Row],[ETA]]=1,"MONO",IF(DIR_ATUAL[[#This Row],[ETA]]=2,"BIF","TRI"))</f>
        <v>TRI</v>
      </c>
      <c r="S9" s="54">
        <v>3</v>
      </c>
      <c r="T9" s="54" t="str">
        <f t="shared" si="0"/>
        <v>AEREO</v>
      </c>
      <c r="U9" s="54">
        <f>30</f>
        <v>30</v>
      </c>
      <c r="V9" s="54">
        <f>IFERROR(IF(DIR_ATUAL[[#This Row],[FASE]]="MONO",DIR_ATUAL[[#This Row],[ACUMULADA]]*1000/(T_LINHA_TRF*DIR_ATUAL[[#This Row],[ETA]]),DIR_ATUAL[[#This Row],[ACUMULADA]]*1000/(SQRT(3)*$P$7*DIR_ATUAL[[#This Row],[ETA]])),"")</f>
        <v>55.45081930849598</v>
      </c>
      <c r="W9" s="54">
        <f>IFERROR(VLOOKUP(DIR_ATUAL[[#This Row],[Ib]],TabelaDisjuntores[],2,TRUE),"")</f>
        <v>50</v>
      </c>
      <c r="X9" s="54">
        <f>IFERROR(VLOOKUP(DIR_ATUAL[[#This Row],[CONDUTOR]],CABOS[],2,0),0)</f>
        <v>355</v>
      </c>
      <c r="Y9" s="54" t="str">
        <f>IF(AND(DIR_ATUAL[[#This Row],[Ib]]&lt;=DIR_ATUAL[[#This Row],[In]],DIR_ATUAL[[#This Row],[In]]&lt;=DIR_ATUAL[[#This Row],[Iz]]),"OK","VERIFICAR")</f>
        <v>VERIFICAR</v>
      </c>
      <c r="Z9" s="110">
        <f>IFERROR(SQRT((DIR_ATUAL[[#This Row],[X]]-$AC$4)^2+(DIR_ATUAL[[#This Row],[Y]]-$AC$5)^2),0)</f>
        <v>992200.82280189509</v>
      </c>
    </row>
    <row r="10" spans="1:29" x14ac:dyDescent="0.3">
      <c r="A10" s="169">
        <v>4</v>
      </c>
      <c r="B10" s="54">
        <f>IFERROR(IF(DIR_ATUAL[[#This Row],[PONTO]]="RAMAL",A9,VLOOKUP(DIR_ATUAL[[#This Row],[PONTO]],GERAL[],2,0)),"")</f>
        <v>10</v>
      </c>
      <c r="C10" s="54">
        <f>IFERROR(IF(DIR_ATUAL[[#This Row],[PONTO]]="RAMAL",15,VLOOKUP(DIR_ATUAL[[#This Row],[PONTO]],GERAL[],3,0)),"")</f>
        <v>34</v>
      </c>
      <c r="D10" s="55">
        <f>IFERROR(IF(DIR_ATUAL[[#This Row],[PONTO]]="RAMAL","",VLOOKUP(DIR_ATUAL[[#This Row],[PONTO]],GERAL[],4,0)),"")</f>
        <v>635902</v>
      </c>
      <c r="E10" s="55">
        <f>IFERROR(IF(DIR_ATUAL[[#This Row],[PONTO]]="RAMAL","",VLOOKUP(DIR_ATUAL[[#This Row],[PONTO]],GERAL[],5,0)),"")</f>
        <v>746233</v>
      </c>
      <c r="F10" s="55">
        <f>IFERROR(IF(DIR_ATUAL[[#This Row],[PONTO]]="RAMAL",DMDI,VLOOKUP(DIR_ATUAL[[#This Row],[PONTO]],GERAL[],8,0)),"")</f>
        <v>11.0192</v>
      </c>
      <c r="G10" s="55">
        <f>IFERROR(IF(DIR_ATUAL[[#This Row],[PONTO]]="RAMAL",DIR_ATUAL[[#This Row],[KVA PONTO]],VLOOKUP(DIR_ATUAL[[#This Row],[PONTO]],GERAL[],9,0)),"")</f>
        <v>56.459199999999996</v>
      </c>
      <c r="H10" s="55" t="str">
        <f>IFERROR(VLOOKUP(DIR_ATUAL[[#This Row],[PONTO]],GERAL[],12,0),"")</f>
        <v>185 Al - MX</v>
      </c>
      <c r="I10" s="61">
        <f>IFERROR(DIR_ATUAL[[#This Row],[Ib]],"")</f>
        <v>49.388991391258962</v>
      </c>
      <c r="J10" s="61">
        <f>IFERROR(IFERROR(DIR_ATUAL[[#This Row],[ACUMULADA]]/((IF(DIR_ATUAL[[#This Row],[FASE]]="MONO",T_LINHA_MONO,IF(DIR_ATUAL[[#This Row],[FASE]]="BIF",T_LINHA_TRF,T_LINHA_TRF*SQRT(3)))/1000)*VLOOKUP(H10,CABOS[],9,0))+30,U10+60*(V10/X10)),"")</f>
        <v>55.042305494159478</v>
      </c>
      <c r="K10" s="69">
        <f>IFERROR((VLOOKUP(DIR_ATUAL[[#This Row],[CONDUTOR]],CABOS[],3,0)/VLOOKUP(DIR_ATUAL[[#This Row],[CONDUTOR]],CABOS[],6,0))*(1+VLOOKUP(DIR_ATUAL[[#This Row],[CONDUTOR]],CABOS[],5,0)*(DIR_ATUAL[[#This Row],[T]]-20)),"")</f>
        <v>0.19094474253229929</v>
      </c>
      <c r="L10" s="62">
        <f>IFERROR(IF(DIR_ATUAL[[#This Row],[FASE]]="MONO",6,IF(DIR_ATUAL[[#This Row],[FASE]]="BIF",2,1))*DIR_ATUAL[[#This Row],[ACUMULADA]]*(SQRT(DIR_ATUAL[[#This Row],[R CORR]]^2+VLOOKUP(DIR_ATUAL[[#This Row],[CONDUTOR]],CABOS[],4,0)^2)/(($P$7^2)/100))*DIR_ATUAL[[#This Row],[M]]*T_LINHA_MONO/100+IF(DIR_ATUAL[[#This Row],[TRECHO]]=0,T_LINHA_MONO*QT_MTTR,0),"")</f>
        <v>1.1302456621057184</v>
      </c>
      <c r="M10" s="63">
        <f>IFERROR(SUMIF(DIR_ATUAL[PONTO],DIR_ATUAL[[#This Row],[TRECHO]],DIR_ATUAL[Coluna1])+DIR_ATUAL[[#This Row],[QT-PONTO]],"")</f>
        <v>7.0127342287667256</v>
      </c>
      <c r="N10" s="57">
        <f>IFERROR(DIR_ATUAL[[#This Row],[Coluna1]]/T_LINHA_MONO,"")</f>
        <v>5.5210963564551428E-2</v>
      </c>
      <c r="O10" s="55">
        <f>IFERROR(T_LINHA_MONO*(1-DIR_ATUAL[[#This Row],[QT %]]),"")</f>
        <v>120.00432499295094</v>
      </c>
      <c r="P10" s="55">
        <f>IFERROR(T_LINHA_TRF*(1-DIR_ATUAL[[#This Row],[QT %]]),"")</f>
        <v>207.85358801579866</v>
      </c>
      <c r="Q10" s="68" t="str">
        <f>IFERROR(IF(DIR_ATUAL[[#This Row],[PROTECAO]]="OK","Protecao OK","Ajustar Disj/Condutor"),"")</f>
        <v>Ajustar Disj/Condutor</v>
      </c>
      <c r="R10" s="54" t="str">
        <f>IF(DIR_ATUAL[[#This Row],[ETA]]=1,"MONO",IF(DIR_ATUAL[[#This Row],[ETA]]=2,"BIF","TRI"))</f>
        <v>TRI</v>
      </c>
      <c r="S10" s="54">
        <v>3</v>
      </c>
      <c r="T10" s="54" t="str">
        <f t="shared" ref="T10:T16" si="1">"AEREO"</f>
        <v>AEREO</v>
      </c>
      <c r="U10" s="54">
        <f>30</f>
        <v>30</v>
      </c>
      <c r="V10" s="54">
        <f>IFERROR(IF(DIR_ATUAL[[#This Row],[FASE]]="MONO",DIR_ATUAL[[#This Row],[ACUMULADA]]*1000/(T_LINHA_TRF*DIR_ATUAL[[#This Row],[ETA]]),DIR_ATUAL[[#This Row],[ACUMULADA]]*1000/(SQRT(3)*$P$7*DIR_ATUAL[[#This Row],[ETA]])),"")</f>
        <v>49.388991391258962</v>
      </c>
      <c r="W10" s="54">
        <f>IFERROR(VLOOKUP(DIR_ATUAL[[#This Row],[Ib]],TabelaDisjuntores[],2,TRUE),"")</f>
        <v>40</v>
      </c>
      <c r="X10" s="54">
        <f>IFERROR(VLOOKUP(DIR_ATUAL[[#This Row],[CONDUTOR]],CABOS[],2,0),0)</f>
        <v>355</v>
      </c>
      <c r="Y10" s="54" t="str">
        <f>IF(AND(DIR_ATUAL[[#This Row],[Ib]]&lt;=DIR_ATUAL[[#This Row],[In]],DIR_ATUAL[[#This Row],[In]]&lt;=DIR_ATUAL[[#This Row],[Iz]]),"OK","VERIFICAR")</f>
        <v>VERIFICAR</v>
      </c>
      <c r="Z10" s="110">
        <f>IFERROR(SQRT((DIR_ATUAL[[#This Row],[X]]-$AC$4)^2+(DIR_ATUAL[[#This Row],[Y]]-$AC$5)^2),0)</f>
        <v>5723786.8124514902</v>
      </c>
    </row>
    <row r="11" spans="1:29" x14ac:dyDescent="0.3">
      <c r="A11" s="169">
        <v>5</v>
      </c>
      <c r="B11" s="54">
        <f>IFERROR(IF(DIR_ATUAL[[#This Row],[PONTO]]="RAMAL",A10,VLOOKUP(DIR_ATUAL[[#This Row],[PONTO]],GERAL[],2,0)),"")</f>
        <v>4</v>
      </c>
      <c r="C11" s="54">
        <f>IFERROR(IF(DIR_ATUAL[[#This Row],[PONTO]]="RAMAL",15,VLOOKUP(DIR_ATUAL[[#This Row],[PONTO]],GERAL[],3,0)),"")</f>
        <v>23</v>
      </c>
      <c r="D11" s="55">
        <f>IFERROR(IF(DIR_ATUAL[[#This Row],[PONTO]]="RAMAL","",VLOOKUP(DIR_ATUAL[[#This Row],[PONTO]],GERAL[],4,0)),"")</f>
        <v>635921</v>
      </c>
      <c r="E11" s="55">
        <f>IFERROR(IF(DIR_ATUAL[[#This Row],[PONTO]]="RAMAL","",VLOOKUP(DIR_ATUAL[[#This Row],[PONTO]],GERAL[],5,0)),"")</f>
        <v>7462020</v>
      </c>
      <c r="F11" s="55">
        <f>IFERROR(IF(DIR_ATUAL[[#This Row],[PONTO]]="RAMAL",DMDI,VLOOKUP(DIR_ATUAL[[#This Row],[PONTO]],GERAL[],8,0)),"")</f>
        <v>11.0192</v>
      </c>
      <c r="G11" s="55">
        <f>IFERROR(IF(DIR_ATUAL[[#This Row],[PONTO]]="RAMAL",DIR_ATUAL[[#This Row],[KVA PONTO]],VLOOKUP(DIR_ATUAL[[#This Row],[PONTO]],GERAL[],9,0)),"")</f>
        <v>45.099200000000003</v>
      </c>
      <c r="H11" s="55" t="str">
        <f>IFERROR(VLOOKUP(DIR_ATUAL[[#This Row],[PONTO]],GERAL[],12,0),"")</f>
        <v>185 Al - MX</v>
      </c>
      <c r="I11" s="61">
        <f>IFERROR(DIR_ATUAL[[#This Row],[Ib]],"")</f>
        <v>39.451568576116323</v>
      </c>
      <c r="J11" s="61">
        <f>IFERROR(IFERROR(DIR_ATUAL[[#This Row],[ACUMULADA]]/((IF(DIR_ATUAL[[#This Row],[FASE]]="MONO",T_LINHA_MONO,IF(DIR_ATUAL[[#This Row],[FASE]]="BIF",T_LINHA_TRF,T_LINHA_TRF*SQRT(3)))/1000)*VLOOKUP(H11,CABOS[],9,0))+30,U11+60*(V11/X11)),"")</f>
        <v>50.00361223577729</v>
      </c>
      <c r="K11" s="69">
        <f>IFERROR((VLOOKUP(DIR_ATUAL[[#This Row],[CONDUTOR]],CABOS[],3,0)/VLOOKUP(DIR_ATUAL[[#This Row],[CONDUTOR]],CABOS[],6,0))*(1+VLOOKUP(DIR_ATUAL[[#This Row],[CONDUTOR]],CABOS[],5,0)*(DIR_ATUAL[[#This Row],[T]]-20)),"")</f>
        <v>0.18754722966130835</v>
      </c>
      <c r="L11" s="62">
        <f>IFERROR(IF(DIR_ATUAL[[#This Row],[FASE]]="MONO",6,IF(DIR_ATUAL[[#This Row],[FASE]]="BIF",2,1))*DIR_ATUAL[[#This Row],[ACUMULADA]]*(SQRT(DIR_ATUAL[[#This Row],[R CORR]]^2+VLOOKUP(DIR_ATUAL[[#This Row],[CONDUTOR]],CABOS[],4,0)^2)/(($P$7^2)/100))*DIR_ATUAL[[#This Row],[M]]*T_LINHA_MONO/100+IF(DIR_ATUAL[[#This Row],[TRECHO]]=0,T_LINHA_MONO*QT_MTTR,0),"")</f>
        <v>0.60288770657167468</v>
      </c>
      <c r="M11" s="63">
        <f>IFERROR(SUMIF(DIR_ATUAL[PONTO],DIR_ATUAL[[#This Row],[TRECHO]],DIR_ATUAL[Coluna1])+DIR_ATUAL[[#This Row],[QT-PONTO]],"")</f>
        <v>7.6156219353384005</v>
      </c>
      <c r="N11" s="57">
        <f>IFERROR(DIR_ATUAL[[#This Row],[Coluna1]]/T_LINHA_MONO,"")</f>
        <v>5.9957473287464237E-2</v>
      </c>
      <c r="O11" s="55">
        <f>IFERROR(T_LINHA_MONO*(1-DIR_ATUAL[[#This Row],[QT %]]),"")</f>
        <v>119.40143728637928</v>
      </c>
      <c r="P11" s="55">
        <f>IFERROR(T_LINHA_TRF*(1-DIR_ATUAL[[#This Row],[QT %]]),"")</f>
        <v>206.80935587675788</v>
      </c>
      <c r="Q11" s="68" t="str">
        <f>IFERROR(IF(DIR_ATUAL[[#This Row],[PROTECAO]]="OK","Protecao OK","Ajustar Disj/Condutor"),"")</f>
        <v>Ajustar Disj/Condutor</v>
      </c>
      <c r="R11" s="54" t="str">
        <f>IF(DIR_ATUAL[[#This Row],[ETA]]=1,"MONO",IF(DIR_ATUAL[[#This Row],[ETA]]=2,"BIF","TRI"))</f>
        <v>TRI</v>
      </c>
      <c r="S11" s="54">
        <v>3</v>
      </c>
      <c r="T11" s="54" t="str">
        <f t="shared" si="1"/>
        <v>AEREO</v>
      </c>
      <c r="U11" s="54">
        <f>30</f>
        <v>30</v>
      </c>
      <c r="V11" s="54">
        <f>IFERROR(IF(DIR_ATUAL[[#This Row],[FASE]]="MONO",DIR_ATUAL[[#This Row],[ACUMULADA]]*1000/(T_LINHA_TRF*DIR_ATUAL[[#This Row],[ETA]]),DIR_ATUAL[[#This Row],[ACUMULADA]]*1000/(SQRT(3)*$P$7*DIR_ATUAL[[#This Row],[ETA]])),"")</f>
        <v>39.451568576116323</v>
      </c>
      <c r="W11" s="54">
        <f>IFERROR(VLOOKUP(DIR_ATUAL[[#This Row],[Ib]],TabelaDisjuntores[],2,TRUE),"")</f>
        <v>32</v>
      </c>
      <c r="X11" s="54">
        <f>IFERROR(VLOOKUP(DIR_ATUAL[[#This Row],[CONDUTOR]],CABOS[],2,0),0)</f>
        <v>355</v>
      </c>
      <c r="Y11" s="54" t="str">
        <f>IF(AND(DIR_ATUAL[[#This Row],[Ib]]&lt;=DIR_ATUAL[[#This Row],[In]],DIR_ATUAL[[#This Row],[In]]&lt;=DIR_ATUAL[[#This Row],[Iz]]),"OK","VERIFICAR")</f>
        <v>VERIFICAR</v>
      </c>
      <c r="Z11" s="110">
        <f>IFERROR(SQRT((DIR_ATUAL[[#This Row],[X]]-$AC$4)^2+(DIR_ATUAL[[#This Row],[Y]]-$AC$5)^2),0)</f>
        <v>992160.77848165168</v>
      </c>
    </row>
    <row r="12" spans="1:29" x14ac:dyDescent="0.3">
      <c r="A12" s="169">
        <v>6</v>
      </c>
      <c r="B12" s="54">
        <f>IFERROR(IF(DIR_ATUAL[[#This Row],[PONTO]]="RAMAL",A11,VLOOKUP(DIR_ATUAL[[#This Row],[PONTO]],GERAL[],2,0)),"")</f>
        <v>5</v>
      </c>
      <c r="C12" s="54">
        <f>IFERROR(IF(DIR_ATUAL[[#This Row],[PONTO]]="RAMAL",15,VLOOKUP(DIR_ATUAL[[#This Row],[PONTO]],GERAL[],3,0)),"")</f>
        <v>21</v>
      </c>
      <c r="D12" s="55">
        <f>IFERROR(IF(DIR_ATUAL[[#This Row],[PONTO]]="RAMAL","",VLOOKUP(DIR_ATUAL[[#This Row],[PONTO]],GERAL[],4,0)),"")</f>
        <v>635940</v>
      </c>
      <c r="E12" s="55">
        <f>IFERROR(IF(DIR_ATUAL[[#This Row],[PONTO]]="RAMAL","",VLOOKUP(DIR_ATUAL[[#This Row],[PONTO]],GERAL[],5,0)),"")</f>
        <v>7462012</v>
      </c>
      <c r="F12" s="55">
        <f>IFERROR(IF(DIR_ATUAL[[#This Row],[PONTO]]="RAMAL",DMDI,VLOOKUP(DIR_ATUAL[[#This Row],[PONTO]],GERAL[],8,0)),"")</f>
        <v>11.0192</v>
      </c>
      <c r="G12" s="55">
        <f>IFERROR(IF(DIR_ATUAL[[#This Row],[PONTO]]="RAMAL",DIR_ATUAL[[#This Row],[KVA PONTO]],VLOOKUP(DIR_ATUAL[[#This Row],[PONTO]],GERAL[],9,0)),"")</f>
        <v>38.453599999999994</v>
      </c>
      <c r="H12" s="55" t="str">
        <f>IFERROR(VLOOKUP(DIR_ATUAL[[#This Row],[PONTO]],GERAL[],12,0),"")</f>
        <v>185 Al - MX</v>
      </c>
      <c r="I12" s="61">
        <f>IFERROR(DIR_ATUAL[[#This Row],[Ib]],"")</f>
        <v>33.638176229257859</v>
      </c>
      <c r="J12" s="61">
        <f>IFERROR(IFERROR(DIR_ATUAL[[#This Row],[ACUMULADA]]/((IF(DIR_ATUAL[[#This Row],[FASE]]="MONO",T_LINHA_MONO,IF(DIR_ATUAL[[#This Row],[FASE]]="BIF",T_LINHA_TRF,T_LINHA_TRF*SQRT(3)))/1000)*VLOOKUP(H12,CABOS[],9,0))+30,U12+60*(V12/X12)),"")</f>
        <v>47.055976679623711</v>
      </c>
      <c r="K12" s="69">
        <f>IFERROR((VLOOKUP(DIR_ATUAL[[#This Row],[CONDUTOR]],CABOS[],3,0)/VLOOKUP(DIR_ATUAL[[#This Row],[CONDUTOR]],CABOS[],6,0))*(1+VLOOKUP(DIR_ATUAL[[#This Row],[CONDUTOR]],CABOS[],5,0)*(DIR_ATUAL[[#This Row],[T]]-20)),"")</f>
        <v>0.18555968463177869</v>
      </c>
      <c r="L12" s="62">
        <f>IFERROR(IF(DIR_ATUAL[[#This Row],[FASE]]="MONO",6,IF(DIR_ATUAL[[#This Row],[FASE]]="BIF",2,1))*DIR_ATUAL[[#This Row],[ACUMULADA]]*(SQRT(DIR_ATUAL[[#This Row],[R CORR]]^2+VLOOKUP(DIR_ATUAL[[#This Row],[CONDUTOR]],CABOS[],4,0)^2)/(($P$7^2)/100))*DIR_ATUAL[[#This Row],[M]]*T_LINHA_MONO/100+IF(DIR_ATUAL[[#This Row],[TRECHO]]=0,T_LINHA_MONO*QT_MTTR,0),"")</f>
        <v>0.46578776661899468</v>
      </c>
      <c r="M12" s="63">
        <f>IFERROR(SUMIF(DIR_ATUAL[PONTO],DIR_ATUAL[[#This Row],[TRECHO]],DIR_ATUAL[Coluna1])+DIR_ATUAL[[#This Row],[QT-PONTO]],"")</f>
        <v>8.0814097019573943</v>
      </c>
      <c r="N12" s="57">
        <f>IFERROR(DIR_ATUAL[[#This Row],[Coluna1]]/T_LINHA_MONO,"")</f>
        <v>6.3624600911683024E-2</v>
      </c>
      <c r="O12" s="55">
        <f>IFERROR(T_LINHA_MONO*(1-DIR_ATUAL[[#This Row],[QT %]]),"")</f>
        <v>118.93564951976029</v>
      </c>
      <c r="P12" s="55">
        <f>IFERROR(T_LINHA_TRF*(1-DIR_ATUAL[[#This Row],[QT %]]),"")</f>
        <v>206.00258779942973</v>
      </c>
      <c r="Q12" s="68" t="str">
        <f>IFERROR(IF(DIR_ATUAL[[#This Row],[PROTECAO]]="OK","Protecao OK","Ajustar Disj/Condutor"),"")</f>
        <v>Ajustar Disj/Condutor</v>
      </c>
      <c r="R12" s="54" t="str">
        <f>IF(DIR_ATUAL[[#This Row],[ETA]]=1,"MONO",IF(DIR_ATUAL[[#This Row],[ETA]]=2,"BIF","TRI"))</f>
        <v>TRI</v>
      </c>
      <c r="S12" s="54">
        <v>3</v>
      </c>
      <c r="T12" s="54" t="str">
        <f t="shared" si="1"/>
        <v>AEREO</v>
      </c>
      <c r="U12" s="54">
        <f>30</f>
        <v>30</v>
      </c>
      <c r="V12" s="54">
        <f>IFERROR(IF(DIR_ATUAL[[#This Row],[FASE]]="MONO",DIR_ATUAL[[#This Row],[ACUMULADA]]*1000/(T_LINHA_TRF*DIR_ATUAL[[#This Row],[ETA]]),DIR_ATUAL[[#This Row],[ACUMULADA]]*1000/(SQRT(3)*$P$7*DIR_ATUAL[[#This Row],[ETA]])),"")</f>
        <v>33.638176229257859</v>
      </c>
      <c r="W12" s="54">
        <f>IFERROR(VLOOKUP(DIR_ATUAL[[#This Row],[Ib]],TabelaDisjuntores[],2,TRUE),"")</f>
        <v>32</v>
      </c>
      <c r="X12" s="54">
        <f>IFERROR(VLOOKUP(DIR_ATUAL[[#This Row],[CONDUTOR]],CABOS[],2,0),0)</f>
        <v>355</v>
      </c>
      <c r="Y12" s="54" t="str">
        <f>IF(AND(DIR_ATUAL[[#This Row],[Ib]]&lt;=DIR_ATUAL[[#This Row],[In]],DIR_ATUAL[[#This Row],[In]]&lt;=DIR_ATUAL[[#This Row],[Iz]]),"OK","VERIFICAR")</f>
        <v>VERIFICAR</v>
      </c>
      <c r="Z12" s="110">
        <f>IFERROR(SQRT((DIR_ATUAL[[#This Row],[X]]-$AC$4)^2+(DIR_ATUAL[[#This Row],[Y]]-$AC$5)^2),0)</f>
        <v>992153.09540657327</v>
      </c>
    </row>
    <row r="13" spans="1:29" x14ac:dyDescent="0.3">
      <c r="A13" s="169">
        <v>7</v>
      </c>
      <c r="B13" s="54">
        <f>IFERROR(IF(DIR_ATUAL[[#This Row],[PONTO]]="RAMAL",A12,VLOOKUP(DIR_ATUAL[[#This Row],[PONTO]],GERAL[],2,0)),"")</f>
        <v>6</v>
      </c>
      <c r="C13" s="54">
        <f>IFERROR(IF(DIR_ATUAL[[#This Row],[PONTO]]="RAMAL",15,VLOOKUP(DIR_ATUAL[[#This Row],[PONTO]],GERAL[],3,0)),"")</f>
        <v>25</v>
      </c>
      <c r="D13" s="55">
        <f>IFERROR(IF(DIR_ATUAL[[#This Row],[PONTO]]="RAMAL","",VLOOKUP(DIR_ATUAL[[#This Row],[PONTO]],GERAL[],4,0)),"")</f>
        <v>635958</v>
      </c>
      <c r="E13" s="55">
        <f>IFERROR(IF(DIR_ATUAL[[#This Row],[PONTO]]="RAMAL","",VLOOKUP(DIR_ATUAL[[#This Row],[PONTO]],GERAL[],5,0)),"")</f>
        <v>7462020</v>
      </c>
      <c r="F13" s="55">
        <f>IFERROR(IF(DIR_ATUAL[[#This Row],[PONTO]]="RAMAL",DMDI,VLOOKUP(DIR_ATUAL[[#This Row],[PONTO]],GERAL[],8,0)),"")</f>
        <v>11.0192</v>
      </c>
      <c r="G13" s="55">
        <f>IFERROR(IF(DIR_ATUAL[[#This Row],[PONTO]]="RAMAL",DIR_ATUAL[[#This Row],[KVA PONTO]],VLOOKUP(DIR_ATUAL[[#This Row],[PONTO]],GERAL[],9,0)),"")</f>
        <v>36.238399999999999</v>
      </c>
      <c r="H13" s="55" t="str">
        <f>IFERROR(VLOOKUP(DIR_ATUAL[[#This Row],[PONTO]],GERAL[],12,0),"")</f>
        <v>185 Al - MX</v>
      </c>
      <c r="I13" s="61">
        <f>IFERROR(DIR_ATUAL[[#This Row],[Ib]],"")</f>
        <v>31.700378780305051</v>
      </c>
      <c r="J13" s="61">
        <f>IFERROR(IFERROR(DIR_ATUAL[[#This Row],[ACUMULADA]]/((IF(DIR_ATUAL[[#This Row],[FASE]]="MONO",T_LINHA_MONO,IF(DIR_ATUAL[[#This Row],[FASE]]="BIF",T_LINHA_TRF,T_LINHA_TRF*SQRT(3)))/1000)*VLOOKUP(H13,CABOS[],9,0))+30,U13+60*(V13/X13)),"")</f>
        <v>46.07343149423918</v>
      </c>
      <c r="K13" s="69">
        <f>IFERROR((VLOOKUP(DIR_ATUAL[[#This Row],[CONDUTOR]],CABOS[],3,0)/VLOOKUP(DIR_ATUAL[[#This Row],[CONDUTOR]],CABOS[],6,0))*(1+VLOOKUP(DIR_ATUAL[[#This Row],[CONDUTOR]],CABOS[],5,0)*(DIR_ATUAL[[#This Row],[T]]-20)),"")</f>
        <v>0.18489716962193545</v>
      </c>
      <c r="L13" s="62">
        <f>IFERROR(IF(DIR_ATUAL[[#This Row],[FASE]]="MONO",6,IF(DIR_ATUAL[[#This Row],[FASE]]="BIF",2,1))*DIR_ATUAL[[#This Row],[ACUMULADA]]*(SQRT(DIR_ATUAL[[#This Row],[R CORR]]^2+VLOOKUP(DIR_ATUAL[[#This Row],[CONDUTOR]],CABOS[],4,0)^2)/(($P$7^2)/100))*DIR_ATUAL[[#This Row],[M]]*T_LINHA_MONO/100+IF(DIR_ATUAL[[#This Row],[TRECHO]]=0,T_LINHA_MONO*QT_MTTR,0),"")</f>
        <v>0.52123645436991373</v>
      </c>
      <c r="M13" s="63">
        <f>IFERROR(SUMIF(DIR_ATUAL[PONTO],DIR_ATUAL[[#This Row],[TRECHO]],DIR_ATUAL[Coluna1])+DIR_ATUAL[[#This Row],[QT-PONTO]],"")</f>
        <v>8.6026461563273084</v>
      </c>
      <c r="N13" s="57">
        <f>IFERROR(DIR_ATUAL[[#This Row],[Coluna1]]/T_LINHA_MONO,"")</f>
        <v>6.7728273737709149E-2</v>
      </c>
      <c r="O13" s="55">
        <f>IFERROR(T_LINHA_MONO*(1-DIR_ATUAL[[#This Row],[QT %]]),"")</f>
        <v>118.41441306539036</v>
      </c>
      <c r="P13" s="55">
        <f>IFERROR(T_LINHA_TRF*(1-DIR_ATUAL[[#This Row],[QT %]]),"")</f>
        <v>205.09977977770399</v>
      </c>
      <c r="Q13" s="68" t="str">
        <f>IFERROR(IF(DIR_ATUAL[[#This Row],[PROTECAO]]="OK","Protecao OK","Ajustar Disj/Condutor"),"")</f>
        <v>Ajustar Disj/Condutor</v>
      </c>
      <c r="R13" s="54" t="str">
        <f>IF(DIR_ATUAL[[#This Row],[ETA]]=1,"MONO",IF(DIR_ATUAL[[#This Row],[ETA]]=2,"BIF","TRI"))</f>
        <v>TRI</v>
      </c>
      <c r="S13" s="54">
        <v>3</v>
      </c>
      <c r="T13" s="54" t="str">
        <f t="shared" si="1"/>
        <v>AEREO</v>
      </c>
      <c r="U13" s="54">
        <f>30</f>
        <v>30</v>
      </c>
      <c r="V13" s="54">
        <f>IFERROR(IF(DIR_ATUAL[[#This Row],[FASE]]="MONO",DIR_ATUAL[[#This Row],[ACUMULADA]]*1000/(T_LINHA_TRF*DIR_ATUAL[[#This Row],[ETA]]),DIR_ATUAL[[#This Row],[ACUMULADA]]*1000/(SQRT(3)*$P$7*DIR_ATUAL[[#This Row],[ETA]])),"")</f>
        <v>31.700378780305051</v>
      </c>
      <c r="W13" s="54">
        <f>IFERROR(VLOOKUP(DIR_ATUAL[[#This Row],[Ib]],TabelaDisjuntores[],2,TRUE),"")</f>
        <v>25</v>
      </c>
      <c r="X13" s="54">
        <f>IFERROR(VLOOKUP(DIR_ATUAL[[#This Row],[CONDUTOR]],CABOS[],2,0),0)</f>
        <v>355</v>
      </c>
      <c r="Y13" s="54" t="str">
        <f>IF(AND(DIR_ATUAL[[#This Row],[Ib]]&lt;=DIR_ATUAL[[#This Row],[In]],DIR_ATUAL[[#This Row],[In]]&lt;=DIR_ATUAL[[#This Row],[Iz]]),"OK","VERIFICAR")</f>
        <v>VERIFICAR</v>
      </c>
      <c r="Z13" s="110">
        <f>IFERROR(SQRT((DIR_ATUAL[[#This Row],[X]]-$AC$4)^2+(DIR_ATUAL[[#This Row],[Y]]-$AC$5)^2),0)</f>
        <v>992161.39383196214</v>
      </c>
    </row>
    <row r="14" spans="1:29" x14ac:dyDescent="0.3">
      <c r="A14" s="169">
        <v>8</v>
      </c>
      <c r="B14" s="54">
        <f>IFERROR(IF(DIR_ATUAL[[#This Row],[PONTO]]="RAMAL",A13,VLOOKUP(DIR_ATUAL[[#This Row],[PONTO]],GERAL[],2,0)),"")</f>
        <v>7</v>
      </c>
      <c r="C14" s="54">
        <f>IFERROR(IF(DIR_ATUAL[[#This Row],[PONTO]]="RAMAL",15,VLOOKUP(DIR_ATUAL[[#This Row],[PONTO]],GERAL[],3,0)),"")</f>
        <v>32</v>
      </c>
      <c r="D14" s="55">
        <f>IFERROR(IF(DIR_ATUAL[[#This Row],[PONTO]]="RAMAL","",VLOOKUP(DIR_ATUAL[[#This Row],[PONTO]],GERAL[],4,0)),"")</f>
        <v>635985</v>
      </c>
      <c r="E14" s="55">
        <f>IFERROR(IF(DIR_ATUAL[[#This Row],[PONTO]]="RAMAL","",VLOOKUP(DIR_ATUAL[[#This Row],[PONTO]],GERAL[],5,0)),"")</f>
        <v>7462040</v>
      </c>
      <c r="F14" s="55">
        <f>IFERROR(IF(DIR_ATUAL[[#This Row],[PONTO]]="RAMAL",DMDI,VLOOKUP(DIR_ATUAL[[#This Row],[PONTO]],GERAL[],8,0)),"")</f>
        <v>19.198399999999999</v>
      </c>
      <c r="G14" s="55">
        <f>IFERROR(IF(DIR_ATUAL[[#This Row],[PONTO]]="RAMAL",DIR_ATUAL[[#This Row],[KVA PONTO]],VLOOKUP(DIR_ATUAL[[#This Row],[PONTO]],GERAL[],9,0)),"")</f>
        <v>29.592799999999997</v>
      </c>
      <c r="H14" s="55" t="str">
        <f>IFERROR(VLOOKUP(DIR_ATUAL[[#This Row],[PONTO]],GERAL[],12,0),"")</f>
        <v>185 Al - MX</v>
      </c>
      <c r="I14" s="61">
        <f>IFERROR(DIR_ATUAL[[#This Row],[Ib]],"")</f>
        <v>25.886986433446598</v>
      </c>
      <c r="J14" s="61">
        <f>IFERROR(IFERROR(DIR_ATUAL[[#This Row],[ACUMULADA]]/((IF(DIR_ATUAL[[#This Row],[FASE]]="MONO",T_LINHA_MONO,IF(DIR_ATUAL[[#This Row],[FASE]]="BIF",T_LINHA_TRF,T_LINHA_TRF*SQRT(3)))/1000)*VLOOKUP(H14,CABOS[],9,0))+30,U14+60*(V14/X14)),"")</f>
        <v>43.125795938085602</v>
      </c>
      <c r="K14" s="69">
        <f>IFERROR((VLOOKUP(DIR_ATUAL[[#This Row],[CONDUTOR]],CABOS[],3,0)/VLOOKUP(DIR_ATUAL[[#This Row],[CONDUTOR]],CABOS[],6,0))*(1+VLOOKUP(DIR_ATUAL[[#This Row],[CONDUTOR]],CABOS[],5,0)*(DIR_ATUAL[[#This Row],[T]]-20)),"")</f>
        <v>0.18290962459240576</v>
      </c>
      <c r="L14" s="62">
        <f>IFERROR(IF(DIR_ATUAL[[#This Row],[FASE]]="MONO",6,IF(DIR_ATUAL[[#This Row],[FASE]]="BIF",2,1))*DIR_ATUAL[[#This Row],[ACUMULADA]]*(SQRT(DIR_ATUAL[[#This Row],[R CORR]]^2+VLOOKUP(DIR_ATUAL[[#This Row],[CONDUTOR]],CABOS[],4,0)^2)/(($P$7^2)/100))*DIR_ATUAL[[#This Row],[M]]*T_LINHA_MONO/100+IF(DIR_ATUAL[[#This Row],[TRECHO]]=0,T_LINHA_MONO*QT_MTTR,0),"")</f>
        <v>0.54067176838941</v>
      </c>
      <c r="M14" s="63">
        <f>IFERROR(SUMIF(DIR_ATUAL[PONTO],DIR_ATUAL[[#This Row],[TRECHO]],DIR_ATUAL[Coluna1])+DIR_ATUAL[[#This Row],[QT-PONTO]],"")</f>
        <v>9.1433179247167189</v>
      </c>
      <c r="N14" s="57">
        <f>IFERROR(DIR_ATUAL[[#This Row],[Coluna1]]/T_LINHA_MONO,"")</f>
        <v>7.1984959978929924E-2</v>
      </c>
      <c r="O14" s="55">
        <f>IFERROR(T_LINHA_MONO*(1-DIR_ATUAL[[#This Row],[QT %]]),"")</f>
        <v>117.87374129700095</v>
      </c>
      <c r="P14" s="55">
        <f>IFERROR(T_LINHA_TRF*(1-DIR_ATUAL[[#This Row],[QT %]]),"")</f>
        <v>204.16330880463542</v>
      </c>
      <c r="Q14" s="68" t="str">
        <f>IFERROR(IF(DIR_ATUAL[[#This Row],[PROTECAO]]="OK","Protecao OK","Ajustar Disj/Condutor"),"")</f>
        <v>Ajustar Disj/Condutor</v>
      </c>
      <c r="R14" s="54" t="str">
        <f>IF(DIR_ATUAL[[#This Row],[ETA]]=1,"MONO",IF(DIR_ATUAL[[#This Row],[ETA]]=2,"BIF","TRI"))</f>
        <v>TRI</v>
      </c>
      <c r="S14" s="54">
        <v>3</v>
      </c>
      <c r="T14" s="54" t="str">
        <f t="shared" si="1"/>
        <v>AEREO</v>
      </c>
      <c r="U14" s="54">
        <f>30</f>
        <v>30</v>
      </c>
      <c r="V14" s="54">
        <f>IFERROR(IF(DIR_ATUAL[[#This Row],[FASE]]="MONO",DIR_ATUAL[[#This Row],[ACUMULADA]]*1000/(T_LINHA_TRF*DIR_ATUAL[[#This Row],[ETA]]),DIR_ATUAL[[#This Row],[ACUMULADA]]*1000/(SQRT(3)*$P$7*DIR_ATUAL[[#This Row],[ETA]])),"")</f>
        <v>25.886986433446598</v>
      </c>
      <c r="W14" s="54">
        <f>IFERROR(VLOOKUP(DIR_ATUAL[[#This Row],[Ib]],TabelaDisjuntores[],2,TRUE),"")</f>
        <v>25</v>
      </c>
      <c r="X14" s="54">
        <f>IFERROR(VLOOKUP(DIR_ATUAL[[#This Row],[CONDUTOR]],CABOS[],2,0),0)</f>
        <v>355</v>
      </c>
      <c r="Y14" s="54" t="str">
        <f>IF(AND(DIR_ATUAL[[#This Row],[Ib]]&lt;=DIR_ATUAL[[#This Row],[In]],DIR_ATUAL[[#This Row],[In]]&lt;=DIR_ATUAL[[#This Row],[Iz]]),"OK","VERIFICAR")</f>
        <v>VERIFICAR</v>
      </c>
      <c r="Z14" s="110">
        <f>IFERROR(SQRT((DIR_ATUAL[[#This Row],[X]]-$AC$4)^2+(DIR_ATUAL[[#This Row],[Y]]-$AC$5)^2),0)</f>
        <v>992181.84096062335</v>
      </c>
    </row>
    <row r="15" spans="1:29" x14ac:dyDescent="0.3">
      <c r="A15" s="169">
        <v>9</v>
      </c>
      <c r="B15" s="54">
        <f>IFERROR(IF(DIR_ATUAL[[#This Row],[PONTO]]="RAMAL",A14,VLOOKUP(DIR_ATUAL[[#This Row],[PONTO]],GERAL[],2,0)),"")</f>
        <v>8</v>
      </c>
      <c r="C15" s="54">
        <f>IFERROR(IF(DIR_ATUAL[[#This Row],[PONTO]]="RAMAL",15,VLOOKUP(DIR_ATUAL[[#This Row],[PONTO]],GERAL[],3,0)),"")</f>
        <v>39</v>
      </c>
      <c r="D15" s="55">
        <f>IFERROR(IF(DIR_ATUAL[[#This Row],[PONTO]]="RAMAL","",VLOOKUP(DIR_ATUAL[[#This Row],[PONTO]],GERAL[],4,0)),"")</f>
        <v>63613</v>
      </c>
      <c r="E15" s="55">
        <f>IFERROR(IF(DIR_ATUAL[[#This Row],[PONTO]]="RAMAL","",VLOOKUP(DIR_ATUAL[[#This Row],[PONTO]],GERAL[],5,0)),"")</f>
        <v>7462062</v>
      </c>
      <c r="F15" s="55">
        <f>IFERROR(IF(DIR_ATUAL[[#This Row],[PONTO]]="RAMAL",DMDI,VLOOKUP(DIR_ATUAL[[#This Row],[PONTO]],GERAL[],8,0)),"")</f>
        <v>11.0192</v>
      </c>
      <c r="G15" s="55">
        <f>IFERROR(IF(DIR_ATUAL[[#This Row],[PONTO]]="RAMAL",DIR_ATUAL[[#This Row],[KVA PONTO]],VLOOKUP(DIR_ATUAL[[#This Row],[PONTO]],GERAL[],9,0)),"")</f>
        <v>11.0192</v>
      </c>
      <c r="H15" s="55" t="str">
        <f>IFERROR(VLOOKUP(DIR_ATUAL[[#This Row],[PONTO]],GERAL[],12,0),"")</f>
        <v>185 Al - MX</v>
      </c>
      <c r="I15" s="61">
        <f>IFERROR(DIR_ATUAL[[#This Row],[Ib]],"")</f>
        <v>9.639300130688369</v>
      </c>
      <c r="J15" s="61">
        <f>IFERROR(IFERROR(DIR_ATUAL[[#This Row],[ACUMULADA]]/((IF(DIR_ATUAL[[#This Row],[FASE]]="MONO",T_LINHA_MONO,IF(DIR_ATUAL[[#This Row],[FASE]]="BIF",T_LINHA_TRF,T_LINHA_TRF*SQRT(3)))/1000)*VLOOKUP(H15,CABOS[],9,0))+30,U15+60*(V15/X15)),"")</f>
        <v>34.887532460630723</v>
      </c>
      <c r="K15" s="69">
        <f>IFERROR((VLOOKUP(DIR_ATUAL[[#This Row],[CONDUTOR]],CABOS[],3,0)/VLOOKUP(DIR_ATUAL[[#This Row],[CONDUTOR]],CABOS[],6,0))*(1+VLOOKUP(DIR_ATUAL[[#This Row],[CONDUTOR]],CABOS[],5,0)*(DIR_ATUAL[[#This Row],[T]]-20)),"")</f>
        <v>0.17735469104833559</v>
      </c>
      <c r="L15" s="62">
        <f>IFERROR(IF(DIR_ATUAL[[#This Row],[FASE]]="MONO",6,IF(DIR_ATUAL[[#This Row],[FASE]]="BIF",2,1))*DIR_ATUAL[[#This Row],[ACUMULADA]]*(SQRT(DIR_ATUAL[[#This Row],[R CORR]]^2+VLOOKUP(DIR_ATUAL[[#This Row],[CONDUTOR]],CABOS[],4,0)^2)/(($P$7^2)/100))*DIR_ATUAL[[#This Row],[M]]*T_LINHA_MONO/100+IF(DIR_ATUAL[[#This Row],[TRECHO]]=0,T_LINHA_MONO*QT_MTTR,0),"")</f>
        <v>0.2401217700488045</v>
      </c>
      <c r="M15" s="63">
        <f>IFERROR(SUMIF(DIR_ATUAL[PONTO],DIR_ATUAL[[#This Row],[TRECHO]],DIR_ATUAL[Coluna1])+DIR_ATUAL[[#This Row],[QT-PONTO]],"")</f>
        <v>9.3834396947655225</v>
      </c>
      <c r="N15" s="57">
        <f>IFERROR(DIR_ATUAL[[#This Row],[Coluna1]]/T_LINHA_MONO,"")</f>
        <v>7.3875428641329469E-2</v>
      </c>
      <c r="O15" s="55">
        <f>IFERROR(T_LINHA_MONO*(1-DIR_ATUAL[[#This Row],[QT %]]),"")</f>
        <v>117.63361952695215</v>
      </c>
      <c r="P15" s="55">
        <f>IFERROR(T_LINHA_TRF*(1-DIR_ATUAL[[#This Row],[QT %]]),"")</f>
        <v>203.74740569890753</v>
      </c>
      <c r="Q15" s="68" t="str">
        <f>IFERROR(IF(DIR_ATUAL[[#This Row],[PROTECAO]]="OK","Protecao OK","Ajustar Disj/Condutor"),"")</f>
        <v>Ajustar Disj/Condutor</v>
      </c>
      <c r="R15" s="54" t="str">
        <f>IF(DIR_ATUAL[[#This Row],[ETA]]=1,"MONO",IF(DIR_ATUAL[[#This Row],[ETA]]=2,"BIF","TRI"))</f>
        <v>TRI</v>
      </c>
      <c r="S15" s="54">
        <v>3</v>
      </c>
      <c r="T15" s="54" t="str">
        <f t="shared" si="1"/>
        <v>AEREO</v>
      </c>
      <c r="U15" s="54">
        <f>30</f>
        <v>30</v>
      </c>
      <c r="V15" s="54">
        <f>IFERROR(IF(DIR_ATUAL[[#This Row],[FASE]]="MONO",DIR_ATUAL[[#This Row],[ACUMULADA]]*1000/(T_LINHA_TRF*DIR_ATUAL[[#This Row],[ETA]]),DIR_ATUAL[[#This Row],[ACUMULADA]]*1000/(SQRT(3)*$P$7*DIR_ATUAL[[#This Row],[ETA]])),"")</f>
        <v>9.639300130688369</v>
      </c>
      <c r="W15" s="54">
        <f>IFERROR(VLOOKUP(DIR_ATUAL[[#This Row],[Ib]],TabelaDisjuntores[],2,TRUE),"")</f>
        <v>6</v>
      </c>
      <c r="X15" s="54">
        <f>IFERROR(VLOOKUP(DIR_ATUAL[[#This Row],[CONDUTOR]],CABOS[],2,0),0)</f>
        <v>355</v>
      </c>
      <c r="Y15" s="54" t="str">
        <f>IF(AND(DIR_ATUAL[[#This Row],[Ib]]&lt;=DIR_ATUAL[[#This Row],[In]],DIR_ATUAL[[#This Row],[In]]&lt;=DIR_ATUAL[[#This Row],[Iz]]),"OK","VERIFICAR")</f>
        <v>VERIFICAR</v>
      </c>
      <c r="Z15" s="110">
        <f>IFERROR(SQRT((DIR_ATUAL[[#This Row],[X]]-$AC$4)^2+(DIR_ATUAL[[#This Row],[Y]]-$AC$5)^2),0)</f>
        <v>1137161.8075265787</v>
      </c>
    </row>
    <row r="16" spans="1:29" x14ac:dyDescent="0.3">
      <c r="A16" s="169"/>
      <c r="B16" s="54" t="str">
        <f>IFERROR(IF(DIR_ATUAL[[#This Row],[PONTO]]="RAMAL",A15,VLOOKUP(DIR_ATUAL[[#This Row],[PONTO]],GERAL[],2,0)),"")</f>
        <v/>
      </c>
      <c r="C16" s="54" t="str">
        <f>IFERROR(IF(DIR_ATUAL[[#This Row],[PONTO]]="RAMAL",15,VLOOKUP(DIR_ATUAL[[#This Row],[PONTO]],GERAL[],3,0)),"")</f>
        <v/>
      </c>
      <c r="D16" s="55" t="str">
        <f>IFERROR(IF(DIR_ATUAL[[#This Row],[PONTO]]="RAMAL","",VLOOKUP(DIR_ATUAL[[#This Row],[PONTO]],GERAL[],4,0)),"")</f>
        <v/>
      </c>
      <c r="E16" s="55" t="str">
        <f>IFERROR(IF(DIR_ATUAL[[#This Row],[PONTO]]="RAMAL","",VLOOKUP(DIR_ATUAL[[#This Row],[PONTO]],GERAL[],5,0)),"")</f>
        <v/>
      </c>
      <c r="F16" s="55" t="str">
        <f>IFERROR(IF(DIR_ATUAL[[#This Row],[PONTO]]="RAMAL",DMDI,VLOOKUP(DIR_ATUAL[[#This Row],[PONTO]],GERAL[],8,0)),"")</f>
        <v/>
      </c>
      <c r="G16" s="55" t="str">
        <f>IFERROR(IF(DIR_ATUAL[[#This Row],[PONTO]]="RAMAL",DIR_ATUAL[[#This Row],[KVA PONTO]],VLOOKUP(DIR_ATUAL[[#This Row],[PONTO]],GERAL[],9,0)),"")</f>
        <v/>
      </c>
      <c r="H16" s="55" t="str">
        <f>IFERROR(VLOOKUP(DIR_ATUAL[[#This Row],[PONTO]],GERAL[],12,0),"")</f>
        <v/>
      </c>
      <c r="I16" s="61" t="str">
        <f>IFERROR(DIR_ATUAL[[#This Row],[Ib]],"")</f>
        <v/>
      </c>
      <c r="J16" s="61" t="str">
        <f>IFERROR(IFERROR(DIR_ATUAL[[#This Row],[ACUMULADA]]/((IF(DIR_ATUAL[[#This Row],[FASE]]="MONO",T_LINHA_MONO,IF(DIR_ATUAL[[#This Row],[FASE]]="BIF",T_LINHA_TRF,T_LINHA_TRF*SQRT(3)))/1000)*VLOOKUP(H16,CABOS[],9,0))+30,U16+60*(V16/X16)),"")</f>
        <v/>
      </c>
      <c r="K16" s="69" t="str">
        <f>IFERROR((VLOOKUP(DIR_ATUAL[[#This Row],[CONDUTOR]],CABOS[],3,0)/VLOOKUP(DIR_ATUAL[[#This Row],[CONDUTOR]],CABOS[],6,0))*(1+VLOOKUP(DIR_ATUAL[[#This Row],[CONDUTOR]],CABOS[],5,0)*(DIR_ATUAL[[#This Row],[T]]-20)),"")</f>
        <v/>
      </c>
      <c r="L16" s="62" t="str">
        <f>IFERROR(IF(DIR_ATUAL[[#This Row],[FASE]]="MONO",6,IF(DIR_ATUAL[[#This Row],[FASE]]="BIF",2,1))*DIR_ATUAL[[#This Row],[ACUMULADA]]*(SQRT(DIR_ATUAL[[#This Row],[R CORR]]^2+VLOOKUP(DIR_ATUAL[[#This Row],[CONDUTOR]],CABOS[],4,0)^2)/(($P$7^2)/100))*DIR_ATUAL[[#This Row],[M]]*T_LINHA_MONO/100+IF(DIR_ATUAL[[#This Row],[TRECHO]]=0,T_LINHA_MONO*QT_MTTR,0),"")</f>
        <v/>
      </c>
      <c r="M16" s="63">
        <f ca="1">IFERROR(SUMIF(DIR_ATUAL[PONTO],DIR_ATUAL[[#This Row],[TRECHO]],DIR_ATUAL[Coluna1])+DIR_ATUAL[[#This Row],[QT-PONTO]],"")</f>
        <v>11.457000310267837</v>
      </c>
      <c r="N16" s="57">
        <f ca="1">IFERROR(DIR_ATUAL[[#This Row],[Coluna1]]/T_LINHA_MONO,"")</f>
        <v>9.0200484725983104E-2</v>
      </c>
      <c r="O16" s="55">
        <f ca="1">IFERROR(T_LINHA_MONO*(1-DIR_ATUAL[[#This Row],[QT %]]),"")</f>
        <v>115.56005891144984</v>
      </c>
      <c r="P16" s="55">
        <f ca="1">IFERROR(T_LINHA_TRF*(1-DIR_ATUAL[[#This Row],[QT %]]),"")</f>
        <v>200.15589336028373</v>
      </c>
      <c r="Q16" s="68" t="str">
        <f>IFERROR(IF(DIR_ATUAL[[#This Row],[PROTECAO]]="OK","Protecao OK","Ajustar Disj/Condutor"),"")</f>
        <v>Ajustar Disj/Condutor</v>
      </c>
      <c r="R16" s="54" t="str">
        <f>IF(DIR_ATUAL[[#This Row],[ETA]]=1,"MONO",IF(DIR_ATUAL[[#This Row],[ETA]]=2,"BIF","TRI"))</f>
        <v>TRI</v>
      </c>
      <c r="S16" s="54">
        <v>3</v>
      </c>
      <c r="T16" s="54" t="str">
        <f t="shared" si="1"/>
        <v>AEREO</v>
      </c>
      <c r="U16" s="54">
        <f>30</f>
        <v>30</v>
      </c>
      <c r="V16" s="54" t="str">
        <f>IFERROR(IF(DIR_ATUAL[[#This Row],[FASE]]="MONO",DIR_ATUAL[[#This Row],[ACUMULADA]]*1000/(T_LINHA_TRF*DIR_ATUAL[[#This Row],[ETA]]),DIR_ATUAL[[#This Row],[ACUMULADA]]*1000/(SQRT(3)*$P$7*DIR_ATUAL[[#This Row],[ETA]])),"")</f>
        <v/>
      </c>
      <c r="W16" s="54" t="str">
        <f>IFERROR(VLOOKUP(DIR_ATUAL[[#This Row],[Ib]],TabelaDisjuntores[],2,TRUE),"")</f>
        <v/>
      </c>
      <c r="X16" s="54">
        <f>IFERROR(VLOOKUP(DIR_ATUAL[[#This Row],[CONDUTOR]],CABOS[],2,0),0)</f>
        <v>0</v>
      </c>
      <c r="Y16" s="54" t="str">
        <f>IF(AND(DIR_ATUAL[[#This Row],[Ib]]&lt;=DIR_ATUAL[[#This Row],[In]],DIR_ATUAL[[#This Row],[In]]&lt;=DIR_ATUAL[[#This Row],[Iz]]),"OK","VERIFICAR")</f>
        <v>VERIFICAR</v>
      </c>
      <c r="Z16" s="110">
        <f>IFERROR(SQRT((DIR_ATUAL[[#This Row],[X]]-$AC$4)^2+(DIR_ATUAL[[#This Row],[Y]]-$AC$5)^2),0)</f>
        <v>0</v>
      </c>
    </row>
    <row r="17" spans="1:26" x14ac:dyDescent="0.3">
      <c r="A17" s="169"/>
      <c r="B17" s="54" t="str">
        <f>IFERROR(IF(DIR_ATUAL[[#This Row],[PONTO]]="RAMAL",A16,VLOOKUP(DIR_ATUAL[[#This Row],[PONTO]],GERAL[],2,0)),"")</f>
        <v/>
      </c>
      <c r="C17" s="54" t="str">
        <f>IFERROR(IF(DIR_ATUAL[[#This Row],[PONTO]]="RAMAL",15,VLOOKUP(DIR_ATUAL[[#This Row],[PONTO]],GERAL[],3,0)),"")</f>
        <v/>
      </c>
      <c r="D17" s="55" t="str">
        <f>IFERROR(IF(DIR_ATUAL[[#This Row],[PONTO]]="RAMAL","",VLOOKUP(DIR_ATUAL[[#This Row],[PONTO]],GERAL[],4,0)),"")</f>
        <v/>
      </c>
      <c r="E17" s="55" t="str">
        <f>IFERROR(IF(DIR_ATUAL[[#This Row],[PONTO]]="RAMAL","",VLOOKUP(DIR_ATUAL[[#This Row],[PONTO]],GERAL[],5,0)),"")</f>
        <v/>
      </c>
      <c r="F17" s="55" t="str">
        <f>IFERROR(IF(DIR_ATUAL[[#This Row],[PONTO]]="RAMAL",DMDI,VLOOKUP(DIR_ATUAL[[#This Row],[PONTO]],GERAL[],8,0)),"")</f>
        <v/>
      </c>
      <c r="G17" s="55" t="str">
        <f>IFERROR(IF(DIR_ATUAL[[#This Row],[PONTO]]="RAMAL",DIR_ATUAL[[#This Row],[KVA PONTO]],VLOOKUP(DIR_ATUAL[[#This Row],[PONTO]],GERAL[],9,0)),"")</f>
        <v/>
      </c>
      <c r="H17" s="55" t="str">
        <f>IFERROR(VLOOKUP(DIR_ATUAL[[#This Row],[PONTO]],GERAL[],12,0),"")</f>
        <v/>
      </c>
      <c r="I17" s="61" t="str">
        <f>IFERROR(DIR_ATUAL[[#This Row],[Ib]],"")</f>
        <v/>
      </c>
      <c r="J17" s="61" t="str">
        <f>IFERROR(IFERROR(DIR_ATUAL[[#This Row],[ACUMULADA]]/((IF(DIR_ATUAL[[#This Row],[FASE]]="MONO",T_LINHA_MONO,IF(DIR_ATUAL[[#This Row],[FASE]]="BIF",T_LINHA_TRF,T_LINHA_TRF*SQRT(3)))/1000)*VLOOKUP(H17,CABOS[],9,0))+30,U17+60*(V17/X17)),"")</f>
        <v/>
      </c>
      <c r="K17" s="69" t="str">
        <f>IFERROR((VLOOKUP(DIR_ATUAL[[#This Row],[CONDUTOR]],CABOS[],3,0)/VLOOKUP(DIR_ATUAL[[#This Row],[CONDUTOR]],CABOS[],6,0))*(1+VLOOKUP(DIR_ATUAL[[#This Row],[CONDUTOR]],CABOS[],5,0)*(DIR_ATUAL[[#This Row],[T]]-20)),"")</f>
        <v/>
      </c>
      <c r="L17" s="62" t="str">
        <f>IFERROR(IF(DIR_ATUAL[[#This Row],[FASE]]="MONO",6,IF(DIR_ATUAL[[#This Row],[FASE]]="BIF",2,1))*DIR_ATUAL[[#This Row],[ACUMULADA]]*(SQRT(DIR_ATUAL[[#This Row],[R CORR]]^2+VLOOKUP(DIR_ATUAL[[#This Row],[CONDUTOR]],CABOS[],4,0)^2)/(($P$7^2)/100))*DIR_ATUAL[[#This Row],[M]]*T_LINHA_MONO/100+IF(DIR_ATUAL[[#This Row],[TRECHO]]=0,T_LINHA_MONO*QT_MTTR,0),"")</f>
        <v/>
      </c>
      <c r="M17" s="63">
        <f ca="1">IFERROR(SUMIF(DIR_ATUAL[PONTO],DIR_ATUAL[[#This Row],[TRECHO]],DIR_ATUAL[Coluna1])+DIR_ATUAL[[#This Row],[QT-PONTO]],"")</f>
        <v>0</v>
      </c>
      <c r="N17" s="57">
        <f ca="1">IFERROR(DIR_ATUAL[[#This Row],[Coluna1]]/T_LINHA_MONO,"")</f>
        <v>0</v>
      </c>
      <c r="O17" s="55">
        <f ca="1">IFERROR(T_LINHA_MONO*(1-DIR_ATUAL[[#This Row],[QT %]]),"")</f>
        <v>0</v>
      </c>
      <c r="P17" s="55">
        <f ca="1">IFERROR(T_LINHA_TRF*(1-DIR_ATUAL[[#This Row],[QT %]]),"")</f>
        <v>0</v>
      </c>
      <c r="Q17" s="68" t="str">
        <f>IFERROR(IF(DIR_ATUAL[[#This Row],[PROTECAO]]="OK","Protecao OK","Ajustar Disj/Condutor"),"")</f>
        <v>Ajustar Disj/Condutor</v>
      </c>
      <c r="R17" s="54" t="str">
        <f>IF(DIR_ATUAL[[#This Row],[ETA]]=1,"MONO",IF(DIR_ATUAL[[#This Row],[ETA]]=2,"BIF","TRI"))</f>
        <v>TRI</v>
      </c>
      <c r="S17" s="54">
        <v>3</v>
      </c>
      <c r="T17" s="54" t="str">
        <f t="shared" si="0"/>
        <v>AEREO</v>
      </c>
      <c r="U17" s="54">
        <f>30</f>
        <v>30</v>
      </c>
      <c r="V17" s="54" t="str">
        <f>IFERROR(IF(DIR_ATUAL[[#This Row],[FASE]]="MONO",DIR_ATUAL[[#This Row],[ACUMULADA]]*1000/(T_LINHA_TRF*DIR_ATUAL[[#This Row],[ETA]]),DIR_ATUAL[[#This Row],[ACUMULADA]]*1000/(SQRT(3)*$P$7*DIR_ATUAL[[#This Row],[ETA]])),"")</f>
        <v/>
      </c>
      <c r="W17" s="54" t="str">
        <f>IFERROR(VLOOKUP(DIR_ATUAL[[#This Row],[Ib]],TabelaDisjuntores[],2,TRUE),"")</f>
        <v/>
      </c>
      <c r="X17" s="54">
        <f>IFERROR(VLOOKUP(DIR_ATUAL[[#This Row],[CONDUTOR]],CABOS[],2,0),0)</f>
        <v>0</v>
      </c>
      <c r="Y17" s="54" t="str">
        <f>IF(AND(DIR_ATUAL[[#This Row],[Ib]]&lt;=DIR_ATUAL[[#This Row],[In]],DIR_ATUAL[[#This Row],[In]]&lt;=DIR_ATUAL[[#This Row],[Iz]]),"OK","VERIFICAR")</f>
        <v>VERIFICAR</v>
      </c>
      <c r="Z17" s="110">
        <f>IFERROR(SQRT((DIR_ATUAL[[#This Row],[X]]-$AC$4)^2+(DIR_ATUAL[[#This Row],[Y]]-$AC$5)^2),0)</f>
        <v>0</v>
      </c>
    </row>
    <row r="18" spans="1:26" x14ac:dyDescent="0.3">
      <c r="A18" s="54" t="s">
        <v>42</v>
      </c>
      <c r="B18" s="169">
        <v>9</v>
      </c>
      <c r="C18" s="54">
        <v>35</v>
      </c>
      <c r="D18" s="55" t="str">
        <f>IFERROR(IF(DIR_ATUAL[[#This Row],[PONTO]]="RAMAL","",VLOOKUP(DIR_ATUAL[[#This Row],[PONTO]],GERAL[],4,0)),"")</f>
        <v/>
      </c>
      <c r="E18" s="55" t="str">
        <f>IFERROR(IF(DIR_ATUAL[[#This Row],[PONTO]]="RAMAL","",VLOOKUP(DIR_ATUAL[[#This Row],[PONTO]],GERAL[],5,0)),"")</f>
        <v/>
      </c>
      <c r="F18" s="55">
        <f>IFERROR(IF(DIR_ATUAL[[#This Row],[PONTO]]="RAMAL",DMDI,VLOOKUP(DIR_ATUAL[[#This Row],[PONTO]],GERAL[],8,0)),"")</f>
        <v>2.84</v>
      </c>
      <c r="G18" s="55">
        <f>IFERROR(IF(DIR_ATUAL[[#This Row],[PONTO]]="RAMAL",DIR_ATUAL[[#This Row],[KVA PONTO]],VLOOKUP(DIR_ATUAL[[#This Row],[PONTO]],GERAL[],9,0)),"")</f>
        <v>2.84</v>
      </c>
      <c r="H18" s="175" t="s">
        <v>1</v>
      </c>
      <c r="I18" s="61">
        <f>IFERROR(DIR_ATUAL[[#This Row],[Ib]],"")</f>
        <v>2.4843557037856625</v>
      </c>
      <c r="J18" s="61">
        <f>IFERROR(IFERROR(DIR_ATUAL[[#This Row],[ACUMULADA]]/((IF(DIR_ATUAL[[#This Row],[FASE]]="MONO",T_LINHA_MONO,IF(DIR_ATUAL[[#This Row],[FASE]]="BIF",T_LINHA_TRF,T_LINHA_TRF*SQRT(3)))/1000)*VLOOKUP(H18,CABOS[],9,0))+30,U18+60*(V18/X18)),"")</f>
        <v>37.098159153673322</v>
      </c>
      <c r="K18" s="69">
        <f>IFERROR((VLOOKUP(DIR_ATUAL[[#This Row],[CONDUTOR]],CABOS[],3,0)/VLOOKUP(DIR_ATUAL[[#This Row],[CONDUTOR]],CABOS[],6,0))*(1+VLOOKUP(DIR_ATUAL[[#This Row],[CONDUTOR]],CABOS[],5,0)*(DIR_ATUAL[[#This Row],[T]]-20)),"")</f>
        <v>2.0824525085361536</v>
      </c>
      <c r="L18" s="62">
        <f>IFERROR(IF(DIR_ATUAL[[#This Row],[FASE]]="MONO",6,IF(DIR_ATUAL[[#This Row],[FASE]]="BIF",2,1))*DIR_ATUAL[[#This Row],[ACUMULADA]]*(SQRT(DIR_ATUAL[[#This Row],[R CORR]]^2+VLOOKUP(DIR_ATUAL[[#This Row],[CONDUTOR]],CABOS[],4,0)^2)/(($P$7^2)/100))*DIR_ATUAL[[#This Row],[M]]*T_LINHA_MONO/100+IF(DIR_ATUAL[[#This Row],[TRECHO]]=0,T_LINHA_MONO*QT_MTTR,0),"")</f>
        <v>0.58673239971144009</v>
      </c>
      <c r="M18" s="63">
        <f>IFERROR(SUMIF(DIR_ATUAL[PONTO],DIR_ATUAL[[#This Row],[TRECHO]],DIR_ATUAL[Coluna1])+DIR_ATUAL[[#This Row],[QT-PONTO]],"")</f>
        <v>9.970172094476963</v>
      </c>
      <c r="N18" s="57">
        <f>IFERROR(DIR_ATUAL[[#This Row],[Coluna1]]/T_LINHA_MONO,"")</f>
        <v>7.8494748308361395E-2</v>
      </c>
      <c r="O18" s="55">
        <f>IFERROR(T_LINHA_MONO*(1-DIR_ATUAL[[#This Row],[QT %]]),"")</f>
        <v>117.04688712724072</v>
      </c>
      <c r="P18" s="55">
        <f>IFERROR(T_LINHA_TRF*(1-DIR_ATUAL[[#This Row],[QT %]]),"")</f>
        <v>202.73115537216052</v>
      </c>
      <c r="Q18" s="68" t="str">
        <f>IFERROR(IF(DIR_ATUAL[[#This Row],[PROTECAO]]="OK","Protecao OK","Ajustar Disj/Condutor"),"")</f>
        <v>Ajustar Disj/Condutor</v>
      </c>
      <c r="R18" s="54" t="str">
        <f>IF(DIR_ATUAL[[#This Row],[ETA]]=1,"MONO",IF(DIR_ATUAL[[#This Row],[ETA]]=2,"BIF","TRI"))</f>
        <v>TRI</v>
      </c>
      <c r="S18" s="54">
        <v>3</v>
      </c>
      <c r="T18" s="107" t="str">
        <f t="shared" si="0"/>
        <v>AEREO</v>
      </c>
      <c r="U18" s="95">
        <f>30</f>
        <v>30</v>
      </c>
      <c r="V18" s="95">
        <f>IFERROR(IF(DIR_ATUAL[[#This Row],[FASE]]="MONO",DIR_ATUAL[[#This Row],[ACUMULADA]]*1000/(T_LINHA_TRF*DIR_ATUAL[[#This Row],[ETA]]),DIR_ATUAL[[#This Row],[ACUMULADA]]*1000/(SQRT(3)*$P$7*DIR_ATUAL[[#This Row],[ETA]])),"")</f>
        <v>2.4843557037856625</v>
      </c>
      <c r="W18" s="95">
        <f>IFERROR(VLOOKUP(DIR_ATUAL[[#This Row],[Ib]],TabelaDisjuntores[],2,TRUE),"")</f>
        <v>0</v>
      </c>
      <c r="X18" s="95">
        <f>IFERROR(VLOOKUP(DIR_ATUAL[[#This Row],[CONDUTOR]],CABOS[],2,0),0)</f>
        <v>63</v>
      </c>
      <c r="Y18" s="95" t="str">
        <f>IF(AND(DIR_ATUAL[[#This Row],[Ib]]&lt;=DIR_ATUAL[[#This Row],[In]],DIR_ATUAL[[#This Row],[In]]&lt;=DIR_ATUAL[[#This Row],[Iz]]),"OK","VERIFICAR")</f>
        <v>VERIFICAR</v>
      </c>
      <c r="Z18" s="95">
        <f>IFERROR(SQRT((DIR_ATUAL[[#This Row],[X]]-$AC$4)^2+(DIR_ATUAL[[#This Row],[Y]]-$AC$5)^2),0)</f>
        <v>0</v>
      </c>
    </row>
  </sheetData>
  <mergeCells count="21">
    <mergeCell ref="A2:A3"/>
    <mergeCell ref="C2:C3"/>
    <mergeCell ref="E2:E3"/>
    <mergeCell ref="I5:I6"/>
    <mergeCell ref="Z5:Z6"/>
    <mergeCell ref="A5:A6"/>
    <mergeCell ref="G5:G6"/>
    <mergeCell ref="S5:S6"/>
    <mergeCell ref="B5:B6"/>
    <mergeCell ref="H5:H6"/>
    <mergeCell ref="D5:E5"/>
    <mergeCell ref="C5:C6"/>
    <mergeCell ref="M5:M6"/>
    <mergeCell ref="O5:O6"/>
    <mergeCell ref="Q5:Q6"/>
    <mergeCell ref="AB2:AC3"/>
    <mergeCell ref="B2:B3"/>
    <mergeCell ref="F5:F6"/>
    <mergeCell ref="D2:D3"/>
    <mergeCell ref="L5:L6"/>
    <mergeCell ref="N5:N6"/>
  </mergeCells>
  <conditionalFormatting sqref="Q8:Y17">
    <cfRule type="cellIs" dxfId="14" priority="1" operator="equal">
      <formula>"Condutor Suporta Amperagem"</formula>
    </cfRule>
    <cfRule type="cellIs" dxfId="13" priority="2" operator="equal">
      <formula>"Condutor Sobrecarregado"</formula>
    </cfRule>
  </conditionalFormatting>
  <pageMargins left="0.511811024" right="0.511811024" top="0.78740157499999996" bottom="0.78740157499999996" header="0.31496062000000002" footer="0.31496062000000002"/>
  <ignoredErrors>
    <ignoredError sqref="S8:S18" calculatedColumn="1"/>
  </ignoredErrors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R425"/>
  <sheetViews>
    <sheetView showGridLines="0" zoomScale="85" zoomScaleNormal="85" workbookViewId="0">
      <pane ySplit="8" topLeftCell="A9" activePane="bottomLeft" state="frozen"/>
      <selection activeCell="A9" sqref="A9:A21"/>
      <selection pane="bottomLeft" activeCell="O3" sqref="O3"/>
    </sheetView>
  </sheetViews>
  <sheetFormatPr defaultColWidth="14.77734375" defaultRowHeight="14.4" x14ac:dyDescent="0.3"/>
  <cols>
    <col min="1" max="1" width="10.44140625" style="1" customWidth="1"/>
    <col min="2" max="2" width="11.44140625" style="1" customWidth="1"/>
    <col min="3" max="3" width="15.33203125" style="1" customWidth="1"/>
    <col min="4" max="4" width="11.109375" style="1" bestFit="1" customWidth="1"/>
    <col min="5" max="5" width="12.21875" style="1" bestFit="1" customWidth="1"/>
    <col min="6" max="6" width="7.88671875" style="1" customWidth="1"/>
    <col min="7" max="7" width="8.77734375" style="1" customWidth="1"/>
    <col min="8" max="8" width="10" style="2" customWidth="1"/>
    <col min="9" max="9" width="13.44140625" style="2" customWidth="1"/>
    <col min="10" max="10" width="14.77734375" style="2" hidden="1" customWidth="1"/>
    <col min="11" max="11" width="14.109375" customWidth="1"/>
    <col min="12" max="12" width="16.44140625" customWidth="1"/>
    <col min="13" max="13" width="15" bestFit="1" customWidth="1"/>
    <col min="14" max="14" width="1.88671875" customWidth="1"/>
  </cols>
  <sheetData>
    <row r="2" spans="1:18" x14ac:dyDescent="0.3">
      <c r="A2" s="183" t="s">
        <v>217</v>
      </c>
      <c r="B2" s="184"/>
      <c r="C2" s="184"/>
      <c r="D2" s="184"/>
      <c r="E2" s="184"/>
      <c r="F2" s="184"/>
      <c r="G2" s="184"/>
      <c r="H2" s="178" t="s">
        <v>218</v>
      </c>
      <c r="I2" s="201" t="str">
        <f>GERAL!I2</f>
        <v>SIM</v>
      </c>
      <c r="K2" s="178" t="s">
        <v>220</v>
      </c>
      <c r="L2" s="236">
        <f>GERAL!L2</f>
        <v>79</v>
      </c>
      <c r="M2" s="14" t="s">
        <v>221</v>
      </c>
      <c r="O2" s="14" t="s">
        <v>63</v>
      </c>
      <c r="P2" s="201" t="str">
        <f>IF(O5&gt;O3,"SOBRECARGA","")</f>
        <v/>
      </c>
      <c r="Q2" s="14" t="s">
        <v>222</v>
      </c>
    </row>
    <row r="3" spans="1:18" x14ac:dyDescent="0.3">
      <c r="A3" s="184"/>
      <c r="B3" s="184"/>
      <c r="C3" s="184"/>
      <c r="D3" s="184"/>
      <c r="E3" s="184"/>
      <c r="F3" s="184"/>
      <c r="G3" s="184"/>
      <c r="H3" s="187"/>
      <c r="I3" s="187"/>
      <c r="K3" s="179"/>
      <c r="L3" s="179"/>
      <c r="M3" s="123">
        <f>P31</f>
        <v>120.83736598928087</v>
      </c>
      <c r="O3" s="172">
        <v>112.5</v>
      </c>
      <c r="P3" s="179"/>
      <c r="Q3" s="128" t="s">
        <v>95</v>
      </c>
    </row>
    <row r="4" spans="1:18" x14ac:dyDescent="0.3">
      <c r="A4" s="3"/>
      <c r="B4" s="3"/>
      <c r="C4" s="3"/>
      <c r="D4" s="4"/>
      <c r="E4" s="3"/>
      <c r="F4" s="3"/>
      <c r="G4" s="3"/>
      <c r="H4" s="187"/>
      <c r="I4" s="187"/>
      <c r="J4" s="10"/>
      <c r="K4" s="179"/>
      <c r="L4" s="179"/>
      <c r="M4" s="14" t="s">
        <v>223</v>
      </c>
      <c r="O4" s="14" t="s">
        <v>224</v>
      </c>
      <c r="P4" s="179"/>
      <c r="Q4" s="128" t="s">
        <v>96</v>
      </c>
    </row>
    <row r="5" spans="1:18" x14ac:dyDescent="0.3">
      <c r="A5" s="100" t="s">
        <v>225</v>
      </c>
      <c r="B5" s="3"/>
      <c r="C5" s="3" t="s">
        <v>226</v>
      </c>
      <c r="D5" s="4"/>
      <c r="E5" s="3"/>
      <c r="F5" s="3"/>
      <c r="G5" s="3"/>
      <c r="J5" s="10"/>
      <c r="M5" s="123">
        <f>P32</f>
        <v>120.72752247511889</v>
      </c>
      <c r="O5" s="93">
        <f>I9</f>
        <v>71.965599999999995</v>
      </c>
      <c r="P5" s="141">
        <f>O5/0.85</f>
        <v>84.66541176470588</v>
      </c>
      <c r="Q5" s="128" t="s">
        <v>97</v>
      </c>
    </row>
    <row r="6" spans="1:18" s="60" customFormat="1" ht="13.8" customHeight="1" x14ac:dyDescent="0.3">
      <c r="A6" s="180" t="s">
        <v>4</v>
      </c>
      <c r="B6" s="58" t="s">
        <v>21</v>
      </c>
      <c r="C6" s="58" t="s">
        <v>227</v>
      </c>
      <c r="D6" s="181" t="s">
        <v>7</v>
      </c>
      <c r="E6" s="182"/>
      <c r="F6" s="58"/>
      <c r="G6" s="58"/>
      <c r="H6" s="176" t="s">
        <v>228</v>
      </c>
      <c r="I6" s="176" t="s">
        <v>24</v>
      </c>
      <c r="J6" s="176" t="s">
        <v>229</v>
      </c>
      <c r="K6" s="176"/>
      <c r="L6" s="14"/>
      <c r="M6" s="14"/>
      <c r="O6" s="115">
        <f>O5/O3</f>
        <v>0.63969422222222216</v>
      </c>
      <c r="P6" s="64"/>
      <c r="Q6" s="128" t="s">
        <v>93</v>
      </c>
    </row>
    <row r="7" spans="1:18" s="60" customFormat="1" ht="13.8" customHeight="1" x14ac:dyDescent="0.3">
      <c r="A7" s="177"/>
      <c r="B7" s="14" t="s">
        <v>230</v>
      </c>
      <c r="C7" s="14" t="s">
        <v>231</v>
      </c>
      <c r="D7" s="58" t="s">
        <v>19</v>
      </c>
      <c r="E7" s="58" t="s">
        <v>20</v>
      </c>
      <c r="F7" s="78"/>
      <c r="G7" s="78"/>
      <c r="H7" s="177"/>
      <c r="I7" s="177"/>
      <c r="J7" s="177"/>
      <c r="K7" s="177"/>
      <c r="L7" s="14"/>
      <c r="M7" s="14"/>
    </row>
    <row r="8" spans="1:18" s="5" customFormat="1" ht="21.6" customHeight="1" x14ac:dyDescent="0.3">
      <c r="A8" s="97" t="s">
        <v>4</v>
      </c>
      <c r="B8" s="98" t="s">
        <v>21</v>
      </c>
      <c r="C8" s="98" t="s">
        <v>22</v>
      </c>
      <c r="D8" s="97" t="s">
        <v>3</v>
      </c>
      <c r="E8" s="97" t="s">
        <v>18</v>
      </c>
      <c r="F8" s="96" t="s">
        <v>205</v>
      </c>
      <c r="G8" s="96" t="s">
        <v>232</v>
      </c>
      <c r="H8" s="96" t="s">
        <v>233</v>
      </c>
      <c r="I8" s="98" t="s">
        <v>24</v>
      </c>
      <c r="J8" s="98" t="s">
        <v>17</v>
      </c>
      <c r="K8" s="96" t="s">
        <v>234</v>
      </c>
      <c r="L8" s="96" t="s">
        <v>10</v>
      </c>
      <c r="M8" s="96" t="s">
        <v>235</v>
      </c>
    </row>
    <row r="9" spans="1:18" s="6" customFormat="1" x14ac:dyDescent="0.3">
      <c r="A9" s="168">
        <v>11</v>
      </c>
      <c r="B9" s="168">
        <v>0</v>
      </c>
      <c r="C9" s="168">
        <v>4</v>
      </c>
      <c r="D9" s="125">
        <f>IFERROR(VLOOKUP(GERAL_PROJ[[#This Row],[PONTO]],Tabela13[],2,0),"")</f>
        <v>635957</v>
      </c>
      <c r="E9" s="125">
        <f>IFERROR(VLOOKUP(GERAL_PROJ[[#This Row],[PONTO]],Tabela13[],3,0),"")</f>
        <v>7462079</v>
      </c>
      <c r="F9" s="126">
        <f>IFERROR(VLOOKUP(GERAL_PROJ[[#This Row],[PONTO]],RAMAIS_ATUAL,24,0),"")</f>
        <v>6</v>
      </c>
      <c r="G9" s="126">
        <f>IFERROR(SUMIF(GERAL_PROJ[TRECHO],GERAL_PROJ[[#This Row],[PONTO]],GERAL_PROJ[CLT ACUMULADO])+GERAL_PROJ[[#This Row],[CLIENTES]],"")</f>
        <v>33</v>
      </c>
      <c r="H9" s="127">
        <f>IFERROR(VLOOKUP(GERAL_PROJ[[#This Row],[PONTO]],RAMAIS_ATUAL,IF($I$2="SIM",25,23),0),"")</f>
        <v>16.471999999999998</v>
      </c>
      <c r="I9" s="127">
        <f>IFERROR(IF($I$2="SIM",VLOOKUP(GERAL_PROJ[[#This Row],[CLT ACUMULADO]],AUX_CLAN,4,0),SUMIF(GERAL_PROJ[TRECHO],GERAL_PROJ[[#This Row],[PONTO]],GERAL_PROJ[ACUMULADA])+GERAL_PROJ[[#This Row],[TOTAL DO TRECHO]]),"")</f>
        <v>71.965599999999995</v>
      </c>
      <c r="J9" s="127">
        <f>IFERROR(SQRT((GERAL_PROJ[[#This Row],[X]]-$P$11)^2+(GERAL_PROJ[[#This Row],[Y]]-$P$12)^2),"")</f>
        <v>772653.01474384894</v>
      </c>
      <c r="K9" s="168" t="s">
        <v>63</v>
      </c>
      <c r="L9" s="170" t="s">
        <v>79</v>
      </c>
      <c r="M9" s="125">
        <f>IFERROR(IF(GERAL_PROJ[[#This Row],[LADO]]="ESQUERDO",VLOOKUP(GERAL_PROJ[[#This Row],[PONTO]],ESQ_PROJ1[[PONTO]:[ETA]],15,0),IF(GERAL_PROJ[[#This Row],[LADO]]="DIREITO",VLOOKUP(GERAL_PROJ[[#This Row],[PONTO]],Tabela71020[],15,0),IF(GERAL_PROJ[[#This Row],[LADO]]="TRAFO",127-(127*(QT_MTTR2)),""))),"IGNORADO")</f>
        <v>121.83245918222222</v>
      </c>
      <c r="O9" s="190" t="s">
        <v>2</v>
      </c>
      <c r="P9" s="191"/>
    </row>
    <row r="10" spans="1:18" x14ac:dyDescent="0.3">
      <c r="A10" s="169">
        <v>12</v>
      </c>
      <c r="B10" s="169">
        <v>11</v>
      </c>
      <c r="C10" s="169">
        <v>30</v>
      </c>
      <c r="D10" s="128">
        <f>IFERROR(VLOOKUP(GERAL_PROJ[[#This Row],[PONTO]],Tabela13[],2,0),"")</f>
        <v>635986</v>
      </c>
      <c r="E10" s="128">
        <f>IFERROR(VLOOKUP(GERAL_PROJ[[#This Row],[PONTO]],Tabela13[],3,0),"")</f>
        <v>7462112</v>
      </c>
      <c r="F10" s="129">
        <f>IFERROR(VLOOKUP(GERAL_PROJ[[#This Row],[PONTO]],RAMAIS_ATUAL,24,0),"")</f>
        <v>7</v>
      </c>
      <c r="G10" s="129">
        <f>IFERROR(SUMIF(GERAL_PROJ[TRECHO],GERAL_PROJ[[#This Row],[PONTO]],GERAL_PROJ[CLT ACUMULADO])+GERAL_PROJ[[#This Row],[CLIENTES]],"")</f>
        <v>17</v>
      </c>
      <c r="H10" s="55">
        <f>IFERROR(VLOOKUP(GERAL_PROJ[[#This Row],[PONTO]],RAMAIS_ATUAL,IF($I$2="SIM",25,23),0),"")</f>
        <v>19.198399999999999</v>
      </c>
      <c r="I10" s="55">
        <f>IFERROR(IF($I$2="SIM",VLOOKUP(GERAL_PROJ[[#This Row],[CLT ACUMULADO]],AUX_CLAN,4,0),SUMIF(GERAL_PROJ[TRECHO],GERAL_PROJ[[#This Row],[PONTO]],GERAL_PROJ[ACUMULADA])+GERAL_PROJ[[#This Row],[TOTAL DO TRECHO]]),"")</f>
        <v>42.884</v>
      </c>
      <c r="J10" s="55">
        <f>IFERROR(SQRT((GERAL_PROJ[[#This Row],[X]]-$P$11)^2+(GERAL_PROJ[[#This Row],[Y]]-$P$12)^2),"")</f>
        <v>772688.98776971654</v>
      </c>
      <c r="K10" s="169" t="s">
        <v>238</v>
      </c>
      <c r="L10" s="171" t="s">
        <v>96</v>
      </c>
      <c r="M10" s="128">
        <f>IFERROR(IF(GERAL_PROJ[[#This Row],[LADO]]="ESQUERDO",VLOOKUP(GERAL_PROJ[[#This Row],[PONTO]],ESQ_PROJ1[[PONTO]:[ETA]],15,0),IF(GERAL_PROJ[[#This Row],[LADO]]="DIREITO",VLOOKUP(GERAL_PROJ[[#This Row],[PONTO]],Tabela71020[],15,0),IF(GERAL_PROJ[[#This Row],[LADO]]="TRAFO",127-(127*(QT_MTTR2)),""))),"IGNORADO")</f>
        <v>121.30480223869131</v>
      </c>
      <c r="O10" s="192"/>
      <c r="P10" s="192"/>
    </row>
    <row r="11" spans="1:18" s="6" customFormat="1" x14ac:dyDescent="0.3">
      <c r="A11" s="169">
        <v>13</v>
      </c>
      <c r="B11" s="169">
        <v>12</v>
      </c>
      <c r="C11" s="169">
        <v>36</v>
      </c>
      <c r="D11" s="128">
        <f>IFERROR(VLOOKUP(GERAL_PROJ[[#This Row],[PONTO]],Tabela13[],2,0),"")</f>
        <v>636017</v>
      </c>
      <c r="E11" s="128">
        <f>IFERROR(VLOOKUP(GERAL_PROJ[[#This Row],[PONTO]],Tabela13[],3,0),"")</f>
        <v>7462129</v>
      </c>
      <c r="F11" s="129">
        <f>IFERROR(VLOOKUP(GERAL_PROJ[[#This Row],[PONTO]],RAMAIS_ATUAL,24,0),"")</f>
        <v>3</v>
      </c>
      <c r="G11" s="129">
        <f>IFERROR(SUMIF(GERAL_PROJ[TRECHO],GERAL_PROJ[[#This Row],[PONTO]],GERAL_PROJ[CLT ACUMULADO])+GERAL_PROJ[[#This Row],[CLIENTES]],"")</f>
        <v>10</v>
      </c>
      <c r="H11" s="55">
        <f>IFERROR(VLOOKUP(GERAL_PROJ[[#This Row],[PONTO]],RAMAIS_ATUAL,IF($I$2="SIM",25,23),0),"")</f>
        <v>11.0192</v>
      </c>
      <c r="I11" s="55">
        <f>IFERROR(IF($I$2="SIM",VLOOKUP(GERAL_PROJ[[#This Row],[CLT ACUMULADO]],AUX_CLAN,4,0),SUMIF(GERAL_PROJ[TRECHO],GERAL_PROJ[[#This Row],[PONTO]],GERAL_PROJ[ACUMULADA])+GERAL_PROJ[[#This Row],[TOTAL DO TRECHO]]),"")</f>
        <v>27.377600000000001</v>
      </c>
      <c r="J11" s="55">
        <f>IFERROR(SQRT((GERAL_PROJ[[#This Row],[X]]-$P$11)^2+(GERAL_PROJ[[#This Row],[Y]]-$P$12)^2),"")</f>
        <v>772709.27642307209</v>
      </c>
      <c r="K11" s="169" t="s">
        <v>238</v>
      </c>
      <c r="L11" s="171" t="s">
        <v>95</v>
      </c>
      <c r="M11" s="128">
        <f>IFERROR(IF(GERAL_PROJ[[#This Row],[LADO]]="ESQUERDO",VLOOKUP(GERAL_PROJ[[#This Row],[PONTO]],ESQ_PROJ1[[PONTO]:[ETA]],15,0),IF(GERAL_PROJ[[#This Row],[LADO]]="DIREITO",VLOOKUP(GERAL_PROJ[[#This Row],[PONTO]],Tabela71020[],15,0),IF(GERAL_PROJ[[#This Row],[LADO]]="TRAFO",127-(127*(QT_MTTR2)),""))),"IGNORADO")</f>
        <v>120.97894544556735</v>
      </c>
      <c r="O11" s="11" t="s">
        <v>3</v>
      </c>
      <c r="P11" s="13">
        <f>IFERROR(SUMPRODUCT(GERAL[TOTAL DO TRECHO],GERAL[X])/SUM(GERAL[TOTAL DO TRECHO]),"INSERIR DADOS")</f>
        <v>551487.0318212593</v>
      </c>
    </row>
    <row r="12" spans="1:18" x14ac:dyDescent="0.3">
      <c r="A12" s="169">
        <v>14</v>
      </c>
      <c r="B12" s="169">
        <v>13</v>
      </c>
      <c r="C12" s="169">
        <v>36</v>
      </c>
      <c r="D12" s="128">
        <f>IFERROR(VLOOKUP(GERAL_PROJ[[#This Row],[PONTO]],Tabela13[],2,0),"")</f>
        <v>63645</v>
      </c>
      <c r="E12" s="128">
        <f>IFERROR(VLOOKUP(GERAL_PROJ[[#This Row],[PONTO]],Tabela13[],3,0),"")</f>
        <v>7462154</v>
      </c>
      <c r="F12" s="129">
        <f>IFERROR(VLOOKUP(GERAL_PROJ[[#This Row],[PONTO]],RAMAIS_ATUAL,24,0),"")</f>
        <v>5</v>
      </c>
      <c r="G12" s="129">
        <f>IFERROR(SUMIF(GERAL_PROJ[TRECHO],GERAL_PROJ[[#This Row],[PONTO]],GERAL_PROJ[CLT ACUMULADO])+GERAL_PROJ[[#This Row],[CLIENTES]],"")</f>
        <v>7</v>
      </c>
      <c r="H12" s="55">
        <f>IFERROR(VLOOKUP(GERAL_PROJ[[#This Row],[PONTO]],RAMAIS_ATUAL,IF($I$2="SIM",25,23),0),"")</f>
        <v>13.7456</v>
      </c>
      <c r="I12" s="55">
        <f>IFERROR(IF($I$2="SIM",VLOOKUP(GERAL_PROJ[[#This Row],[CLT ACUMULADO]],AUX_CLAN,4,0),SUMIF(GERAL_PROJ[TRECHO],GERAL_PROJ[[#This Row],[PONTO]],GERAL_PROJ[ACUMULADA])+GERAL_PROJ[[#This Row],[TOTAL DO TRECHO]]),"")</f>
        <v>19.198399999999999</v>
      </c>
      <c r="J12" s="55">
        <f>IFERROR(SQRT((GERAL_PROJ[[#This Row],[X]]-$P$11)^2+(GERAL_PROJ[[#This Row],[Y]]-$P$12)^2),"")</f>
        <v>909924.48179897154</v>
      </c>
      <c r="K12" s="169" t="s">
        <v>238</v>
      </c>
      <c r="L12" s="171" t="s">
        <v>95</v>
      </c>
      <c r="M12" s="128">
        <f>IFERROR(IF(GERAL_PROJ[[#This Row],[LADO]]="ESQUERDO",VLOOKUP(GERAL_PROJ[[#This Row],[PONTO]],ESQ_PROJ1[[PONTO]:[ETA]],15,0),IF(GERAL_PROJ[[#This Row],[LADO]]="DIREITO",VLOOKUP(GERAL_PROJ[[#This Row],[PONTO]],Tabela71020[],15,0),IF(GERAL_PROJ[[#This Row],[LADO]]="TRAFO",127-(127*(QT_MTTR2)),""))),"IGNORADO")</f>
        <v>120.97894544556735</v>
      </c>
      <c r="O12" s="12" t="s">
        <v>18</v>
      </c>
      <c r="P12" s="13">
        <f>IFERROR(SUMPRODUCT(GERAL[ACUMULADA],GERAL[Y])/SUM(GERAL[ACUMULADA]),"INSERIR DADOS")</f>
        <v>6694057.1867234232</v>
      </c>
    </row>
    <row r="13" spans="1:18" s="6" customFormat="1" x14ac:dyDescent="0.3">
      <c r="A13" s="169">
        <v>15</v>
      </c>
      <c r="B13" s="169">
        <v>14</v>
      </c>
      <c r="C13" s="169">
        <v>38</v>
      </c>
      <c r="D13" s="128">
        <f>IFERROR(VLOOKUP(GERAL_PROJ[[#This Row],[PONTO]],Tabela13[],2,0),"")</f>
        <v>636075</v>
      </c>
      <c r="E13" s="128">
        <f>IFERROR(VLOOKUP(GERAL_PROJ[[#This Row],[PONTO]],Tabela13[],3,0),"")</f>
        <v>7462174</v>
      </c>
      <c r="F13" s="129">
        <f>IFERROR(VLOOKUP(GERAL_PROJ[[#This Row],[PONTO]],RAMAIS_ATUAL,24,0),"")</f>
        <v>2</v>
      </c>
      <c r="G13" s="129">
        <f>IFERROR(SUMIF(GERAL_PROJ[TRECHO],GERAL_PROJ[[#This Row],[PONTO]],GERAL_PROJ[CLT ACUMULADO])+GERAL_PROJ[[#This Row],[CLIENTES]],"")</f>
        <v>2</v>
      </c>
      <c r="H13" s="55">
        <f>IFERROR(VLOOKUP(GERAL_PROJ[[#This Row],[PONTO]],RAMAIS_ATUAL,IF($I$2="SIM",25,23),0),"")</f>
        <v>11.0192</v>
      </c>
      <c r="I13" s="55">
        <f>IFERROR(IF($I$2="SIM",VLOOKUP(GERAL_PROJ[[#This Row],[CLT ACUMULADO]],AUX_CLAN,4,0),SUMIF(GERAL_PROJ[TRECHO],GERAL_PROJ[[#This Row],[PONTO]],GERAL_PROJ[ACUMULADA])+GERAL_PROJ[[#This Row],[TOTAL DO TRECHO]]),"")</f>
        <v>11.0192</v>
      </c>
      <c r="J13" s="55">
        <f>IFERROR(SQRT((GERAL_PROJ[[#This Row],[X]]-$P$11)^2+(GERAL_PROJ[[#This Row],[Y]]-$P$12)^2),"")</f>
        <v>772760.35301946697</v>
      </c>
      <c r="K13" s="169" t="s">
        <v>238</v>
      </c>
      <c r="L13" s="171" t="s">
        <v>95</v>
      </c>
      <c r="M13" s="128">
        <f>IFERROR(IF(GERAL_PROJ[[#This Row],[LADO]]="ESQUERDO",VLOOKUP(GERAL_PROJ[[#This Row],[PONTO]],ESQ_PROJ1[[PONTO]:[ETA]],15,0),IF(GERAL_PROJ[[#This Row],[LADO]]="DIREITO",VLOOKUP(GERAL_PROJ[[#This Row],[PONTO]],Tabela71020[],15,0),IF(GERAL_PROJ[[#This Row],[LADO]]="TRAFO",127-(127*(QT_MTTR2)),""))),"IGNORADO")</f>
        <v>120.97894544556735</v>
      </c>
    </row>
    <row r="14" spans="1:18" x14ac:dyDescent="0.3">
      <c r="A14" s="169">
        <v>10</v>
      </c>
      <c r="B14" s="169">
        <v>11</v>
      </c>
      <c r="C14" s="169">
        <v>36</v>
      </c>
      <c r="D14" s="128">
        <f>IFERROR(VLOOKUP(GERAL_PROJ[[#This Row],[PONTO]],Tabela13[],2,0),"")</f>
        <v>635924</v>
      </c>
      <c r="E14" s="128">
        <f>IFERROR(VLOOKUP(GERAL_PROJ[[#This Row],[PONTO]],Tabela13[],3,0),"")</f>
        <v>7462060</v>
      </c>
      <c r="F14" s="129">
        <f>IFERROR(VLOOKUP(GERAL_PROJ[[#This Row],[PONTO]],RAMAIS_ATUAL,24,0),"")</f>
        <v>4</v>
      </c>
      <c r="G14" s="129">
        <f>IFERROR(SUMIF(GERAL_PROJ[TRECHO],GERAL_PROJ[[#This Row],[PONTO]],GERAL_PROJ[CLT ACUMULADO])+GERAL_PROJ[[#This Row],[CLIENTES]],"")</f>
        <v>10</v>
      </c>
      <c r="H14" s="55">
        <f>IFERROR(VLOOKUP(GERAL_PROJ[[#This Row],[PONTO]],RAMAIS_ATUAL,IF($I$2="SIM",25,23),0),"")</f>
        <v>11.0192</v>
      </c>
      <c r="I14" s="55">
        <f>IFERROR(IF($I$2="SIM",VLOOKUP(GERAL_PROJ[[#This Row],[CLT ACUMULADO]],AUX_CLAN,4,0),SUMIF(GERAL_PROJ[TRECHO],GERAL_PROJ[[#This Row],[PONTO]],GERAL_PROJ[ACUMULADA])+GERAL_PROJ[[#This Row],[TOTAL DO TRECHO]]),"")</f>
        <v>27.377600000000001</v>
      </c>
      <c r="J14" s="55">
        <f>IFERROR(SQRT((GERAL_PROJ[[#This Row],[X]]-$P$11)^2+(GERAL_PROJ[[#This Row],[Y]]-$P$12)^2),"")</f>
        <v>772630.52152756311</v>
      </c>
      <c r="K14" s="169" t="s">
        <v>236</v>
      </c>
      <c r="L14" s="171" t="s">
        <v>96</v>
      </c>
      <c r="M14" s="128">
        <f>IFERROR(IF(GERAL_PROJ[[#This Row],[LADO]]="ESQUERDO",VLOOKUP(GERAL_PROJ[[#This Row],[PONTO]],ESQ_PROJ1[[PONTO]:[ETA]],15,0),IF(GERAL_PROJ[[#This Row],[LADO]]="DIREITO",VLOOKUP(GERAL_PROJ[[#This Row],[PONTO]],Tabela71020[],15,0),IF(GERAL_PROJ[[#This Row],[LADO]]="TRAFO",127-(127*(QT_MTTR2)),""))),"IGNORADO")</f>
        <v>121.39781958372933</v>
      </c>
      <c r="O14" s="190" t="s">
        <v>237</v>
      </c>
      <c r="P14" s="191"/>
    </row>
    <row r="15" spans="1:18" s="6" customFormat="1" x14ac:dyDescent="0.3">
      <c r="A15" s="169">
        <v>4</v>
      </c>
      <c r="B15" s="169">
        <v>10</v>
      </c>
      <c r="C15" s="169">
        <v>34</v>
      </c>
      <c r="D15" s="128">
        <f>IFERROR(VLOOKUP(GERAL_PROJ[[#This Row],[PONTO]],Tabela13[],2,0),"")</f>
        <v>635902</v>
      </c>
      <c r="E15" s="128">
        <f>IFERROR(VLOOKUP(GERAL_PROJ[[#This Row],[PONTO]],Tabela13[],3,0),"")</f>
        <v>746233</v>
      </c>
      <c r="F15" s="129">
        <f>IFERROR(VLOOKUP(GERAL_PROJ[[#This Row],[PONTO]],RAMAIS_ATUAL,24,0),"")</f>
        <v>4</v>
      </c>
      <c r="G15" s="129">
        <f>IFERROR(SUMIF(GERAL_PROJ[TRECHO],GERAL_PROJ[[#This Row],[PONTO]],GERAL_PROJ[CLT ACUMULADO])+GERAL_PROJ[[#This Row],[CLIENTES]],"")</f>
        <v>6</v>
      </c>
      <c r="H15" s="55">
        <f>IFERROR(VLOOKUP(GERAL_PROJ[[#This Row],[PONTO]],RAMAIS_ATUAL,IF($I$2="SIM",25,23),0),"")</f>
        <v>11.0192</v>
      </c>
      <c r="I15" s="55">
        <f>IFERROR(IF($I$2="SIM",VLOOKUP(GERAL_PROJ[[#This Row],[CLT ACUMULADO]],AUX_CLAN,4,0),SUMIF(GERAL_PROJ[TRECHO],GERAL_PROJ[[#This Row],[PONTO]],GERAL_PROJ[ACUMULADA])+GERAL_PROJ[[#This Row],[TOTAL DO TRECHO]]),"")</f>
        <v>16.471999999999998</v>
      </c>
      <c r="J15" s="55">
        <f>IFERROR(SQRT((GERAL_PROJ[[#This Row],[X]]-$P$11)^2+(GERAL_PROJ[[#This Row],[Y]]-$P$12)^2),"")</f>
        <v>5948423.1896381387</v>
      </c>
      <c r="K15" s="169" t="s">
        <v>236</v>
      </c>
      <c r="L15" s="171" t="s">
        <v>95</v>
      </c>
      <c r="M15" s="128">
        <f>IFERROR(IF(GERAL_PROJ[[#This Row],[LADO]]="ESQUERDO",VLOOKUP(GERAL_PROJ[[#This Row],[PONTO]],ESQ_PROJ1[[PONTO]:[ETA]],15,0),IF(GERAL_PROJ[[#This Row],[LADO]]="DIREITO",VLOOKUP(GERAL_PROJ[[#This Row],[PONTO]],Tabela71020[],15,0),IF(GERAL_PROJ[[#This Row],[LADO]]="TRAFO",127-(127*(QT_MTTR2)),""))),"IGNORADO")</f>
        <v>121.21265660653924</v>
      </c>
      <c r="O15" s="192"/>
      <c r="P15" s="192"/>
    </row>
    <row r="16" spans="1:18" x14ac:dyDescent="0.3">
      <c r="A16" s="169">
        <v>3</v>
      </c>
      <c r="B16" s="169">
        <v>4</v>
      </c>
      <c r="C16" s="169">
        <v>34</v>
      </c>
      <c r="D16" s="128">
        <f>IFERROR(VLOOKUP(GERAL_PROJ[[#This Row],[PONTO]],Tabela13[],2,0),"")</f>
        <v>635871</v>
      </c>
      <c r="E16" s="128">
        <f>IFERROR(VLOOKUP(GERAL_PROJ[[#This Row],[PONTO]],Tabela13[],3,0),"")</f>
        <v>7462013</v>
      </c>
      <c r="F16" s="129">
        <f>IFERROR(VLOOKUP(GERAL_PROJ[[#This Row],[PONTO]],RAMAIS_ATUAL,24,0),"")</f>
        <v>2</v>
      </c>
      <c r="G16" s="129">
        <f>IFERROR(SUMIF(GERAL_PROJ[TRECHO],GERAL_PROJ[[#This Row],[PONTO]],GERAL_PROJ[CLT ACUMULADO])+GERAL_PROJ[[#This Row],[CLIENTES]],"")</f>
        <v>2</v>
      </c>
      <c r="H16" s="55">
        <f>IFERROR(VLOOKUP(GERAL_PROJ[[#This Row],[PONTO]],RAMAIS_ATUAL,IF($I$2="SIM",25,23),0),"")</f>
        <v>11.0192</v>
      </c>
      <c r="I16" s="55">
        <f>IFERROR(IF($I$2="SIM",VLOOKUP(GERAL_PROJ[[#This Row],[CLT ACUMULADO]],AUX_CLAN,4,0),SUMIF(GERAL_PROJ[TRECHO],GERAL_PROJ[[#This Row],[PONTO]],GERAL_PROJ[ACUMULADA])+GERAL_PROJ[[#This Row],[TOTAL DO TRECHO]]),"")</f>
        <v>11.0192</v>
      </c>
      <c r="J16" s="55">
        <f>IFERROR(SQRT((GERAL_PROJ[[#This Row],[X]]-$P$11)^2+(GERAL_PROJ[[#This Row],[Y]]-$P$12)^2),"")</f>
        <v>772578.0123915507</v>
      </c>
      <c r="K16" s="169" t="s">
        <v>236</v>
      </c>
      <c r="L16" s="171" t="s">
        <v>95</v>
      </c>
      <c r="M16" s="128">
        <f>IFERROR(IF(GERAL_PROJ[[#This Row],[LADO]]="ESQUERDO",VLOOKUP(GERAL_PROJ[[#This Row],[PONTO]],ESQ_PROJ1[[PONTO]:[ETA]],15,0),IF(GERAL_PROJ[[#This Row],[LADO]]="DIREITO",VLOOKUP(GERAL_PROJ[[#This Row],[PONTO]],Tabela71020[],15,0),IF(GERAL_PROJ[[#This Row],[LADO]]="TRAFO",127-(127*(QT_MTTR2)),""))),"IGNORADO")</f>
        <v>121.08878895972933</v>
      </c>
      <c r="O16" s="196">
        <f>INDEX(GERAL_PROJ[PONTO],MATCH(MIN(GERAL_PROJ[SNAP]),GERAL_PROJ[SNAP],0))</f>
        <v>3</v>
      </c>
      <c r="P16" s="189"/>
      <c r="R16" s="6"/>
    </row>
    <row r="17" spans="1:16" s="6" customFormat="1" x14ac:dyDescent="0.3">
      <c r="A17" s="169"/>
      <c r="B17" s="169"/>
      <c r="C17" s="169"/>
      <c r="D17" s="128" t="str">
        <f>IFERROR(VLOOKUP(GERAL_PROJ[[#This Row],[PONTO]],Tabela13[],2,0),"")</f>
        <v/>
      </c>
      <c r="E17" s="128" t="str">
        <f>IFERROR(VLOOKUP(GERAL_PROJ[[#This Row],[PONTO]],Tabela13[],3,0),"")</f>
        <v/>
      </c>
      <c r="F17" s="129" t="str">
        <f>IFERROR(VLOOKUP(GERAL_PROJ[[#This Row],[PONTO]],RAMAIS_ATUAL,24,0),"")</f>
        <v/>
      </c>
      <c r="G17" s="129" t="str">
        <f>IFERROR(SUMIF(GERAL_PROJ[TRECHO],GERAL_PROJ[[#This Row],[PONTO]],GERAL_PROJ[CLT ACUMULADO])+GERAL_PROJ[[#This Row],[CLIENTES]],"")</f>
        <v/>
      </c>
      <c r="H17" s="55" t="str">
        <f>IFERROR(VLOOKUP(GERAL_PROJ[[#This Row],[PONTO]],RAMAIS_ATUAL,IF($I$2="SIM",25,23),0),"")</f>
        <v/>
      </c>
      <c r="I17" s="55" t="str">
        <f>IFERROR(IF($I$2="SIM",VLOOKUP(GERAL_PROJ[[#This Row],[CLT ACUMULADO]],AUX_CLAN,4,0),SUMIF(GERAL_PROJ[TRECHO],GERAL_PROJ[[#This Row],[PONTO]],GERAL_PROJ[ACUMULADA])+GERAL_PROJ[[#This Row],[TOTAL DO TRECHO]]),"")</f>
        <v/>
      </c>
      <c r="J17" s="55" t="str">
        <f>IFERROR(SQRT((GERAL_PROJ[[#This Row],[X]]-$P$11)^2+(GERAL_PROJ[[#This Row],[Y]]-$P$12)^2),"")</f>
        <v/>
      </c>
      <c r="K17" s="169"/>
      <c r="L17" s="171"/>
      <c r="M17" s="128" t="str">
        <f>IFERROR(IF(GERAL_PROJ[[#This Row],[LADO]]="ESQUERDO",VLOOKUP(GERAL_PROJ[[#This Row],[PONTO]],ESQ_PROJ1[[PONTO]:[ETA]],15,0),IF(GERAL_PROJ[[#This Row],[LADO]]="DIREITO",VLOOKUP(GERAL_PROJ[[#This Row],[PONTO]],Tabela71020[],15,0),IF(GERAL_PROJ[[#This Row],[LADO]]="TRAFO",127-(127*(QT_MTTR2)),""))),"IGNORADO")</f>
        <v/>
      </c>
    </row>
    <row r="18" spans="1:16" x14ac:dyDescent="0.3">
      <c r="A18" s="169"/>
      <c r="B18" s="169"/>
      <c r="C18" s="169"/>
      <c r="D18" s="128" t="str">
        <f>IFERROR(VLOOKUP(GERAL_PROJ[[#This Row],[PONTO]],Tabela13[],2,0),"")</f>
        <v/>
      </c>
      <c r="E18" s="128" t="str">
        <f>IFERROR(VLOOKUP(GERAL_PROJ[[#This Row],[PONTO]],Tabela13[],3,0),"")</f>
        <v/>
      </c>
      <c r="F18" s="129" t="str">
        <f>IFERROR(VLOOKUP(GERAL_PROJ[[#This Row],[PONTO]],RAMAIS_ATUAL,24,0),"")</f>
        <v/>
      </c>
      <c r="G18" s="129" t="str">
        <f>IFERROR(SUMIF(GERAL_PROJ[TRECHO],GERAL_PROJ[[#This Row],[PONTO]],GERAL_PROJ[CLT ACUMULADO])+GERAL_PROJ[[#This Row],[CLIENTES]],"")</f>
        <v/>
      </c>
      <c r="H18" s="55" t="str">
        <f>IFERROR(VLOOKUP(GERAL_PROJ[[#This Row],[PONTO]],RAMAIS_ATUAL,IF($I$2="SIM",25,23),0),"")</f>
        <v/>
      </c>
      <c r="I18" s="55" t="str">
        <f>IFERROR(IF($I$2="SIM",VLOOKUP(GERAL_PROJ[[#This Row],[CLT ACUMULADO]],AUX_CLAN,4,0),SUMIF(GERAL_PROJ[TRECHO],GERAL_PROJ[[#This Row],[PONTO]],GERAL_PROJ[ACUMULADA])+GERAL_PROJ[[#This Row],[TOTAL DO TRECHO]]),"")</f>
        <v/>
      </c>
      <c r="J18" s="55" t="str">
        <f>IFERROR(SQRT((GERAL_PROJ[[#This Row],[X]]-$P$11)^2+(GERAL_PROJ[[#This Row],[Y]]-$P$12)^2),"")</f>
        <v/>
      </c>
      <c r="K18" s="169"/>
      <c r="L18" s="171"/>
      <c r="M18" s="128" t="str">
        <f>IFERROR(IF(GERAL_PROJ[[#This Row],[LADO]]="ESQUERDO",VLOOKUP(GERAL_PROJ[[#This Row],[PONTO]],ESQ_PROJ1[[PONTO]:[ETA]],15,0),IF(GERAL_PROJ[[#This Row],[LADO]]="DIREITO",VLOOKUP(GERAL_PROJ[[#This Row],[PONTO]],Tabela71020[],15,0),IF(GERAL_PROJ[[#This Row],[LADO]]="TRAFO",127-(127*(QT_MTTR2)),""))),"IGNORADO")</f>
        <v/>
      </c>
      <c r="O18" s="200" t="s">
        <v>239</v>
      </c>
      <c r="P18" s="191"/>
    </row>
    <row r="19" spans="1:16" s="6" customFormat="1" x14ac:dyDescent="0.3">
      <c r="A19" s="169"/>
      <c r="B19" s="169"/>
      <c r="C19" s="169"/>
      <c r="D19" s="128" t="str">
        <f>IFERROR(VLOOKUP(GERAL_PROJ[[#This Row],[PONTO]],Tabela13[],2,0),"")</f>
        <v/>
      </c>
      <c r="E19" s="128" t="str">
        <f>IFERROR(VLOOKUP(GERAL_PROJ[[#This Row],[PONTO]],Tabela13[],3,0),"")</f>
        <v/>
      </c>
      <c r="F19" s="129" t="str">
        <f>IFERROR(VLOOKUP(GERAL_PROJ[[#This Row],[PONTO]],RAMAIS_ATUAL,24,0),"")</f>
        <v/>
      </c>
      <c r="G19" s="129" t="str">
        <f>IFERROR(SUMIF(GERAL_PROJ[TRECHO],GERAL_PROJ[[#This Row],[PONTO]],GERAL_PROJ[CLT ACUMULADO])+GERAL_PROJ[[#This Row],[CLIENTES]],"")</f>
        <v/>
      </c>
      <c r="H19" s="55" t="str">
        <f>IFERROR(VLOOKUP(GERAL_PROJ[[#This Row],[PONTO]],RAMAIS_ATUAL,IF($I$2="SIM",25,23),0),"")</f>
        <v/>
      </c>
      <c r="I19" s="55" t="str">
        <f>IFERROR(IF($I$2="SIM",VLOOKUP(GERAL_PROJ[[#This Row],[CLT ACUMULADO]],AUX_CLAN,4,0),SUMIF(GERAL_PROJ[TRECHO],GERAL_PROJ[[#This Row],[PONTO]],GERAL_PROJ[ACUMULADA])+GERAL_PROJ[[#This Row],[TOTAL DO TRECHO]]),"")</f>
        <v/>
      </c>
      <c r="J19" s="55" t="str">
        <f>IFERROR(SQRT((GERAL_PROJ[[#This Row],[X]]-$P$11)^2+(GERAL_PROJ[[#This Row],[Y]]-$P$12)^2),"")</f>
        <v/>
      </c>
      <c r="K19" s="169"/>
      <c r="L19" s="171"/>
      <c r="M19" s="128" t="str">
        <f>IFERROR(IF(GERAL_PROJ[[#This Row],[LADO]]="ESQUERDO",VLOOKUP(GERAL_PROJ[[#This Row],[PONTO]],ESQ_PROJ1[[PONTO]:[ETA]],15,0),IF(GERAL_PROJ[[#This Row],[LADO]]="DIREITO",VLOOKUP(GERAL_PROJ[[#This Row],[PONTO]],Tabela71020[],15,0),IF(GERAL_PROJ[[#This Row],[LADO]]="TRAFO",127-(127*(QT_MTTR2)),""))),"IGNORADO")</f>
        <v/>
      </c>
      <c r="O19" s="192"/>
      <c r="P19" s="192"/>
    </row>
    <row r="20" spans="1:16" x14ac:dyDescent="0.3">
      <c r="A20" s="169"/>
      <c r="B20" s="169"/>
      <c r="C20" s="169"/>
      <c r="D20" s="128" t="str">
        <f>IFERROR(VLOOKUP(GERAL_PROJ[[#This Row],[PONTO]],Tabela13[],2,0),"")</f>
        <v/>
      </c>
      <c r="E20" s="128" t="str">
        <f>IFERROR(VLOOKUP(GERAL_PROJ[[#This Row],[PONTO]],Tabela13[],3,0),"")</f>
        <v/>
      </c>
      <c r="F20" s="129" t="str">
        <f>IFERROR(VLOOKUP(GERAL_PROJ[[#This Row],[PONTO]],RAMAIS_ATUAL,24,0),"")</f>
        <v/>
      </c>
      <c r="G20" s="129" t="str">
        <f>IFERROR(SUMIF(GERAL_PROJ[TRECHO],GERAL_PROJ[[#This Row],[PONTO]],GERAL_PROJ[CLT ACUMULADO])+GERAL_PROJ[[#This Row],[CLIENTES]],"")</f>
        <v/>
      </c>
      <c r="H20" s="55" t="str">
        <f>IFERROR(VLOOKUP(GERAL_PROJ[[#This Row],[PONTO]],RAMAIS_ATUAL,IF($I$2="SIM",25,23),0),"")</f>
        <v/>
      </c>
      <c r="I20" s="55" t="str">
        <f>IFERROR(IF($I$2="SIM",VLOOKUP(GERAL_PROJ[[#This Row],[CLT ACUMULADO]],AUX_CLAN,4,0),SUMIF(GERAL_PROJ[TRECHO],GERAL_PROJ[[#This Row],[PONTO]],GERAL_PROJ[ACUMULADA])+GERAL_PROJ[[#This Row],[TOTAL DO TRECHO]]),"")</f>
        <v/>
      </c>
      <c r="J20" s="55" t="str">
        <f>IFERROR(SQRT((GERAL_PROJ[[#This Row],[X]]-$P$11)^2+(GERAL_PROJ[[#This Row],[Y]]-$P$12)^2),"")</f>
        <v/>
      </c>
      <c r="K20" s="169"/>
      <c r="L20" s="171"/>
      <c r="M20" s="128" t="str">
        <f>IFERROR(IF(GERAL_PROJ[[#This Row],[LADO]]="ESQUERDO",VLOOKUP(GERAL_PROJ[[#This Row],[PONTO]],ESQ_PROJ1[[PONTO]:[ETA]],15,0),IF(GERAL_PROJ[[#This Row],[LADO]]="DIREITO",VLOOKUP(GERAL_PROJ[[#This Row],[PONTO]],Tabela71020[],15,0),IF(GERAL_PROJ[[#This Row],[LADO]]="TRAFO",127-(127*(QT_MTTR2)),""))),"IGNORADO")</f>
        <v/>
      </c>
      <c r="O20" s="193">
        <f>O25/400</f>
        <v>0.62</v>
      </c>
      <c r="P20" s="189"/>
    </row>
    <row r="21" spans="1:16" s="6" customFormat="1" x14ac:dyDescent="0.3">
      <c r="A21" s="169"/>
      <c r="B21" s="169"/>
      <c r="C21" s="169"/>
      <c r="D21" s="128" t="str">
        <f>IFERROR(VLOOKUP(GERAL_PROJ[[#This Row],[PONTO]],Tabela13[],2,0),"")</f>
        <v/>
      </c>
      <c r="E21" s="128" t="str">
        <f>IFERROR(VLOOKUP(GERAL_PROJ[[#This Row],[PONTO]],Tabela13[],3,0),"")</f>
        <v/>
      </c>
      <c r="F21" s="129" t="str">
        <f>IFERROR(VLOOKUP(GERAL_PROJ[[#This Row],[PONTO]],RAMAIS_ATUAL,24,0),"")</f>
        <v/>
      </c>
      <c r="G21" s="129" t="str">
        <f>IFERROR(SUMIF(GERAL_PROJ[TRECHO],GERAL_PROJ[[#This Row],[PONTO]],GERAL_PROJ[CLT ACUMULADO])+GERAL_PROJ[[#This Row],[CLIENTES]],"")</f>
        <v/>
      </c>
      <c r="H21" s="55" t="str">
        <f>IFERROR(VLOOKUP(GERAL_PROJ[[#This Row],[PONTO]],RAMAIS_ATUAL,IF($I$2="SIM",25,23),0),"")</f>
        <v/>
      </c>
      <c r="I21" s="55" t="str">
        <f>IFERROR(IF($I$2="SIM",VLOOKUP(GERAL_PROJ[[#This Row],[CLT ACUMULADO]],AUX_CLAN,4,0),SUMIF(GERAL_PROJ[TRECHO],GERAL_PROJ[[#This Row],[PONTO]],GERAL_PROJ[ACUMULADA])+GERAL_PROJ[[#This Row],[TOTAL DO TRECHO]]),"")</f>
        <v/>
      </c>
      <c r="J21" s="55" t="str">
        <f>IFERROR(SQRT((GERAL_PROJ[[#This Row],[X]]-$P$11)^2+(GERAL_PROJ[[#This Row],[Y]]-$P$12)^2),"")</f>
        <v/>
      </c>
      <c r="K21" s="169"/>
      <c r="L21" s="171"/>
      <c r="M21" s="128" t="str">
        <f>IFERROR(IF(GERAL_PROJ[[#This Row],[LADO]]="ESQUERDO",VLOOKUP(GERAL_PROJ[[#This Row],[PONTO]],ESQ_PROJ1[[PONTO]:[ETA]],15,0),IF(GERAL_PROJ[[#This Row],[LADO]]="DIREITO",VLOOKUP(GERAL_PROJ[[#This Row],[PONTO]],Tabela71020[],15,0),IF(GERAL_PROJ[[#This Row],[LADO]]="TRAFO",127-(127*(QT_MTTR2)),""))),"IGNORADO")</f>
        <v/>
      </c>
      <c r="O21" s="198" t="s">
        <v>240</v>
      </c>
      <c r="P21" s="199"/>
    </row>
    <row r="22" spans="1:16" x14ac:dyDescent="0.3">
      <c r="A22" s="169"/>
      <c r="B22" s="169"/>
      <c r="C22" s="169"/>
      <c r="D22" s="128" t="str">
        <f>IFERROR(VLOOKUP(GERAL_PROJ[[#This Row],[PONTO]],Tabela13[],2,0),"")</f>
        <v/>
      </c>
      <c r="E22" s="128" t="str">
        <f>IFERROR(VLOOKUP(GERAL_PROJ[[#This Row],[PONTO]],Tabela13[],3,0),"")</f>
        <v/>
      </c>
      <c r="F22" s="129" t="str">
        <f>IFERROR(VLOOKUP(GERAL_PROJ[[#This Row],[PONTO]],RAMAIS_ATUAL,24,0),"")</f>
        <v/>
      </c>
      <c r="G22" s="129" t="str">
        <f>IFERROR(SUMIF(GERAL_PROJ[TRECHO],GERAL_PROJ[[#This Row],[PONTO]],GERAL_PROJ[CLT ACUMULADO])+GERAL_PROJ[[#This Row],[CLIENTES]],"")</f>
        <v/>
      </c>
      <c r="H22" s="55" t="str">
        <f>IFERROR(VLOOKUP(GERAL_PROJ[[#This Row],[PONTO]],RAMAIS_ATUAL,IF($I$2="SIM",25,23),0),"")</f>
        <v/>
      </c>
      <c r="I22" s="55" t="str">
        <f>IFERROR(IF($I$2="SIM",VLOOKUP(GERAL_PROJ[[#This Row],[CLT ACUMULADO]],AUX_CLAN,4,0),SUMIF(GERAL_PROJ[TRECHO],GERAL_PROJ[[#This Row],[PONTO]],GERAL_PROJ[ACUMULADA])+GERAL_PROJ[[#This Row],[TOTAL DO TRECHO]]),"")</f>
        <v/>
      </c>
      <c r="J22" s="55" t="str">
        <f>IFERROR(SQRT((GERAL_PROJ[[#This Row],[X]]-$P$11)^2+(GERAL_PROJ[[#This Row],[Y]]-$P$12)^2),"")</f>
        <v/>
      </c>
      <c r="K22" s="169"/>
      <c r="L22" s="171"/>
      <c r="M22" s="128" t="str">
        <f>IFERROR(IF(GERAL_PROJ[[#This Row],[LADO]]="ESQUERDO",VLOOKUP(GERAL_PROJ[[#This Row],[PONTO]],ESQ_PROJ1[[PONTO]:[ETA]],15,0),IF(GERAL_PROJ[[#This Row],[LADO]]="DIREITO",VLOOKUP(GERAL_PROJ[[#This Row],[PONTO]],Tabela71020[],15,0),IF(GERAL_PROJ[[#This Row],[LADO]]="TRAFO",127-(127*(QT_MTTR2)),""))),"IGNORADO")</f>
        <v/>
      </c>
    </row>
    <row r="23" spans="1:16" s="6" customFormat="1" x14ac:dyDescent="0.3">
      <c r="A23" s="169"/>
      <c r="B23" s="169"/>
      <c r="C23" s="169"/>
      <c r="D23" s="128" t="str">
        <f>IFERROR(VLOOKUP(GERAL_PROJ[[#This Row],[PONTO]],Tabela13[],2,0),"")</f>
        <v/>
      </c>
      <c r="E23" s="128" t="str">
        <f>IFERROR(VLOOKUP(GERAL_PROJ[[#This Row],[PONTO]],Tabela13[],3,0),"")</f>
        <v/>
      </c>
      <c r="F23" s="129" t="str">
        <f>IFERROR(VLOOKUP(GERAL_PROJ[[#This Row],[PONTO]],RAMAIS_ATUAL,24,0),"")</f>
        <v/>
      </c>
      <c r="G23" s="129" t="str">
        <f>IFERROR(SUMIF(GERAL_PROJ[TRECHO],GERAL_PROJ[[#This Row],[PONTO]],GERAL_PROJ[CLT ACUMULADO])+GERAL_PROJ[[#This Row],[CLIENTES]],"")</f>
        <v/>
      </c>
      <c r="H23" s="55" t="str">
        <f>IFERROR(VLOOKUP(GERAL_PROJ[[#This Row],[PONTO]],RAMAIS_ATUAL,IF($I$2="SIM",25,23),0),"")</f>
        <v/>
      </c>
      <c r="I23" s="55" t="str">
        <f>IFERROR(IF($I$2="SIM",VLOOKUP(GERAL_PROJ[[#This Row],[CLT ACUMULADO]],AUX_CLAN,4,0),SUMIF(GERAL_PROJ[TRECHO],GERAL_PROJ[[#This Row],[PONTO]],GERAL_PROJ[ACUMULADA])+GERAL_PROJ[[#This Row],[TOTAL DO TRECHO]]),"")</f>
        <v/>
      </c>
      <c r="J23" s="55" t="str">
        <f>IFERROR(SQRT((GERAL_PROJ[[#This Row],[X]]-$P$11)^2+(GERAL_PROJ[[#This Row],[Y]]-$P$12)^2),"")</f>
        <v/>
      </c>
      <c r="K23" s="169"/>
      <c r="L23" s="171"/>
      <c r="M23" s="128" t="str">
        <f>IFERROR(IF(GERAL_PROJ[[#This Row],[LADO]]="ESQUERDO",VLOOKUP(GERAL_PROJ[[#This Row],[PONTO]],ESQ_PROJ1[[PONTO]:[ETA]],15,0),IF(GERAL_PROJ[[#This Row],[LADO]]="DIREITO",VLOOKUP(GERAL_PROJ[[#This Row],[PONTO]],Tabela71020[],15,0),IF(GERAL_PROJ[[#This Row],[LADO]]="TRAFO",127-(127*(QT_MTTR2)),""))),"IGNORADO")</f>
        <v/>
      </c>
      <c r="O23" s="190" t="s">
        <v>241</v>
      </c>
      <c r="P23" s="191"/>
    </row>
    <row r="24" spans="1:16" x14ac:dyDescent="0.3">
      <c r="D24" s="7"/>
      <c r="E24" s="7"/>
      <c r="F24" s="7"/>
      <c r="G24" s="7"/>
      <c r="O24" s="192"/>
      <c r="P24" s="192"/>
    </row>
    <row r="25" spans="1:16" x14ac:dyDescent="0.3">
      <c r="D25" s="7"/>
      <c r="E25" s="7"/>
      <c r="F25" s="7"/>
      <c r="G25" s="7"/>
      <c r="O25" s="197">
        <f>SUM(GERAL_PROJ[M])</f>
        <v>248</v>
      </c>
      <c r="P25" s="189"/>
    </row>
    <row r="26" spans="1:16" x14ac:dyDescent="0.3">
      <c r="D26" s="7"/>
      <c r="E26" s="7"/>
      <c r="F26" s="7"/>
      <c r="G26" s="7"/>
    </row>
    <row r="27" spans="1:16" x14ac:dyDescent="0.3">
      <c r="D27" s="7"/>
      <c r="E27" s="7"/>
      <c r="F27" s="7"/>
      <c r="G27" s="7"/>
      <c r="O27" s="190" t="s">
        <v>242</v>
      </c>
      <c r="P27" s="191"/>
    </row>
    <row r="28" spans="1:16" x14ac:dyDescent="0.3">
      <c r="D28" s="7"/>
      <c r="E28" s="7"/>
      <c r="F28" s="7"/>
      <c r="G28" s="7"/>
      <c r="O28" s="192"/>
      <c r="P28" s="192"/>
    </row>
    <row r="29" spans="1:16" x14ac:dyDescent="0.3">
      <c r="D29" s="7"/>
      <c r="E29" s="7"/>
      <c r="F29" s="7"/>
      <c r="G29" s="7"/>
      <c r="O29" s="188">
        <f>DMDI</f>
        <v>2.84</v>
      </c>
      <c r="P29" s="189"/>
    </row>
    <row r="30" spans="1:16" x14ac:dyDescent="0.3">
      <c r="D30" s="7"/>
      <c r="E30" s="7"/>
      <c r="F30" s="7"/>
      <c r="G30" s="7"/>
    </row>
    <row r="31" spans="1:16" x14ac:dyDescent="0.3">
      <c r="D31" s="7"/>
      <c r="E31" s="7"/>
      <c r="F31" s="7"/>
      <c r="G31" s="7"/>
      <c r="O31" s="14" t="s">
        <v>221</v>
      </c>
      <c r="P31" s="99">
        <f>VLOOKUP("RAMAL",ESQ_PROJ1[[PONTO]:[ETA]],15,0)</f>
        <v>120.83736598928087</v>
      </c>
    </row>
    <row r="32" spans="1:16" x14ac:dyDescent="0.3">
      <c r="D32" s="7"/>
      <c r="E32" s="7"/>
      <c r="F32" s="7"/>
      <c r="G32" s="7"/>
      <c r="O32" s="14" t="s">
        <v>223</v>
      </c>
      <c r="P32" s="99">
        <f>VLOOKUP("RAMAL",Tabela71020[[PONTO]:[ETA]],15,0)</f>
        <v>120.72752247511889</v>
      </c>
    </row>
    <row r="33" spans="4:7" x14ac:dyDescent="0.3">
      <c r="D33" s="7"/>
      <c r="E33" s="7"/>
      <c r="F33" s="7"/>
      <c r="G33" s="7"/>
    </row>
    <row r="34" spans="4:7" x14ac:dyDescent="0.3">
      <c r="D34" s="7"/>
      <c r="E34" s="7"/>
      <c r="F34" s="7"/>
      <c r="G34" s="7"/>
    </row>
    <row r="35" spans="4:7" x14ac:dyDescent="0.3">
      <c r="D35" s="7"/>
      <c r="E35" s="7"/>
      <c r="F35" s="7"/>
      <c r="G35" s="7"/>
    </row>
    <row r="36" spans="4:7" x14ac:dyDescent="0.3">
      <c r="D36" s="7"/>
      <c r="E36" s="7"/>
      <c r="F36" s="7"/>
      <c r="G36" s="7"/>
    </row>
    <row r="37" spans="4:7" x14ac:dyDescent="0.3">
      <c r="D37" s="7"/>
      <c r="E37" s="7"/>
      <c r="F37" s="7"/>
      <c r="G37" s="7"/>
    </row>
    <row r="38" spans="4:7" x14ac:dyDescent="0.3">
      <c r="D38" s="7"/>
      <c r="E38" s="7"/>
      <c r="F38" s="7"/>
      <c r="G38" s="7"/>
    </row>
    <row r="39" spans="4:7" x14ac:dyDescent="0.3">
      <c r="D39" s="7"/>
      <c r="E39" s="7"/>
      <c r="F39" s="7"/>
      <c r="G39" s="7"/>
    </row>
    <row r="40" spans="4:7" x14ac:dyDescent="0.3">
      <c r="D40" s="7"/>
      <c r="E40" s="7"/>
      <c r="F40" s="7"/>
      <c r="G40" s="7"/>
    </row>
    <row r="41" spans="4:7" x14ac:dyDescent="0.3">
      <c r="D41" s="7"/>
      <c r="E41" s="7"/>
      <c r="F41" s="7"/>
      <c r="G41" s="7"/>
    </row>
    <row r="42" spans="4:7" x14ac:dyDescent="0.3">
      <c r="D42" s="7"/>
      <c r="E42" s="7"/>
      <c r="F42" s="7"/>
      <c r="G42" s="7"/>
    </row>
    <row r="43" spans="4:7" x14ac:dyDescent="0.3">
      <c r="D43" s="7"/>
      <c r="E43" s="7"/>
      <c r="F43" s="7"/>
      <c r="G43" s="7"/>
    </row>
    <row r="44" spans="4:7" x14ac:dyDescent="0.3">
      <c r="D44" s="7"/>
      <c r="E44" s="7"/>
      <c r="F44" s="7"/>
      <c r="G44" s="7"/>
    </row>
    <row r="45" spans="4:7" x14ac:dyDescent="0.3">
      <c r="D45" s="7"/>
      <c r="E45" s="7"/>
      <c r="F45" s="7"/>
      <c r="G45" s="7"/>
    </row>
    <row r="46" spans="4:7" x14ac:dyDescent="0.3">
      <c r="D46" s="7"/>
      <c r="E46" s="7"/>
      <c r="F46" s="7"/>
      <c r="G46" s="7"/>
    </row>
    <row r="47" spans="4:7" x14ac:dyDescent="0.3">
      <c r="D47" s="7"/>
      <c r="E47" s="7"/>
      <c r="F47" s="7"/>
      <c r="G47" s="7"/>
    </row>
    <row r="48" spans="4:7" x14ac:dyDescent="0.3">
      <c r="D48" s="7"/>
      <c r="E48" s="7"/>
      <c r="F48" s="7"/>
      <c r="G48" s="7"/>
    </row>
    <row r="49" spans="4:7" x14ac:dyDescent="0.3">
      <c r="D49" s="7"/>
      <c r="E49" s="7"/>
      <c r="F49" s="7"/>
      <c r="G49" s="7"/>
    </row>
    <row r="50" spans="4:7" x14ac:dyDescent="0.3">
      <c r="D50" s="7"/>
      <c r="E50" s="7"/>
      <c r="F50" s="7"/>
      <c r="G50" s="7"/>
    </row>
    <row r="51" spans="4:7" x14ac:dyDescent="0.3">
      <c r="D51" s="7"/>
      <c r="E51" s="7"/>
      <c r="F51" s="7"/>
      <c r="G51" s="7"/>
    </row>
    <row r="52" spans="4:7" x14ac:dyDescent="0.3">
      <c r="D52" s="7"/>
      <c r="E52" s="7"/>
      <c r="F52" s="7"/>
      <c r="G52" s="7"/>
    </row>
    <row r="53" spans="4:7" x14ac:dyDescent="0.3">
      <c r="D53" s="7"/>
      <c r="E53" s="7"/>
      <c r="F53" s="7"/>
      <c r="G53" s="7"/>
    </row>
    <row r="54" spans="4:7" x14ac:dyDescent="0.3">
      <c r="D54" s="7"/>
      <c r="E54" s="7"/>
      <c r="F54" s="7"/>
      <c r="G54" s="7"/>
    </row>
    <row r="55" spans="4:7" x14ac:dyDescent="0.3">
      <c r="D55" s="7"/>
      <c r="E55" s="7"/>
      <c r="F55" s="7"/>
      <c r="G55" s="7"/>
    </row>
    <row r="56" spans="4:7" x14ac:dyDescent="0.3">
      <c r="D56" s="7"/>
      <c r="E56" s="7"/>
      <c r="F56" s="7"/>
      <c r="G56" s="7"/>
    </row>
    <row r="57" spans="4:7" x14ac:dyDescent="0.3">
      <c r="D57" s="7"/>
      <c r="E57" s="7"/>
      <c r="F57" s="7"/>
      <c r="G57" s="7"/>
    </row>
    <row r="58" spans="4:7" x14ac:dyDescent="0.3">
      <c r="D58" s="7"/>
      <c r="E58" s="7"/>
      <c r="F58" s="7"/>
      <c r="G58" s="7"/>
    </row>
    <row r="59" spans="4:7" x14ac:dyDescent="0.3">
      <c r="D59" s="7"/>
      <c r="E59" s="7"/>
      <c r="F59" s="7"/>
      <c r="G59" s="7"/>
    </row>
    <row r="60" spans="4:7" x14ac:dyDescent="0.3">
      <c r="D60" s="7"/>
      <c r="E60" s="7"/>
      <c r="F60" s="7"/>
      <c r="G60" s="7"/>
    </row>
    <row r="61" spans="4:7" x14ac:dyDescent="0.3">
      <c r="D61" s="7"/>
      <c r="E61" s="7"/>
      <c r="F61" s="7"/>
      <c r="G61" s="7"/>
    </row>
    <row r="62" spans="4:7" x14ac:dyDescent="0.3">
      <c r="D62" s="7"/>
      <c r="E62" s="7"/>
      <c r="F62" s="7"/>
      <c r="G62" s="7"/>
    </row>
    <row r="63" spans="4:7" x14ac:dyDescent="0.3">
      <c r="D63" s="7"/>
      <c r="E63" s="7"/>
      <c r="F63" s="7"/>
      <c r="G63" s="7"/>
    </row>
    <row r="64" spans="4:7" x14ac:dyDescent="0.3">
      <c r="D64" s="7"/>
      <c r="E64" s="7"/>
      <c r="F64" s="7"/>
      <c r="G64" s="7"/>
    </row>
    <row r="65" spans="4:7" x14ac:dyDescent="0.3">
      <c r="D65" s="7"/>
      <c r="E65" s="7"/>
      <c r="F65" s="7"/>
      <c r="G65" s="7"/>
    </row>
    <row r="66" spans="4:7" x14ac:dyDescent="0.3">
      <c r="D66" s="7"/>
      <c r="E66" s="7"/>
      <c r="F66" s="7"/>
      <c r="G66" s="7"/>
    </row>
    <row r="67" spans="4:7" x14ac:dyDescent="0.3">
      <c r="D67" s="7"/>
      <c r="E67" s="7"/>
      <c r="F67" s="7"/>
      <c r="G67" s="7"/>
    </row>
    <row r="68" spans="4:7" x14ac:dyDescent="0.3">
      <c r="D68" s="7"/>
      <c r="E68" s="7"/>
      <c r="F68" s="7"/>
      <c r="G68" s="7"/>
    </row>
    <row r="69" spans="4:7" x14ac:dyDescent="0.3">
      <c r="D69" s="7"/>
      <c r="E69" s="7"/>
      <c r="F69" s="7"/>
      <c r="G69" s="7"/>
    </row>
    <row r="70" spans="4:7" x14ac:dyDescent="0.3">
      <c r="D70" s="7"/>
      <c r="E70" s="7"/>
      <c r="F70" s="7"/>
      <c r="G70" s="7"/>
    </row>
    <row r="71" spans="4:7" x14ac:dyDescent="0.3">
      <c r="D71" s="7"/>
      <c r="E71" s="7"/>
      <c r="F71" s="7"/>
      <c r="G71" s="7"/>
    </row>
    <row r="72" spans="4:7" x14ac:dyDescent="0.3">
      <c r="D72" s="7"/>
      <c r="E72" s="7"/>
      <c r="F72" s="7"/>
      <c r="G72" s="7"/>
    </row>
    <row r="73" spans="4:7" x14ac:dyDescent="0.3">
      <c r="D73" s="7"/>
      <c r="E73" s="7"/>
      <c r="F73" s="7"/>
      <c r="G73" s="7"/>
    </row>
    <row r="74" spans="4:7" x14ac:dyDescent="0.3">
      <c r="D74" s="7"/>
      <c r="E74" s="7"/>
      <c r="F74" s="7"/>
      <c r="G74" s="7"/>
    </row>
    <row r="75" spans="4:7" x14ac:dyDescent="0.3">
      <c r="D75" s="7"/>
      <c r="E75" s="7"/>
      <c r="F75" s="7"/>
      <c r="G75" s="7"/>
    </row>
    <row r="76" spans="4:7" x14ac:dyDescent="0.3">
      <c r="D76" s="7"/>
      <c r="E76" s="7"/>
      <c r="F76" s="7"/>
      <c r="G76" s="7"/>
    </row>
    <row r="77" spans="4:7" x14ac:dyDescent="0.3">
      <c r="D77" s="7"/>
      <c r="E77" s="7"/>
      <c r="F77" s="7"/>
      <c r="G77" s="7"/>
    </row>
    <row r="78" spans="4:7" x14ac:dyDescent="0.3">
      <c r="D78" s="7"/>
      <c r="E78" s="7"/>
      <c r="F78" s="7"/>
      <c r="G78" s="7"/>
    </row>
    <row r="79" spans="4:7" x14ac:dyDescent="0.3">
      <c r="D79" s="7"/>
      <c r="E79" s="7"/>
      <c r="F79" s="7"/>
      <c r="G79" s="7"/>
    </row>
    <row r="80" spans="4:7" x14ac:dyDescent="0.3">
      <c r="D80" s="7"/>
      <c r="E80" s="7"/>
      <c r="F80" s="7"/>
      <c r="G80" s="7"/>
    </row>
    <row r="81" spans="4:7" x14ac:dyDescent="0.3">
      <c r="D81" s="7"/>
      <c r="E81" s="7"/>
      <c r="F81" s="7"/>
      <c r="G81" s="7"/>
    </row>
    <row r="82" spans="4:7" x14ac:dyDescent="0.3">
      <c r="D82" s="7"/>
      <c r="E82" s="7"/>
      <c r="F82" s="7"/>
      <c r="G82" s="7"/>
    </row>
    <row r="83" spans="4:7" x14ac:dyDescent="0.3">
      <c r="D83" s="7"/>
      <c r="E83" s="7"/>
      <c r="F83" s="7"/>
      <c r="G83" s="7"/>
    </row>
    <row r="84" spans="4:7" x14ac:dyDescent="0.3">
      <c r="D84" s="7"/>
      <c r="E84" s="7"/>
      <c r="F84" s="7"/>
      <c r="G84" s="7"/>
    </row>
    <row r="85" spans="4:7" x14ac:dyDescent="0.3">
      <c r="D85" s="7"/>
      <c r="E85" s="7"/>
      <c r="F85" s="7"/>
      <c r="G85" s="7"/>
    </row>
    <row r="86" spans="4:7" x14ac:dyDescent="0.3">
      <c r="D86" s="7"/>
      <c r="E86" s="7"/>
      <c r="F86" s="7"/>
      <c r="G86" s="7"/>
    </row>
    <row r="87" spans="4:7" x14ac:dyDescent="0.3">
      <c r="D87" s="7"/>
      <c r="E87" s="7"/>
      <c r="F87" s="7"/>
      <c r="G87" s="7"/>
    </row>
    <row r="88" spans="4:7" x14ac:dyDescent="0.3">
      <c r="D88" s="7"/>
      <c r="E88" s="7"/>
      <c r="F88" s="7"/>
      <c r="G88" s="7"/>
    </row>
    <row r="89" spans="4:7" x14ac:dyDescent="0.3">
      <c r="D89" s="7"/>
      <c r="E89" s="7"/>
      <c r="F89" s="7"/>
      <c r="G89" s="7"/>
    </row>
    <row r="90" spans="4:7" x14ac:dyDescent="0.3">
      <c r="D90" s="7"/>
      <c r="E90" s="7"/>
      <c r="F90" s="7"/>
      <c r="G90" s="7"/>
    </row>
    <row r="91" spans="4:7" x14ac:dyDescent="0.3">
      <c r="D91" s="7"/>
      <c r="E91" s="7"/>
      <c r="F91" s="7"/>
      <c r="G91" s="7"/>
    </row>
    <row r="92" spans="4:7" x14ac:dyDescent="0.3">
      <c r="D92" s="7"/>
      <c r="E92" s="7"/>
      <c r="F92" s="7"/>
      <c r="G92" s="7"/>
    </row>
    <row r="93" spans="4:7" x14ac:dyDescent="0.3">
      <c r="D93" s="7"/>
      <c r="E93" s="7"/>
      <c r="F93" s="7"/>
      <c r="G93" s="7"/>
    </row>
    <row r="94" spans="4:7" x14ac:dyDescent="0.3">
      <c r="D94" s="7"/>
      <c r="E94" s="7"/>
      <c r="F94" s="7"/>
      <c r="G94" s="7"/>
    </row>
    <row r="95" spans="4:7" x14ac:dyDescent="0.3">
      <c r="D95" s="7"/>
      <c r="E95" s="7"/>
      <c r="F95" s="7"/>
      <c r="G95" s="7"/>
    </row>
    <row r="96" spans="4:7" x14ac:dyDescent="0.3">
      <c r="D96" s="7"/>
      <c r="E96" s="7"/>
      <c r="F96" s="7"/>
      <c r="G96" s="7"/>
    </row>
    <row r="97" spans="4:7" x14ac:dyDescent="0.3">
      <c r="D97" s="7"/>
      <c r="E97" s="7"/>
      <c r="F97" s="7"/>
      <c r="G97" s="7"/>
    </row>
    <row r="98" spans="4:7" x14ac:dyDescent="0.3">
      <c r="D98" s="7"/>
      <c r="E98" s="7"/>
      <c r="F98" s="7"/>
      <c r="G98" s="7"/>
    </row>
    <row r="99" spans="4:7" x14ac:dyDescent="0.3">
      <c r="D99" s="7"/>
      <c r="E99" s="7"/>
      <c r="F99" s="7"/>
      <c r="G99" s="7"/>
    </row>
    <row r="100" spans="4:7" x14ac:dyDescent="0.3">
      <c r="D100" s="7"/>
      <c r="E100" s="7"/>
      <c r="F100" s="7"/>
      <c r="G100" s="7"/>
    </row>
    <row r="101" spans="4:7" x14ac:dyDescent="0.3">
      <c r="D101" s="7"/>
      <c r="E101" s="7"/>
      <c r="F101" s="7"/>
      <c r="G101" s="7"/>
    </row>
    <row r="102" spans="4:7" x14ac:dyDescent="0.3">
      <c r="D102" s="7"/>
      <c r="E102" s="7"/>
      <c r="F102" s="7"/>
      <c r="G102" s="7"/>
    </row>
    <row r="103" spans="4:7" x14ac:dyDescent="0.3">
      <c r="D103" s="7"/>
      <c r="E103" s="7"/>
      <c r="F103" s="7"/>
      <c r="G103" s="7"/>
    </row>
    <row r="104" spans="4:7" x14ac:dyDescent="0.3">
      <c r="D104" s="7"/>
      <c r="E104" s="7"/>
      <c r="F104" s="7"/>
      <c r="G104" s="7"/>
    </row>
    <row r="105" spans="4:7" x14ac:dyDescent="0.3">
      <c r="D105" s="7"/>
      <c r="E105" s="7"/>
      <c r="F105" s="7"/>
      <c r="G105" s="7"/>
    </row>
    <row r="106" spans="4:7" x14ac:dyDescent="0.3">
      <c r="D106" s="7"/>
      <c r="E106" s="7"/>
      <c r="F106" s="7"/>
      <c r="G106" s="7"/>
    </row>
    <row r="107" spans="4:7" x14ac:dyDescent="0.3">
      <c r="D107" s="7"/>
      <c r="E107" s="7"/>
      <c r="F107" s="7"/>
      <c r="G107" s="7"/>
    </row>
    <row r="108" spans="4:7" x14ac:dyDescent="0.3">
      <c r="D108" s="7"/>
      <c r="E108" s="7"/>
      <c r="F108" s="7"/>
      <c r="G108" s="7"/>
    </row>
    <row r="109" spans="4:7" x14ac:dyDescent="0.3">
      <c r="D109" s="7"/>
      <c r="E109" s="7"/>
      <c r="F109" s="7"/>
      <c r="G109" s="7"/>
    </row>
    <row r="110" spans="4:7" x14ac:dyDescent="0.3">
      <c r="D110" s="7"/>
      <c r="E110" s="7"/>
      <c r="F110" s="7"/>
      <c r="G110" s="7"/>
    </row>
    <row r="111" spans="4:7" x14ac:dyDescent="0.3">
      <c r="D111" s="7"/>
      <c r="E111" s="7"/>
      <c r="F111" s="7"/>
      <c r="G111" s="7"/>
    </row>
    <row r="112" spans="4:7" x14ac:dyDescent="0.3">
      <c r="D112" s="7"/>
      <c r="E112" s="7"/>
      <c r="F112" s="7"/>
      <c r="G112" s="7"/>
    </row>
    <row r="113" spans="4:7" x14ac:dyDescent="0.3">
      <c r="D113" s="7"/>
      <c r="E113" s="7"/>
      <c r="F113" s="7"/>
      <c r="G113" s="7"/>
    </row>
    <row r="114" spans="4:7" x14ac:dyDescent="0.3">
      <c r="D114" s="7"/>
      <c r="E114" s="7"/>
      <c r="F114" s="7"/>
      <c r="G114" s="7"/>
    </row>
    <row r="115" spans="4:7" x14ac:dyDescent="0.3">
      <c r="D115" s="7"/>
      <c r="E115" s="7"/>
      <c r="F115" s="7"/>
      <c r="G115" s="7"/>
    </row>
    <row r="116" spans="4:7" x14ac:dyDescent="0.3">
      <c r="D116" s="7"/>
      <c r="E116" s="7"/>
      <c r="F116" s="7"/>
      <c r="G116" s="7"/>
    </row>
    <row r="117" spans="4:7" x14ac:dyDescent="0.3">
      <c r="D117" s="7"/>
      <c r="E117" s="7"/>
      <c r="F117" s="7"/>
      <c r="G117" s="7"/>
    </row>
    <row r="118" spans="4:7" x14ac:dyDescent="0.3">
      <c r="D118" s="7"/>
      <c r="E118" s="7"/>
      <c r="F118" s="7"/>
      <c r="G118" s="7"/>
    </row>
    <row r="119" spans="4:7" x14ac:dyDescent="0.3">
      <c r="D119" s="7"/>
      <c r="E119" s="7"/>
      <c r="F119" s="7"/>
      <c r="G119" s="7"/>
    </row>
    <row r="120" spans="4:7" x14ac:dyDescent="0.3">
      <c r="D120" s="7"/>
      <c r="E120" s="7"/>
      <c r="F120" s="7"/>
      <c r="G120" s="7"/>
    </row>
    <row r="121" spans="4:7" x14ac:dyDescent="0.3">
      <c r="D121" s="7"/>
      <c r="E121" s="7"/>
      <c r="F121" s="7"/>
      <c r="G121" s="7"/>
    </row>
    <row r="122" spans="4:7" x14ac:dyDescent="0.3">
      <c r="D122" s="7"/>
      <c r="E122" s="7"/>
      <c r="F122" s="7"/>
      <c r="G122" s="7"/>
    </row>
    <row r="123" spans="4:7" x14ac:dyDescent="0.3">
      <c r="D123" s="7"/>
      <c r="E123" s="7"/>
      <c r="F123" s="7"/>
      <c r="G123" s="7"/>
    </row>
    <row r="124" spans="4:7" x14ac:dyDescent="0.3">
      <c r="D124" s="7"/>
      <c r="E124" s="7"/>
      <c r="F124" s="7"/>
      <c r="G124" s="7"/>
    </row>
    <row r="125" spans="4:7" x14ac:dyDescent="0.3">
      <c r="D125" s="7"/>
      <c r="E125" s="7"/>
      <c r="F125" s="7"/>
      <c r="G125" s="7"/>
    </row>
    <row r="126" spans="4:7" x14ac:dyDescent="0.3">
      <c r="D126" s="7"/>
      <c r="E126" s="7"/>
      <c r="F126" s="7"/>
      <c r="G126" s="7"/>
    </row>
    <row r="127" spans="4:7" x14ac:dyDescent="0.3">
      <c r="D127" s="7"/>
      <c r="E127" s="7"/>
      <c r="F127" s="7"/>
      <c r="G127" s="7"/>
    </row>
    <row r="128" spans="4:7" x14ac:dyDescent="0.3">
      <c r="D128" s="7"/>
      <c r="E128" s="7"/>
      <c r="F128" s="7"/>
      <c r="G128" s="7"/>
    </row>
    <row r="129" spans="4:7" x14ac:dyDescent="0.3">
      <c r="D129" s="7"/>
      <c r="E129" s="7"/>
      <c r="F129" s="7"/>
      <c r="G129" s="7"/>
    </row>
    <row r="130" spans="4:7" x14ac:dyDescent="0.3">
      <c r="D130" s="7"/>
      <c r="E130" s="7"/>
      <c r="F130" s="7"/>
      <c r="G130" s="7"/>
    </row>
    <row r="131" spans="4:7" x14ac:dyDescent="0.3">
      <c r="D131" s="7"/>
      <c r="E131" s="7"/>
      <c r="F131" s="7"/>
      <c r="G131" s="7"/>
    </row>
    <row r="132" spans="4:7" x14ac:dyDescent="0.3">
      <c r="D132" s="7"/>
      <c r="E132" s="7"/>
      <c r="F132" s="7"/>
      <c r="G132" s="7"/>
    </row>
    <row r="133" spans="4:7" x14ac:dyDescent="0.3">
      <c r="D133" s="7"/>
      <c r="E133" s="7"/>
      <c r="F133" s="7"/>
      <c r="G133" s="7"/>
    </row>
    <row r="134" spans="4:7" x14ac:dyDescent="0.3">
      <c r="D134" s="7"/>
      <c r="E134" s="7"/>
      <c r="F134" s="7"/>
      <c r="G134" s="7"/>
    </row>
    <row r="135" spans="4:7" x14ac:dyDescent="0.3">
      <c r="D135" s="7"/>
      <c r="E135" s="7"/>
      <c r="F135" s="7"/>
      <c r="G135" s="7"/>
    </row>
    <row r="136" spans="4:7" x14ac:dyDescent="0.3">
      <c r="D136" s="7"/>
      <c r="E136" s="7"/>
      <c r="F136" s="7"/>
      <c r="G136" s="7"/>
    </row>
    <row r="137" spans="4:7" x14ac:dyDescent="0.3">
      <c r="D137" s="7"/>
      <c r="E137" s="7"/>
      <c r="F137" s="7"/>
      <c r="G137" s="7"/>
    </row>
    <row r="138" spans="4:7" x14ac:dyDescent="0.3">
      <c r="D138" s="7"/>
      <c r="E138" s="7"/>
      <c r="F138" s="7"/>
      <c r="G138" s="7"/>
    </row>
    <row r="139" spans="4:7" x14ac:dyDescent="0.3">
      <c r="D139" s="7"/>
      <c r="E139" s="7"/>
      <c r="F139" s="7"/>
      <c r="G139" s="7"/>
    </row>
    <row r="140" spans="4:7" x14ac:dyDescent="0.3">
      <c r="D140" s="7"/>
      <c r="E140" s="7"/>
      <c r="F140" s="7"/>
      <c r="G140" s="7"/>
    </row>
    <row r="141" spans="4:7" x14ac:dyDescent="0.3">
      <c r="D141" s="7"/>
      <c r="E141" s="7"/>
      <c r="F141" s="7"/>
      <c r="G141" s="7"/>
    </row>
    <row r="142" spans="4:7" x14ac:dyDescent="0.3">
      <c r="D142" s="7"/>
      <c r="E142" s="7"/>
      <c r="F142" s="7"/>
      <c r="G142" s="7"/>
    </row>
    <row r="143" spans="4:7" x14ac:dyDescent="0.3">
      <c r="D143" s="7"/>
      <c r="E143" s="7"/>
      <c r="F143" s="7"/>
      <c r="G143" s="7"/>
    </row>
    <row r="144" spans="4:7" x14ac:dyDescent="0.3">
      <c r="D144" s="7"/>
      <c r="E144" s="7"/>
      <c r="F144" s="7"/>
      <c r="G144" s="7"/>
    </row>
    <row r="145" spans="4:7" x14ac:dyDescent="0.3">
      <c r="D145" s="7"/>
      <c r="E145" s="7"/>
      <c r="F145" s="7"/>
      <c r="G145" s="7"/>
    </row>
    <row r="146" spans="4:7" x14ac:dyDescent="0.3">
      <c r="D146" s="7"/>
      <c r="E146" s="7"/>
      <c r="F146" s="7"/>
      <c r="G146" s="7"/>
    </row>
    <row r="147" spans="4:7" x14ac:dyDescent="0.3">
      <c r="D147" s="7"/>
      <c r="E147" s="7"/>
      <c r="F147" s="7"/>
      <c r="G147" s="7"/>
    </row>
    <row r="148" spans="4:7" x14ac:dyDescent="0.3">
      <c r="D148" s="7"/>
      <c r="E148" s="7"/>
      <c r="F148" s="7"/>
      <c r="G148" s="7"/>
    </row>
    <row r="149" spans="4:7" x14ac:dyDescent="0.3">
      <c r="D149" s="7"/>
      <c r="E149" s="7"/>
      <c r="F149" s="7"/>
      <c r="G149" s="7"/>
    </row>
    <row r="150" spans="4:7" x14ac:dyDescent="0.3">
      <c r="D150" s="7"/>
      <c r="E150" s="7"/>
      <c r="F150" s="7"/>
      <c r="G150" s="7"/>
    </row>
    <row r="151" spans="4:7" x14ac:dyDescent="0.3">
      <c r="D151" s="7"/>
      <c r="E151" s="7"/>
      <c r="F151" s="7"/>
      <c r="G151" s="7"/>
    </row>
    <row r="152" spans="4:7" x14ac:dyDescent="0.3">
      <c r="D152" s="7"/>
      <c r="E152" s="7"/>
      <c r="F152" s="7"/>
      <c r="G152" s="7"/>
    </row>
    <row r="153" spans="4:7" x14ac:dyDescent="0.3">
      <c r="D153" s="7"/>
      <c r="E153" s="7"/>
      <c r="F153" s="7"/>
      <c r="G153" s="7"/>
    </row>
    <row r="154" spans="4:7" x14ac:dyDescent="0.3">
      <c r="D154" s="7"/>
      <c r="E154" s="7"/>
      <c r="F154" s="7"/>
      <c r="G154" s="7"/>
    </row>
    <row r="155" spans="4:7" x14ac:dyDescent="0.3">
      <c r="D155" s="7"/>
      <c r="E155" s="7"/>
      <c r="F155" s="7"/>
      <c r="G155" s="7"/>
    </row>
    <row r="156" spans="4:7" x14ac:dyDescent="0.3">
      <c r="D156" s="7"/>
      <c r="E156" s="7"/>
      <c r="F156" s="7"/>
      <c r="G156" s="7"/>
    </row>
    <row r="157" spans="4:7" x14ac:dyDescent="0.3">
      <c r="D157" s="7"/>
      <c r="E157" s="7"/>
      <c r="F157" s="7"/>
      <c r="G157" s="7"/>
    </row>
    <row r="158" spans="4:7" x14ac:dyDescent="0.3">
      <c r="D158" s="7"/>
      <c r="E158" s="7"/>
      <c r="F158" s="7"/>
      <c r="G158" s="7"/>
    </row>
    <row r="159" spans="4:7" x14ac:dyDescent="0.3">
      <c r="D159" s="7"/>
      <c r="E159" s="7"/>
      <c r="F159" s="7"/>
      <c r="G159" s="7"/>
    </row>
    <row r="160" spans="4:7" x14ac:dyDescent="0.3">
      <c r="D160" s="7"/>
      <c r="E160" s="7"/>
      <c r="F160" s="7"/>
      <c r="G160" s="7"/>
    </row>
    <row r="161" spans="4:7" x14ac:dyDescent="0.3">
      <c r="D161" s="7"/>
      <c r="E161" s="7"/>
      <c r="F161" s="7"/>
      <c r="G161" s="7"/>
    </row>
    <row r="162" spans="4:7" x14ac:dyDescent="0.3">
      <c r="D162" s="7"/>
      <c r="E162" s="7"/>
      <c r="F162" s="7"/>
      <c r="G162" s="7"/>
    </row>
    <row r="163" spans="4:7" x14ac:dyDescent="0.3">
      <c r="D163" s="7"/>
      <c r="E163" s="7"/>
      <c r="F163" s="7"/>
      <c r="G163" s="7"/>
    </row>
    <row r="164" spans="4:7" x14ac:dyDescent="0.3">
      <c r="D164" s="7"/>
      <c r="E164" s="7"/>
      <c r="F164" s="7"/>
      <c r="G164" s="7"/>
    </row>
    <row r="165" spans="4:7" x14ac:dyDescent="0.3">
      <c r="D165" s="7"/>
      <c r="E165" s="7"/>
      <c r="F165" s="7"/>
      <c r="G165" s="7"/>
    </row>
    <row r="166" spans="4:7" x14ac:dyDescent="0.3">
      <c r="D166" s="7"/>
      <c r="E166" s="7"/>
      <c r="F166" s="7"/>
      <c r="G166" s="7"/>
    </row>
    <row r="167" spans="4:7" x14ac:dyDescent="0.3">
      <c r="D167" s="7"/>
      <c r="E167" s="7"/>
      <c r="F167" s="7"/>
      <c r="G167" s="7"/>
    </row>
    <row r="168" spans="4:7" x14ac:dyDescent="0.3">
      <c r="D168" s="7"/>
      <c r="E168" s="7"/>
      <c r="F168" s="7"/>
      <c r="G168" s="7"/>
    </row>
    <row r="169" spans="4:7" x14ac:dyDescent="0.3">
      <c r="D169" s="7"/>
      <c r="E169" s="7"/>
      <c r="F169" s="7"/>
      <c r="G169" s="7"/>
    </row>
    <row r="170" spans="4:7" x14ac:dyDescent="0.3">
      <c r="D170" s="7"/>
      <c r="E170" s="7"/>
      <c r="F170" s="7"/>
      <c r="G170" s="7"/>
    </row>
    <row r="171" spans="4:7" x14ac:dyDescent="0.3">
      <c r="D171" s="7"/>
      <c r="E171" s="7"/>
      <c r="F171" s="7"/>
      <c r="G171" s="7"/>
    </row>
    <row r="172" spans="4:7" x14ac:dyDescent="0.3">
      <c r="D172" s="7"/>
      <c r="E172" s="7"/>
      <c r="F172" s="7"/>
      <c r="G172" s="7"/>
    </row>
    <row r="173" spans="4:7" x14ac:dyDescent="0.3">
      <c r="D173" s="7"/>
      <c r="E173" s="7"/>
      <c r="F173" s="7"/>
      <c r="G173" s="7"/>
    </row>
    <row r="174" spans="4:7" x14ac:dyDescent="0.3">
      <c r="D174" s="7"/>
      <c r="E174" s="7"/>
      <c r="F174" s="7"/>
      <c r="G174" s="7"/>
    </row>
    <row r="175" spans="4:7" x14ac:dyDescent="0.3">
      <c r="D175" s="7"/>
      <c r="E175" s="7"/>
      <c r="F175" s="7"/>
      <c r="G175" s="7"/>
    </row>
    <row r="176" spans="4:7" x14ac:dyDescent="0.3">
      <c r="D176" s="7"/>
      <c r="E176" s="7"/>
      <c r="F176" s="7"/>
      <c r="G176" s="7"/>
    </row>
    <row r="177" spans="4:7" x14ac:dyDescent="0.3">
      <c r="D177" s="7"/>
      <c r="E177" s="7"/>
      <c r="F177" s="7"/>
      <c r="G177" s="7"/>
    </row>
    <row r="178" spans="4:7" x14ac:dyDescent="0.3">
      <c r="D178" s="7"/>
      <c r="E178" s="7"/>
      <c r="F178" s="7"/>
      <c r="G178" s="7"/>
    </row>
    <row r="179" spans="4:7" x14ac:dyDescent="0.3">
      <c r="D179" s="7"/>
      <c r="E179" s="7"/>
      <c r="F179" s="7"/>
      <c r="G179" s="7"/>
    </row>
    <row r="180" spans="4:7" x14ac:dyDescent="0.3">
      <c r="D180" s="7"/>
      <c r="E180" s="7"/>
      <c r="F180" s="7"/>
      <c r="G180" s="7"/>
    </row>
    <row r="181" spans="4:7" x14ac:dyDescent="0.3">
      <c r="D181" s="7"/>
      <c r="E181" s="7"/>
      <c r="F181" s="7"/>
      <c r="G181" s="7"/>
    </row>
    <row r="182" spans="4:7" x14ac:dyDescent="0.3">
      <c r="D182" s="7"/>
      <c r="E182" s="7"/>
      <c r="F182" s="7"/>
      <c r="G182" s="7"/>
    </row>
    <row r="183" spans="4:7" x14ac:dyDescent="0.3">
      <c r="D183" s="7"/>
      <c r="E183" s="7"/>
      <c r="F183" s="7"/>
      <c r="G183" s="7"/>
    </row>
    <row r="184" spans="4:7" x14ac:dyDescent="0.3">
      <c r="D184" s="7"/>
      <c r="E184" s="7"/>
      <c r="F184" s="7"/>
      <c r="G184" s="7"/>
    </row>
    <row r="185" spans="4:7" x14ac:dyDescent="0.3">
      <c r="D185" s="7"/>
      <c r="E185" s="7"/>
      <c r="F185" s="7"/>
      <c r="G185" s="7"/>
    </row>
    <row r="186" spans="4:7" x14ac:dyDescent="0.3">
      <c r="D186" s="7"/>
      <c r="E186" s="7"/>
      <c r="F186" s="7"/>
      <c r="G186" s="7"/>
    </row>
    <row r="187" spans="4:7" x14ac:dyDescent="0.3">
      <c r="D187" s="7"/>
      <c r="E187" s="7"/>
      <c r="F187" s="7"/>
      <c r="G187" s="7"/>
    </row>
    <row r="188" spans="4:7" x14ac:dyDescent="0.3">
      <c r="D188" s="7"/>
      <c r="E188" s="7"/>
      <c r="F188" s="7"/>
      <c r="G188" s="7"/>
    </row>
    <row r="189" spans="4:7" x14ac:dyDescent="0.3">
      <c r="D189" s="7"/>
      <c r="E189" s="7"/>
      <c r="F189" s="7"/>
      <c r="G189" s="7"/>
    </row>
    <row r="190" spans="4:7" x14ac:dyDescent="0.3">
      <c r="D190" s="7"/>
      <c r="E190" s="7"/>
      <c r="F190" s="7"/>
      <c r="G190" s="7"/>
    </row>
    <row r="191" spans="4:7" x14ac:dyDescent="0.3">
      <c r="D191" s="7"/>
      <c r="E191" s="7"/>
      <c r="F191" s="7"/>
      <c r="G191" s="7"/>
    </row>
    <row r="192" spans="4:7" x14ac:dyDescent="0.3">
      <c r="D192" s="7"/>
      <c r="E192" s="7"/>
      <c r="F192" s="7"/>
      <c r="G192" s="7"/>
    </row>
    <row r="193" spans="4:7" x14ac:dyDescent="0.3">
      <c r="D193" s="7"/>
      <c r="E193" s="7"/>
      <c r="F193" s="7"/>
      <c r="G193" s="7"/>
    </row>
    <row r="194" spans="4:7" x14ac:dyDescent="0.3">
      <c r="D194" s="7"/>
      <c r="E194" s="7"/>
      <c r="F194" s="7"/>
      <c r="G194" s="7"/>
    </row>
    <row r="195" spans="4:7" x14ac:dyDescent="0.3">
      <c r="D195" s="7"/>
      <c r="E195" s="7"/>
      <c r="F195" s="7"/>
      <c r="G195" s="7"/>
    </row>
    <row r="196" spans="4:7" x14ac:dyDescent="0.3">
      <c r="D196" s="7"/>
      <c r="E196" s="7"/>
      <c r="F196" s="7"/>
      <c r="G196" s="7"/>
    </row>
    <row r="197" spans="4:7" x14ac:dyDescent="0.3">
      <c r="D197" s="7"/>
      <c r="E197" s="7"/>
      <c r="F197" s="7"/>
      <c r="G197" s="7"/>
    </row>
    <row r="198" spans="4:7" x14ac:dyDescent="0.3">
      <c r="D198" s="7"/>
      <c r="E198" s="7"/>
      <c r="F198" s="7"/>
      <c r="G198" s="7"/>
    </row>
    <row r="199" spans="4:7" x14ac:dyDescent="0.3">
      <c r="D199" s="7"/>
      <c r="E199" s="7"/>
      <c r="F199" s="7"/>
      <c r="G199" s="7"/>
    </row>
    <row r="200" spans="4:7" x14ac:dyDescent="0.3">
      <c r="D200" s="7"/>
      <c r="E200" s="7"/>
      <c r="F200" s="7"/>
      <c r="G200" s="7"/>
    </row>
    <row r="201" spans="4:7" x14ac:dyDescent="0.3">
      <c r="D201" s="7"/>
      <c r="E201" s="7"/>
      <c r="F201" s="7"/>
      <c r="G201" s="7"/>
    </row>
    <row r="202" spans="4:7" x14ac:dyDescent="0.3">
      <c r="D202" s="7"/>
      <c r="E202" s="7"/>
      <c r="F202" s="7"/>
      <c r="G202" s="7"/>
    </row>
    <row r="203" spans="4:7" x14ac:dyDescent="0.3">
      <c r="D203" s="7"/>
      <c r="E203" s="7"/>
      <c r="F203" s="7"/>
      <c r="G203" s="7"/>
    </row>
    <row r="204" spans="4:7" x14ac:dyDescent="0.3">
      <c r="D204" s="7"/>
      <c r="E204" s="7"/>
      <c r="F204" s="7"/>
      <c r="G204" s="7"/>
    </row>
    <row r="205" spans="4:7" x14ac:dyDescent="0.3">
      <c r="D205" s="7"/>
      <c r="E205" s="7"/>
      <c r="F205" s="7"/>
      <c r="G205" s="7"/>
    </row>
    <row r="206" spans="4:7" x14ac:dyDescent="0.3">
      <c r="D206" s="7"/>
      <c r="E206" s="7"/>
      <c r="F206" s="7"/>
      <c r="G206" s="7"/>
    </row>
    <row r="207" spans="4:7" x14ac:dyDescent="0.3">
      <c r="D207" s="7"/>
      <c r="E207" s="7"/>
      <c r="F207" s="7"/>
      <c r="G207" s="7"/>
    </row>
    <row r="208" spans="4:7" x14ac:dyDescent="0.3">
      <c r="D208" s="7"/>
      <c r="E208" s="7"/>
      <c r="F208" s="7"/>
      <c r="G208" s="7"/>
    </row>
    <row r="209" spans="4:7" x14ac:dyDescent="0.3">
      <c r="D209" s="7"/>
      <c r="E209" s="7"/>
      <c r="F209" s="7"/>
      <c r="G209" s="7"/>
    </row>
    <row r="210" spans="4:7" x14ac:dyDescent="0.3">
      <c r="D210" s="7"/>
      <c r="E210" s="7"/>
      <c r="F210" s="7"/>
      <c r="G210" s="7"/>
    </row>
    <row r="211" spans="4:7" x14ac:dyDescent="0.3">
      <c r="D211" s="7"/>
      <c r="E211" s="7"/>
      <c r="F211" s="7"/>
      <c r="G211" s="7"/>
    </row>
    <row r="212" spans="4:7" x14ac:dyDescent="0.3">
      <c r="D212" s="7"/>
      <c r="E212" s="7"/>
      <c r="F212" s="7"/>
      <c r="G212" s="7"/>
    </row>
    <row r="213" spans="4:7" x14ac:dyDescent="0.3">
      <c r="D213" s="7"/>
      <c r="E213" s="7"/>
      <c r="F213" s="7"/>
      <c r="G213" s="7"/>
    </row>
    <row r="214" spans="4:7" x14ac:dyDescent="0.3">
      <c r="D214" s="7"/>
      <c r="E214" s="7"/>
      <c r="F214" s="7"/>
      <c r="G214" s="7"/>
    </row>
    <row r="215" spans="4:7" x14ac:dyDescent="0.3">
      <c r="D215" s="7"/>
      <c r="E215" s="7"/>
      <c r="F215" s="7"/>
      <c r="G215" s="7"/>
    </row>
    <row r="216" spans="4:7" x14ac:dyDescent="0.3">
      <c r="D216" s="7"/>
      <c r="E216" s="7"/>
      <c r="F216" s="7"/>
      <c r="G216" s="7"/>
    </row>
    <row r="217" spans="4:7" x14ac:dyDescent="0.3">
      <c r="D217" s="7"/>
      <c r="E217" s="7"/>
      <c r="F217" s="7"/>
      <c r="G217" s="7"/>
    </row>
    <row r="218" spans="4:7" x14ac:dyDescent="0.3">
      <c r="D218" s="7"/>
      <c r="E218" s="7"/>
      <c r="F218" s="7"/>
      <c r="G218" s="7"/>
    </row>
    <row r="219" spans="4:7" x14ac:dyDescent="0.3">
      <c r="D219" s="7"/>
      <c r="E219" s="7"/>
      <c r="F219" s="7"/>
      <c r="G219" s="7"/>
    </row>
    <row r="220" spans="4:7" x14ac:dyDescent="0.3">
      <c r="D220" s="7"/>
      <c r="E220" s="7"/>
      <c r="F220" s="7"/>
      <c r="G220" s="7"/>
    </row>
    <row r="221" spans="4:7" x14ac:dyDescent="0.3">
      <c r="D221" s="7"/>
      <c r="E221" s="7"/>
      <c r="F221" s="7"/>
      <c r="G221" s="7"/>
    </row>
    <row r="222" spans="4:7" x14ac:dyDescent="0.3">
      <c r="D222" s="7"/>
      <c r="E222" s="7"/>
      <c r="F222" s="7"/>
      <c r="G222" s="7"/>
    </row>
    <row r="223" spans="4:7" x14ac:dyDescent="0.3">
      <c r="D223" s="7"/>
      <c r="E223" s="7"/>
      <c r="F223" s="7"/>
      <c r="G223" s="7"/>
    </row>
    <row r="224" spans="4:7" x14ac:dyDescent="0.3">
      <c r="D224" s="7"/>
      <c r="E224" s="7"/>
      <c r="F224" s="7"/>
      <c r="G224" s="7"/>
    </row>
    <row r="225" spans="4:7" x14ac:dyDescent="0.3">
      <c r="D225" s="7"/>
      <c r="E225" s="7"/>
      <c r="F225" s="7"/>
      <c r="G225" s="7"/>
    </row>
    <row r="226" spans="4:7" x14ac:dyDescent="0.3">
      <c r="D226" s="7"/>
      <c r="E226" s="7"/>
      <c r="F226" s="7"/>
      <c r="G226" s="7"/>
    </row>
    <row r="227" spans="4:7" x14ac:dyDescent="0.3">
      <c r="D227" s="7"/>
      <c r="E227" s="7"/>
      <c r="F227" s="7"/>
      <c r="G227" s="7"/>
    </row>
    <row r="228" spans="4:7" x14ac:dyDescent="0.3">
      <c r="D228" s="7"/>
      <c r="E228" s="7"/>
      <c r="F228" s="7"/>
      <c r="G228" s="7"/>
    </row>
    <row r="229" spans="4:7" x14ac:dyDescent="0.3">
      <c r="D229" s="7"/>
      <c r="E229" s="7"/>
      <c r="F229" s="7"/>
      <c r="G229" s="7"/>
    </row>
    <row r="230" spans="4:7" x14ac:dyDescent="0.3">
      <c r="D230" s="7"/>
      <c r="E230" s="7"/>
      <c r="F230" s="7"/>
      <c r="G230" s="7"/>
    </row>
    <row r="231" spans="4:7" x14ac:dyDescent="0.3">
      <c r="D231" s="7"/>
      <c r="E231" s="7"/>
      <c r="F231" s="7"/>
      <c r="G231" s="7"/>
    </row>
    <row r="232" spans="4:7" x14ac:dyDescent="0.3">
      <c r="D232" s="7"/>
      <c r="E232" s="7"/>
      <c r="F232" s="7"/>
      <c r="G232" s="7"/>
    </row>
    <row r="233" spans="4:7" x14ac:dyDescent="0.3">
      <c r="D233" s="7"/>
      <c r="E233" s="7"/>
      <c r="F233" s="7"/>
      <c r="G233" s="7"/>
    </row>
    <row r="234" spans="4:7" x14ac:dyDescent="0.3">
      <c r="D234" s="7"/>
      <c r="E234" s="7"/>
      <c r="F234" s="7"/>
      <c r="G234" s="7"/>
    </row>
    <row r="235" spans="4:7" x14ac:dyDescent="0.3">
      <c r="D235" s="7"/>
      <c r="E235" s="7"/>
      <c r="F235" s="7"/>
      <c r="G235" s="7"/>
    </row>
    <row r="236" spans="4:7" x14ac:dyDescent="0.3">
      <c r="D236" s="7"/>
      <c r="E236" s="7"/>
      <c r="F236" s="7"/>
      <c r="G236" s="7"/>
    </row>
    <row r="237" spans="4:7" x14ac:dyDescent="0.3">
      <c r="D237" s="7"/>
      <c r="E237" s="7"/>
      <c r="F237" s="7"/>
      <c r="G237" s="7"/>
    </row>
    <row r="238" spans="4:7" x14ac:dyDescent="0.3">
      <c r="D238" s="7"/>
      <c r="E238" s="7"/>
      <c r="F238" s="7"/>
      <c r="G238" s="7"/>
    </row>
    <row r="239" spans="4:7" x14ac:dyDescent="0.3">
      <c r="D239" s="7"/>
      <c r="E239" s="7"/>
      <c r="F239" s="7"/>
      <c r="G239" s="7"/>
    </row>
    <row r="240" spans="4:7" x14ac:dyDescent="0.3">
      <c r="D240" s="7"/>
      <c r="E240" s="7"/>
      <c r="F240" s="7"/>
      <c r="G240" s="7"/>
    </row>
    <row r="241" spans="4:7" x14ac:dyDescent="0.3">
      <c r="D241" s="7"/>
      <c r="E241" s="7"/>
      <c r="F241" s="7"/>
      <c r="G241" s="7"/>
    </row>
    <row r="242" spans="4:7" x14ac:dyDescent="0.3">
      <c r="D242" s="7"/>
      <c r="E242" s="7"/>
      <c r="F242" s="7"/>
      <c r="G242" s="7"/>
    </row>
    <row r="243" spans="4:7" x14ac:dyDescent="0.3">
      <c r="D243" s="7"/>
      <c r="E243" s="7"/>
      <c r="F243" s="7"/>
      <c r="G243" s="7"/>
    </row>
    <row r="244" spans="4:7" x14ac:dyDescent="0.3">
      <c r="D244" s="7"/>
      <c r="E244" s="7"/>
      <c r="F244" s="7"/>
      <c r="G244" s="7"/>
    </row>
    <row r="245" spans="4:7" x14ac:dyDescent="0.3">
      <c r="D245" s="7"/>
      <c r="E245" s="7"/>
      <c r="F245" s="7"/>
      <c r="G245" s="7"/>
    </row>
    <row r="246" spans="4:7" x14ac:dyDescent="0.3">
      <c r="D246" s="7"/>
      <c r="E246" s="7"/>
      <c r="F246" s="7"/>
      <c r="G246" s="7"/>
    </row>
    <row r="247" spans="4:7" x14ac:dyDescent="0.3">
      <c r="D247" s="7"/>
      <c r="E247" s="7"/>
      <c r="F247" s="7"/>
      <c r="G247" s="7"/>
    </row>
    <row r="248" spans="4:7" x14ac:dyDescent="0.3">
      <c r="D248" s="7"/>
      <c r="E248" s="7"/>
      <c r="F248" s="7"/>
      <c r="G248" s="7"/>
    </row>
    <row r="249" spans="4:7" x14ac:dyDescent="0.3">
      <c r="D249" s="7"/>
      <c r="E249" s="7"/>
      <c r="F249" s="7"/>
      <c r="G249" s="7"/>
    </row>
    <row r="250" spans="4:7" x14ac:dyDescent="0.3">
      <c r="D250" s="7"/>
      <c r="E250" s="7"/>
      <c r="F250" s="7"/>
      <c r="G250" s="7"/>
    </row>
    <row r="251" spans="4:7" x14ac:dyDescent="0.3">
      <c r="D251" s="7"/>
      <c r="E251" s="7"/>
      <c r="F251" s="7"/>
      <c r="G251" s="7"/>
    </row>
    <row r="252" spans="4:7" x14ac:dyDescent="0.3">
      <c r="D252" s="7"/>
      <c r="E252" s="7"/>
      <c r="F252" s="7"/>
      <c r="G252" s="7"/>
    </row>
    <row r="253" spans="4:7" x14ac:dyDescent="0.3">
      <c r="D253" s="7"/>
      <c r="E253" s="7"/>
      <c r="F253" s="7"/>
      <c r="G253" s="7"/>
    </row>
    <row r="254" spans="4:7" x14ac:dyDescent="0.3">
      <c r="D254" s="7"/>
      <c r="E254" s="7"/>
      <c r="F254" s="7"/>
      <c r="G254" s="7"/>
    </row>
    <row r="255" spans="4:7" x14ac:dyDescent="0.3">
      <c r="D255" s="7"/>
      <c r="E255" s="7"/>
      <c r="F255" s="7"/>
      <c r="G255" s="7"/>
    </row>
    <row r="256" spans="4:7" x14ac:dyDescent="0.3">
      <c r="D256" s="7"/>
      <c r="E256" s="7"/>
      <c r="F256" s="7"/>
      <c r="G256" s="7"/>
    </row>
    <row r="257" spans="4:7" x14ac:dyDescent="0.3">
      <c r="D257" s="7"/>
      <c r="E257" s="7"/>
      <c r="F257" s="7"/>
      <c r="G257" s="7"/>
    </row>
    <row r="258" spans="4:7" x14ac:dyDescent="0.3">
      <c r="D258" s="7"/>
      <c r="E258" s="7"/>
      <c r="F258" s="7"/>
      <c r="G258" s="7"/>
    </row>
    <row r="259" spans="4:7" x14ac:dyDescent="0.3">
      <c r="D259" s="7"/>
      <c r="E259" s="7"/>
      <c r="F259" s="7"/>
      <c r="G259" s="7"/>
    </row>
    <row r="260" spans="4:7" x14ac:dyDescent="0.3">
      <c r="D260" s="7"/>
      <c r="E260" s="7"/>
      <c r="F260" s="7"/>
      <c r="G260" s="7"/>
    </row>
    <row r="261" spans="4:7" x14ac:dyDescent="0.3">
      <c r="D261" s="7"/>
      <c r="E261" s="7"/>
      <c r="F261" s="7"/>
      <c r="G261" s="7"/>
    </row>
    <row r="262" spans="4:7" x14ac:dyDescent="0.3">
      <c r="D262" s="7"/>
      <c r="E262" s="7"/>
      <c r="F262" s="7"/>
      <c r="G262" s="7"/>
    </row>
    <row r="263" spans="4:7" x14ac:dyDescent="0.3">
      <c r="D263" s="7"/>
      <c r="E263" s="7"/>
      <c r="F263" s="7"/>
      <c r="G263" s="7"/>
    </row>
    <row r="264" spans="4:7" x14ac:dyDescent="0.3">
      <c r="D264" s="7"/>
      <c r="E264" s="7"/>
      <c r="F264" s="7"/>
      <c r="G264" s="7"/>
    </row>
    <row r="265" spans="4:7" x14ac:dyDescent="0.3">
      <c r="D265" s="7"/>
      <c r="E265" s="7"/>
      <c r="F265" s="7"/>
      <c r="G265" s="7"/>
    </row>
    <row r="266" spans="4:7" x14ac:dyDescent="0.3">
      <c r="D266" s="7"/>
      <c r="E266" s="7"/>
      <c r="F266" s="7"/>
      <c r="G266" s="7"/>
    </row>
    <row r="267" spans="4:7" x14ac:dyDescent="0.3">
      <c r="D267" s="7"/>
      <c r="E267" s="7"/>
      <c r="F267" s="7"/>
      <c r="G267" s="7"/>
    </row>
    <row r="268" spans="4:7" x14ac:dyDescent="0.3">
      <c r="D268" s="7"/>
      <c r="E268" s="7"/>
      <c r="F268" s="7"/>
      <c r="G268" s="7"/>
    </row>
    <row r="269" spans="4:7" x14ac:dyDescent="0.3">
      <c r="D269" s="7"/>
      <c r="E269" s="7"/>
      <c r="F269" s="7"/>
      <c r="G269" s="7"/>
    </row>
    <row r="270" spans="4:7" x14ac:dyDescent="0.3">
      <c r="D270" s="7"/>
      <c r="E270" s="7"/>
      <c r="F270" s="7"/>
      <c r="G270" s="7"/>
    </row>
    <row r="271" spans="4:7" x14ac:dyDescent="0.3">
      <c r="D271" s="7"/>
      <c r="E271" s="7"/>
      <c r="F271" s="7"/>
      <c r="G271" s="7"/>
    </row>
    <row r="272" spans="4:7" x14ac:dyDescent="0.3">
      <c r="D272" s="7"/>
      <c r="E272" s="7"/>
      <c r="F272" s="7"/>
      <c r="G272" s="7"/>
    </row>
    <row r="273" spans="4:7" x14ac:dyDescent="0.3">
      <c r="D273" s="7"/>
      <c r="E273" s="7"/>
      <c r="F273" s="7"/>
      <c r="G273" s="7"/>
    </row>
    <row r="274" spans="4:7" x14ac:dyDescent="0.3">
      <c r="D274" s="7"/>
      <c r="E274" s="7"/>
      <c r="F274" s="7"/>
      <c r="G274" s="7"/>
    </row>
    <row r="275" spans="4:7" x14ac:dyDescent="0.3">
      <c r="D275" s="7"/>
      <c r="E275" s="7"/>
      <c r="F275" s="7"/>
      <c r="G275" s="7"/>
    </row>
    <row r="276" spans="4:7" x14ac:dyDescent="0.3">
      <c r="D276" s="7"/>
      <c r="E276" s="7"/>
      <c r="F276" s="7"/>
      <c r="G276" s="7"/>
    </row>
    <row r="277" spans="4:7" x14ac:dyDescent="0.3">
      <c r="D277" s="7"/>
      <c r="E277" s="7"/>
      <c r="F277" s="7"/>
      <c r="G277" s="7"/>
    </row>
    <row r="278" spans="4:7" x14ac:dyDescent="0.3">
      <c r="D278" s="7"/>
      <c r="E278" s="7"/>
      <c r="F278" s="7"/>
      <c r="G278" s="7"/>
    </row>
    <row r="279" spans="4:7" x14ac:dyDescent="0.3">
      <c r="D279" s="7"/>
      <c r="E279" s="7"/>
      <c r="F279" s="7"/>
      <c r="G279" s="7"/>
    </row>
    <row r="280" spans="4:7" x14ac:dyDescent="0.3">
      <c r="D280" s="7"/>
      <c r="E280" s="7"/>
      <c r="F280" s="7"/>
      <c r="G280" s="7"/>
    </row>
    <row r="281" spans="4:7" x14ac:dyDescent="0.3">
      <c r="D281" s="7"/>
      <c r="E281" s="7"/>
      <c r="F281" s="7"/>
      <c r="G281" s="7"/>
    </row>
    <row r="282" spans="4:7" x14ac:dyDescent="0.3">
      <c r="D282" s="7"/>
      <c r="E282" s="7"/>
      <c r="F282" s="7"/>
      <c r="G282" s="7"/>
    </row>
    <row r="283" spans="4:7" x14ac:dyDescent="0.3">
      <c r="D283" s="7"/>
      <c r="E283" s="7"/>
      <c r="F283" s="7"/>
      <c r="G283" s="7"/>
    </row>
    <row r="284" spans="4:7" x14ac:dyDescent="0.3">
      <c r="D284" s="7"/>
      <c r="E284" s="7"/>
      <c r="F284" s="7"/>
      <c r="G284" s="7"/>
    </row>
    <row r="285" spans="4:7" x14ac:dyDescent="0.3">
      <c r="D285" s="7"/>
      <c r="E285" s="7"/>
      <c r="F285" s="7"/>
      <c r="G285" s="7"/>
    </row>
    <row r="286" spans="4:7" x14ac:dyDescent="0.3">
      <c r="D286" s="7"/>
      <c r="E286" s="7"/>
      <c r="F286" s="7"/>
      <c r="G286" s="7"/>
    </row>
    <row r="287" spans="4:7" x14ac:dyDescent="0.3">
      <c r="D287" s="7"/>
      <c r="E287" s="7"/>
      <c r="F287" s="7"/>
      <c r="G287" s="7"/>
    </row>
    <row r="288" spans="4:7" x14ac:dyDescent="0.3">
      <c r="D288" s="7"/>
      <c r="E288" s="7"/>
      <c r="F288" s="7"/>
      <c r="G288" s="7"/>
    </row>
    <row r="289" spans="4:7" x14ac:dyDescent="0.3">
      <c r="D289" s="7"/>
      <c r="E289" s="7"/>
      <c r="F289" s="7"/>
      <c r="G289" s="7"/>
    </row>
    <row r="290" spans="4:7" x14ac:dyDescent="0.3">
      <c r="D290" s="7"/>
      <c r="E290" s="7"/>
      <c r="F290" s="7"/>
      <c r="G290" s="7"/>
    </row>
    <row r="291" spans="4:7" x14ac:dyDescent="0.3">
      <c r="D291" s="7"/>
      <c r="E291" s="7"/>
      <c r="F291" s="7"/>
      <c r="G291" s="7"/>
    </row>
    <row r="292" spans="4:7" x14ac:dyDescent="0.3">
      <c r="D292" s="7"/>
      <c r="E292" s="7"/>
      <c r="F292" s="7"/>
      <c r="G292" s="7"/>
    </row>
    <row r="293" spans="4:7" x14ac:dyDescent="0.3">
      <c r="D293" s="7"/>
      <c r="E293" s="7"/>
      <c r="F293" s="7"/>
      <c r="G293" s="7"/>
    </row>
    <row r="294" spans="4:7" x14ac:dyDescent="0.3">
      <c r="D294" s="7"/>
      <c r="E294" s="7"/>
      <c r="F294" s="7"/>
      <c r="G294" s="7"/>
    </row>
    <row r="295" spans="4:7" x14ac:dyDescent="0.3">
      <c r="D295" s="7"/>
      <c r="E295" s="7"/>
      <c r="F295" s="7"/>
      <c r="G295" s="7"/>
    </row>
    <row r="296" spans="4:7" x14ac:dyDescent="0.3">
      <c r="D296" s="7"/>
      <c r="E296" s="7"/>
      <c r="F296" s="7"/>
      <c r="G296" s="7"/>
    </row>
    <row r="297" spans="4:7" x14ac:dyDescent="0.3">
      <c r="D297" s="7"/>
      <c r="E297" s="7"/>
      <c r="F297" s="7"/>
      <c r="G297" s="7"/>
    </row>
    <row r="298" spans="4:7" x14ac:dyDescent="0.3">
      <c r="D298" s="7"/>
      <c r="E298" s="7"/>
      <c r="F298" s="7"/>
      <c r="G298" s="7"/>
    </row>
    <row r="299" spans="4:7" x14ac:dyDescent="0.3">
      <c r="D299" s="7"/>
      <c r="E299" s="7"/>
      <c r="F299" s="7"/>
      <c r="G299" s="7"/>
    </row>
    <row r="300" spans="4:7" x14ac:dyDescent="0.3">
      <c r="D300" s="7"/>
      <c r="E300" s="7"/>
      <c r="F300" s="7"/>
      <c r="G300" s="7"/>
    </row>
    <row r="301" spans="4:7" x14ac:dyDescent="0.3">
      <c r="D301" s="7"/>
      <c r="E301" s="7"/>
      <c r="F301" s="7"/>
      <c r="G301" s="7"/>
    </row>
    <row r="302" spans="4:7" x14ac:dyDescent="0.3">
      <c r="D302" s="7"/>
      <c r="E302" s="7"/>
      <c r="F302" s="7"/>
      <c r="G302" s="7"/>
    </row>
    <row r="303" spans="4:7" x14ac:dyDescent="0.3">
      <c r="D303" s="7"/>
      <c r="E303" s="7"/>
      <c r="F303" s="7"/>
      <c r="G303" s="7"/>
    </row>
    <row r="304" spans="4:7" x14ac:dyDescent="0.3">
      <c r="D304" s="7"/>
      <c r="E304" s="7"/>
      <c r="F304" s="7"/>
      <c r="G304" s="7"/>
    </row>
    <row r="305" spans="4:7" x14ac:dyDescent="0.3">
      <c r="D305" s="7"/>
      <c r="E305" s="7"/>
      <c r="F305" s="7"/>
      <c r="G305" s="7"/>
    </row>
    <row r="306" spans="4:7" x14ac:dyDescent="0.3">
      <c r="D306" s="7"/>
      <c r="E306" s="7"/>
      <c r="F306" s="7"/>
      <c r="G306" s="7"/>
    </row>
    <row r="307" spans="4:7" x14ac:dyDescent="0.3">
      <c r="D307" s="7"/>
      <c r="E307" s="7"/>
      <c r="F307" s="7"/>
      <c r="G307" s="7"/>
    </row>
    <row r="308" spans="4:7" x14ac:dyDescent="0.3">
      <c r="D308" s="7"/>
      <c r="E308" s="7"/>
      <c r="F308" s="7"/>
      <c r="G308" s="7"/>
    </row>
    <row r="309" spans="4:7" x14ac:dyDescent="0.3">
      <c r="D309" s="7"/>
      <c r="E309" s="7"/>
      <c r="F309" s="7"/>
      <c r="G309" s="7"/>
    </row>
    <row r="310" spans="4:7" x14ac:dyDescent="0.3">
      <c r="D310" s="7"/>
      <c r="E310" s="7"/>
      <c r="F310" s="7"/>
      <c r="G310" s="7"/>
    </row>
    <row r="311" spans="4:7" x14ac:dyDescent="0.3">
      <c r="D311" s="7"/>
      <c r="E311" s="7"/>
      <c r="F311" s="7"/>
      <c r="G311" s="7"/>
    </row>
    <row r="312" spans="4:7" x14ac:dyDescent="0.3">
      <c r="D312" s="7"/>
      <c r="E312" s="7"/>
      <c r="F312" s="7"/>
      <c r="G312" s="7"/>
    </row>
    <row r="313" spans="4:7" x14ac:dyDescent="0.3">
      <c r="D313" s="7"/>
      <c r="E313" s="7"/>
      <c r="F313" s="7"/>
      <c r="G313" s="7"/>
    </row>
    <row r="314" spans="4:7" x14ac:dyDescent="0.3">
      <c r="D314" s="7"/>
      <c r="E314" s="7"/>
      <c r="F314" s="7"/>
      <c r="G314" s="7"/>
    </row>
    <row r="315" spans="4:7" x14ac:dyDescent="0.3">
      <c r="D315" s="7"/>
      <c r="E315" s="7"/>
      <c r="F315" s="7"/>
      <c r="G315" s="7"/>
    </row>
    <row r="316" spans="4:7" x14ac:dyDescent="0.3">
      <c r="D316" s="7"/>
      <c r="E316" s="7"/>
      <c r="F316" s="7"/>
      <c r="G316" s="7"/>
    </row>
    <row r="317" spans="4:7" x14ac:dyDescent="0.3">
      <c r="D317" s="7"/>
      <c r="E317" s="7"/>
      <c r="F317" s="7"/>
      <c r="G317" s="7"/>
    </row>
    <row r="318" spans="4:7" x14ac:dyDescent="0.3">
      <c r="D318" s="7"/>
      <c r="E318" s="7"/>
      <c r="F318" s="7"/>
      <c r="G318" s="7"/>
    </row>
    <row r="319" spans="4:7" x14ac:dyDescent="0.3">
      <c r="D319" s="7"/>
      <c r="E319" s="7"/>
      <c r="F319" s="7"/>
      <c r="G319" s="7"/>
    </row>
    <row r="320" spans="4:7" x14ac:dyDescent="0.3">
      <c r="D320" s="7"/>
      <c r="E320" s="7"/>
      <c r="F320" s="7"/>
      <c r="G320" s="7"/>
    </row>
    <row r="321" spans="4:7" x14ac:dyDescent="0.3">
      <c r="D321" s="7"/>
      <c r="E321" s="7"/>
      <c r="F321" s="7"/>
      <c r="G321" s="7"/>
    </row>
    <row r="322" spans="4:7" x14ac:dyDescent="0.3">
      <c r="D322" s="7"/>
      <c r="E322" s="7"/>
      <c r="F322" s="7"/>
      <c r="G322" s="7"/>
    </row>
    <row r="323" spans="4:7" x14ac:dyDescent="0.3">
      <c r="D323" s="7"/>
      <c r="E323" s="7"/>
      <c r="F323" s="7"/>
      <c r="G323" s="7"/>
    </row>
    <row r="324" spans="4:7" x14ac:dyDescent="0.3">
      <c r="D324" s="7"/>
      <c r="E324" s="7"/>
      <c r="F324" s="7"/>
      <c r="G324" s="7"/>
    </row>
    <row r="325" spans="4:7" x14ac:dyDescent="0.3">
      <c r="D325" s="7"/>
      <c r="E325" s="7"/>
      <c r="F325" s="7"/>
      <c r="G325" s="7"/>
    </row>
    <row r="326" spans="4:7" x14ac:dyDescent="0.3">
      <c r="D326" s="7"/>
      <c r="E326" s="7"/>
      <c r="F326" s="7"/>
      <c r="G326" s="7"/>
    </row>
    <row r="327" spans="4:7" x14ac:dyDescent="0.3">
      <c r="D327" s="7"/>
      <c r="E327" s="7"/>
      <c r="F327" s="7"/>
      <c r="G327" s="7"/>
    </row>
    <row r="328" spans="4:7" x14ac:dyDescent="0.3">
      <c r="D328" s="7"/>
      <c r="E328" s="7"/>
      <c r="F328" s="7"/>
      <c r="G328" s="7"/>
    </row>
    <row r="329" spans="4:7" x14ac:dyDescent="0.3">
      <c r="D329" s="7"/>
      <c r="E329" s="7"/>
      <c r="F329" s="7"/>
      <c r="G329" s="7"/>
    </row>
    <row r="330" spans="4:7" x14ac:dyDescent="0.3">
      <c r="D330" s="7"/>
      <c r="E330" s="7"/>
      <c r="F330" s="7"/>
      <c r="G330" s="7"/>
    </row>
    <row r="331" spans="4:7" x14ac:dyDescent="0.3">
      <c r="D331" s="7"/>
      <c r="E331" s="7"/>
      <c r="F331" s="7"/>
      <c r="G331" s="7"/>
    </row>
    <row r="332" spans="4:7" x14ac:dyDescent="0.3">
      <c r="D332" s="7"/>
      <c r="E332" s="7"/>
      <c r="F332" s="7"/>
      <c r="G332" s="7"/>
    </row>
    <row r="333" spans="4:7" x14ac:dyDescent="0.3">
      <c r="D333" s="7"/>
      <c r="E333" s="7"/>
      <c r="F333" s="7"/>
      <c r="G333" s="7"/>
    </row>
    <row r="334" spans="4:7" x14ac:dyDescent="0.3">
      <c r="D334" s="7"/>
      <c r="E334" s="7"/>
      <c r="F334" s="7"/>
      <c r="G334" s="7"/>
    </row>
    <row r="335" spans="4:7" x14ac:dyDescent="0.3">
      <c r="D335" s="7"/>
      <c r="E335" s="7"/>
      <c r="F335" s="7"/>
      <c r="G335" s="7"/>
    </row>
    <row r="336" spans="4:7" x14ac:dyDescent="0.3">
      <c r="D336" s="7"/>
      <c r="E336" s="7"/>
      <c r="F336" s="7"/>
      <c r="G336" s="7"/>
    </row>
    <row r="337" spans="4:7" x14ac:dyDescent="0.3">
      <c r="D337" s="7"/>
      <c r="E337" s="7"/>
      <c r="F337" s="7"/>
      <c r="G337" s="7"/>
    </row>
    <row r="338" spans="4:7" x14ac:dyDescent="0.3">
      <c r="D338" s="7"/>
      <c r="E338" s="7"/>
      <c r="F338" s="7"/>
      <c r="G338" s="7"/>
    </row>
    <row r="339" spans="4:7" x14ac:dyDescent="0.3">
      <c r="D339" s="7"/>
      <c r="E339" s="7"/>
      <c r="F339" s="7"/>
      <c r="G339" s="7"/>
    </row>
    <row r="340" spans="4:7" x14ac:dyDescent="0.3">
      <c r="D340" s="7"/>
      <c r="E340" s="7"/>
      <c r="F340" s="7"/>
      <c r="G340" s="7"/>
    </row>
    <row r="341" spans="4:7" x14ac:dyDescent="0.3">
      <c r="D341" s="7"/>
      <c r="E341" s="7"/>
      <c r="F341" s="7"/>
      <c r="G341" s="7"/>
    </row>
    <row r="342" spans="4:7" x14ac:dyDescent="0.3">
      <c r="D342" s="7"/>
      <c r="E342" s="7"/>
      <c r="F342" s="7"/>
      <c r="G342" s="7"/>
    </row>
    <row r="343" spans="4:7" x14ac:dyDescent="0.3">
      <c r="D343" s="7"/>
      <c r="E343" s="7"/>
      <c r="F343" s="7"/>
      <c r="G343" s="7"/>
    </row>
    <row r="344" spans="4:7" x14ac:dyDescent="0.3">
      <c r="D344" s="7"/>
      <c r="E344" s="7"/>
      <c r="F344" s="7"/>
      <c r="G344" s="7"/>
    </row>
    <row r="345" spans="4:7" x14ac:dyDescent="0.3">
      <c r="D345" s="7"/>
      <c r="E345" s="7"/>
      <c r="F345" s="7"/>
      <c r="G345" s="7"/>
    </row>
    <row r="346" spans="4:7" x14ac:dyDescent="0.3">
      <c r="D346" s="7"/>
      <c r="E346" s="7"/>
      <c r="F346" s="7"/>
      <c r="G346" s="7"/>
    </row>
    <row r="347" spans="4:7" x14ac:dyDescent="0.3">
      <c r="D347" s="7"/>
      <c r="E347" s="7"/>
      <c r="F347" s="7"/>
      <c r="G347" s="7"/>
    </row>
    <row r="348" spans="4:7" x14ac:dyDescent="0.3">
      <c r="D348" s="7"/>
      <c r="E348" s="7"/>
      <c r="F348" s="7"/>
      <c r="G348" s="7"/>
    </row>
    <row r="349" spans="4:7" x14ac:dyDescent="0.3">
      <c r="D349" s="7"/>
      <c r="E349" s="7"/>
      <c r="F349" s="7"/>
      <c r="G349" s="7"/>
    </row>
    <row r="350" spans="4:7" x14ac:dyDescent="0.3">
      <c r="D350" s="7"/>
      <c r="E350" s="7"/>
      <c r="F350" s="7"/>
      <c r="G350" s="7"/>
    </row>
    <row r="351" spans="4:7" x14ac:dyDescent="0.3">
      <c r="D351" s="7"/>
      <c r="E351" s="7"/>
      <c r="F351" s="7"/>
      <c r="G351" s="7"/>
    </row>
    <row r="352" spans="4:7" x14ac:dyDescent="0.3">
      <c r="D352" s="7"/>
      <c r="E352" s="7"/>
      <c r="F352" s="7"/>
      <c r="G352" s="7"/>
    </row>
    <row r="353" spans="4:7" x14ac:dyDescent="0.3">
      <c r="D353" s="7"/>
      <c r="E353" s="7"/>
      <c r="F353" s="7"/>
      <c r="G353" s="7"/>
    </row>
    <row r="354" spans="4:7" x14ac:dyDescent="0.3">
      <c r="D354" s="7"/>
      <c r="E354" s="7"/>
      <c r="F354" s="7"/>
      <c r="G354" s="7"/>
    </row>
    <row r="355" spans="4:7" x14ac:dyDescent="0.3">
      <c r="D355" s="7"/>
      <c r="E355" s="7"/>
      <c r="F355" s="7"/>
      <c r="G355" s="7"/>
    </row>
    <row r="356" spans="4:7" x14ac:dyDescent="0.3">
      <c r="D356" s="7"/>
      <c r="E356" s="7"/>
      <c r="F356" s="7"/>
      <c r="G356" s="7"/>
    </row>
    <row r="357" spans="4:7" x14ac:dyDescent="0.3">
      <c r="D357" s="7"/>
      <c r="E357" s="7"/>
      <c r="F357" s="7"/>
      <c r="G357" s="7"/>
    </row>
    <row r="358" spans="4:7" x14ac:dyDescent="0.3">
      <c r="D358" s="7"/>
      <c r="E358" s="7"/>
      <c r="F358" s="7"/>
      <c r="G358" s="7"/>
    </row>
    <row r="359" spans="4:7" x14ac:dyDescent="0.3">
      <c r="D359" s="7"/>
      <c r="E359" s="7"/>
      <c r="F359" s="7"/>
      <c r="G359" s="7"/>
    </row>
    <row r="360" spans="4:7" x14ac:dyDescent="0.3">
      <c r="D360" s="7"/>
      <c r="E360" s="7"/>
      <c r="F360" s="7"/>
      <c r="G360" s="7"/>
    </row>
    <row r="361" spans="4:7" x14ac:dyDescent="0.3">
      <c r="D361" s="7"/>
      <c r="E361" s="7"/>
      <c r="F361" s="7"/>
      <c r="G361" s="7"/>
    </row>
    <row r="362" spans="4:7" x14ac:dyDescent="0.3">
      <c r="D362" s="7"/>
      <c r="E362" s="7"/>
      <c r="F362" s="7"/>
      <c r="G362" s="7"/>
    </row>
    <row r="363" spans="4:7" x14ac:dyDescent="0.3">
      <c r="D363" s="7"/>
      <c r="E363" s="7"/>
      <c r="F363" s="7"/>
      <c r="G363" s="7"/>
    </row>
    <row r="364" spans="4:7" x14ac:dyDescent="0.3">
      <c r="D364" s="7"/>
      <c r="E364" s="7"/>
      <c r="F364" s="7"/>
      <c r="G364" s="7"/>
    </row>
    <row r="365" spans="4:7" x14ac:dyDescent="0.3">
      <c r="D365" s="7"/>
      <c r="E365" s="7"/>
      <c r="F365" s="7"/>
      <c r="G365" s="7"/>
    </row>
    <row r="366" spans="4:7" x14ac:dyDescent="0.3">
      <c r="D366" s="7"/>
      <c r="E366" s="7"/>
      <c r="F366" s="7"/>
      <c r="G366" s="7"/>
    </row>
    <row r="367" spans="4:7" x14ac:dyDescent="0.3">
      <c r="D367" s="7"/>
      <c r="E367" s="7"/>
      <c r="F367" s="7"/>
      <c r="G367" s="7"/>
    </row>
    <row r="368" spans="4:7" x14ac:dyDescent="0.3">
      <c r="D368" s="7"/>
      <c r="E368" s="7"/>
      <c r="F368" s="7"/>
      <c r="G368" s="7"/>
    </row>
    <row r="369" spans="4:7" x14ac:dyDescent="0.3">
      <c r="D369" s="7"/>
      <c r="E369" s="7"/>
      <c r="F369" s="7"/>
      <c r="G369" s="7"/>
    </row>
    <row r="370" spans="4:7" x14ac:dyDescent="0.3">
      <c r="D370" s="7"/>
      <c r="E370" s="7"/>
      <c r="F370" s="7"/>
      <c r="G370" s="7"/>
    </row>
    <row r="371" spans="4:7" x14ac:dyDescent="0.3">
      <c r="D371" s="7"/>
      <c r="E371" s="7"/>
      <c r="F371" s="7"/>
      <c r="G371" s="7"/>
    </row>
    <row r="372" spans="4:7" x14ac:dyDescent="0.3">
      <c r="D372" s="7"/>
      <c r="E372" s="7"/>
      <c r="F372" s="7"/>
      <c r="G372" s="7"/>
    </row>
    <row r="373" spans="4:7" x14ac:dyDescent="0.3">
      <c r="D373" s="7"/>
      <c r="E373" s="7"/>
      <c r="F373" s="7"/>
      <c r="G373" s="7"/>
    </row>
    <row r="374" spans="4:7" x14ac:dyDescent="0.3">
      <c r="D374" s="7"/>
      <c r="E374" s="7"/>
      <c r="F374" s="7"/>
      <c r="G374" s="7"/>
    </row>
    <row r="375" spans="4:7" x14ac:dyDescent="0.3">
      <c r="D375" s="7"/>
      <c r="E375" s="7"/>
      <c r="F375" s="7"/>
      <c r="G375" s="7"/>
    </row>
    <row r="376" spans="4:7" x14ac:dyDescent="0.3">
      <c r="D376" s="7"/>
      <c r="E376" s="7"/>
      <c r="F376" s="7"/>
      <c r="G376" s="7"/>
    </row>
    <row r="377" spans="4:7" x14ac:dyDescent="0.3">
      <c r="D377" s="7"/>
      <c r="E377" s="7"/>
      <c r="F377" s="7"/>
      <c r="G377" s="7"/>
    </row>
    <row r="378" spans="4:7" x14ac:dyDescent="0.3">
      <c r="D378" s="7"/>
      <c r="E378" s="7"/>
      <c r="F378" s="7"/>
      <c r="G378" s="7"/>
    </row>
    <row r="379" spans="4:7" x14ac:dyDescent="0.3">
      <c r="D379" s="7"/>
      <c r="E379" s="7"/>
      <c r="F379" s="7"/>
      <c r="G379" s="7"/>
    </row>
    <row r="380" spans="4:7" x14ac:dyDescent="0.3">
      <c r="D380" s="7"/>
      <c r="E380" s="7"/>
      <c r="F380" s="7"/>
      <c r="G380" s="7"/>
    </row>
    <row r="381" spans="4:7" x14ac:dyDescent="0.3">
      <c r="D381" s="7"/>
      <c r="E381" s="7"/>
      <c r="F381" s="7"/>
      <c r="G381" s="7"/>
    </row>
    <row r="382" spans="4:7" x14ac:dyDescent="0.3">
      <c r="D382" s="7"/>
      <c r="E382" s="7"/>
      <c r="F382" s="7"/>
      <c r="G382" s="7"/>
    </row>
    <row r="383" spans="4:7" x14ac:dyDescent="0.3">
      <c r="D383" s="7"/>
      <c r="E383" s="7"/>
      <c r="F383" s="7"/>
      <c r="G383" s="7"/>
    </row>
    <row r="384" spans="4:7" x14ac:dyDescent="0.3">
      <c r="D384" s="7"/>
      <c r="E384" s="7"/>
      <c r="F384" s="7"/>
      <c r="G384" s="7"/>
    </row>
    <row r="385" spans="4:7" x14ac:dyDescent="0.3">
      <c r="D385" s="7"/>
      <c r="E385" s="7"/>
      <c r="F385" s="7"/>
      <c r="G385" s="7"/>
    </row>
    <row r="386" spans="4:7" x14ac:dyDescent="0.3">
      <c r="D386" s="7"/>
      <c r="E386" s="7"/>
      <c r="F386" s="7"/>
      <c r="G386" s="7"/>
    </row>
    <row r="387" spans="4:7" x14ac:dyDescent="0.3">
      <c r="D387" s="7"/>
      <c r="E387" s="7"/>
      <c r="F387" s="7"/>
      <c r="G387" s="7"/>
    </row>
    <row r="388" spans="4:7" x14ac:dyDescent="0.3">
      <c r="D388" s="7"/>
      <c r="E388" s="7"/>
      <c r="F388" s="7"/>
      <c r="G388" s="7"/>
    </row>
    <row r="389" spans="4:7" x14ac:dyDescent="0.3">
      <c r="D389" s="7"/>
      <c r="E389" s="7"/>
      <c r="F389" s="7"/>
      <c r="G389" s="7"/>
    </row>
    <row r="390" spans="4:7" x14ac:dyDescent="0.3">
      <c r="D390" s="7"/>
      <c r="E390" s="7"/>
      <c r="F390" s="7"/>
      <c r="G390" s="7"/>
    </row>
    <row r="391" spans="4:7" x14ac:dyDescent="0.3">
      <c r="D391" s="7"/>
      <c r="E391" s="7"/>
      <c r="F391" s="7"/>
      <c r="G391" s="7"/>
    </row>
    <row r="392" spans="4:7" x14ac:dyDescent="0.3">
      <c r="D392" s="7"/>
      <c r="E392" s="7"/>
      <c r="F392" s="7"/>
      <c r="G392" s="7"/>
    </row>
    <row r="393" spans="4:7" x14ac:dyDescent="0.3">
      <c r="D393" s="7"/>
      <c r="E393" s="7"/>
      <c r="F393" s="7"/>
      <c r="G393" s="7"/>
    </row>
    <row r="394" spans="4:7" x14ac:dyDescent="0.3">
      <c r="D394" s="7"/>
      <c r="E394" s="7"/>
      <c r="F394" s="7"/>
      <c r="G394" s="7"/>
    </row>
    <row r="395" spans="4:7" x14ac:dyDescent="0.3">
      <c r="D395" s="7"/>
      <c r="E395" s="7"/>
      <c r="F395" s="7"/>
      <c r="G395" s="7"/>
    </row>
    <row r="396" spans="4:7" x14ac:dyDescent="0.3">
      <c r="D396" s="7"/>
      <c r="E396" s="7"/>
      <c r="F396" s="7"/>
      <c r="G396" s="7"/>
    </row>
    <row r="397" spans="4:7" x14ac:dyDescent="0.3">
      <c r="D397" s="7"/>
      <c r="E397" s="7"/>
      <c r="F397" s="7"/>
      <c r="G397" s="7"/>
    </row>
    <row r="398" spans="4:7" x14ac:dyDescent="0.3">
      <c r="D398" s="7"/>
      <c r="E398" s="7"/>
      <c r="F398" s="7"/>
      <c r="G398" s="7"/>
    </row>
    <row r="399" spans="4:7" x14ac:dyDescent="0.3">
      <c r="D399" s="7"/>
      <c r="E399" s="7"/>
      <c r="F399" s="7"/>
      <c r="G399" s="7"/>
    </row>
    <row r="400" spans="4:7" x14ac:dyDescent="0.3">
      <c r="D400" s="7"/>
      <c r="E400" s="7"/>
      <c r="F400" s="7"/>
      <c r="G400" s="7"/>
    </row>
    <row r="401" spans="4:7" x14ac:dyDescent="0.3">
      <c r="D401" s="7"/>
      <c r="E401" s="7"/>
      <c r="F401" s="7"/>
      <c r="G401" s="7"/>
    </row>
    <row r="402" spans="4:7" x14ac:dyDescent="0.3">
      <c r="D402" s="7"/>
      <c r="E402" s="7"/>
      <c r="F402" s="7"/>
      <c r="G402" s="7"/>
    </row>
    <row r="403" spans="4:7" x14ac:dyDescent="0.3">
      <c r="D403" s="7"/>
      <c r="E403" s="7"/>
      <c r="F403" s="7"/>
      <c r="G403" s="7"/>
    </row>
    <row r="404" spans="4:7" x14ac:dyDescent="0.3">
      <c r="D404" s="7"/>
      <c r="E404" s="7"/>
      <c r="F404" s="7"/>
      <c r="G404" s="7"/>
    </row>
    <row r="405" spans="4:7" x14ac:dyDescent="0.3">
      <c r="D405" s="7"/>
      <c r="E405" s="7"/>
      <c r="F405" s="7"/>
      <c r="G405" s="7"/>
    </row>
    <row r="406" spans="4:7" x14ac:dyDescent="0.3">
      <c r="D406" s="7"/>
      <c r="E406" s="7"/>
      <c r="F406" s="7"/>
      <c r="G406" s="7"/>
    </row>
    <row r="407" spans="4:7" x14ac:dyDescent="0.3">
      <c r="D407" s="7"/>
      <c r="E407" s="7"/>
      <c r="F407" s="7"/>
      <c r="G407" s="7"/>
    </row>
    <row r="408" spans="4:7" x14ac:dyDescent="0.3">
      <c r="D408" s="7"/>
      <c r="E408" s="7"/>
      <c r="F408" s="7"/>
      <c r="G408" s="7"/>
    </row>
    <row r="409" spans="4:7" x14ac:dyDescent="0.3">
      <c r="D409" s="7"/>
      <c r="E409" s="7"/>
      <c r="F409" s="7"/>
      <c r="G409" s="7"/>
    </row>
    <row r="410" spans="4:7" x14ac:dyDescent="0.3">
      <c r="D410" s="7"/>
      <c r="E410" s="7"/>
      <c r="F410" s="7"/>
      <c r="G410" s="7"/>
    </row>
    <row r="411" spans="4:7" x14ac:dyDescent="0.3">
      <c r="D411" s="7"/>
      <c r="E411" s="7"/>
      <c r="F411" s="7"/>
      <c r="G411" s="7"/>
    </row>
    <row r="412" spans="4:7" x14ac:dyDescent="0.3">
      <c r="D412" s="7"/>
      <c r="E412" s="7"/>
      <c r="F412" s="7"/>
      <c r="G412" s="7"/>
    </row>
    <row r="413" spans="4:7" x14ac:dyDescent="0.3">
      <c r="D413" s="7"/>
      <c r="E413" s="7"/>
      <c r="F413" s="7"/>
      <c r="G413" s="7"/>
    </row>
    <row r="414" spans="4:7" x14ac:dyDescent="0.3">
      <c r="D414" s="7"/>
      <c r="E414" s="7"/>
      <c r="F414" s="7"/>
      <c r="G414" s="7"/>
    </row>
    <row r="415" spans="4:7" x14ac:dyDescent="0.3">
      <c r="D415" s="7"/>
      <c r="E415" s="7"/>
      <c r="F415" s="7"/>
      <c r="G415" s="7"/>
    </row>
    <row r="416" spans="4:7" x14ac:dyDescent="0.3">
      <c r="D416" s="7"/>
      <c r="E416" s="7"/>
      <c r="F416" s="7"/>
      <c r="G416" s="7"/>
    </row>
    <row r="417" spans="4:7" x14ac:dyDescent="0.3">
      <c r="D417" s="7"/>
      <c r="E417" s="7"/>
      <c r="F417" s="7"/>
      <c r="G417" s="7"/>
    </row>
    <row r="418" spans="4:7" x14ac:dyDescent="0.3">
      <c r="D418" s="7"/>
      <c r="E418" s="7"/>
      <c r="F418" s="7"/>
      <c r="G418" s="7"/>
    </row>
    <row r="419" spans="4:7" x14ac:dyDescent="0.3">
      <c r="D419" s="7"/>
      <c r="E419" s="7"/>
      <c r="F419" s="7"/>
      <c r="G419" s="7"/>
    </row>
    <row r="420" spans="4:7" x14ac:dyDescent="0.3">
      <c r="D420" s="7"/>
      <c r="E420" s="7"/>
      <c r="F420" s="7"/>
      <c r="G420" s="7"/>
    </row>
    <row r="421" spans="4:7" x14ac:dyDescent="0.3">
      <c r="D421" s="7"/>
      <c r="E421" s="7"/>
      <c r="F421" s="7"/>
      <c r="G421" s="7"/>
    </row>
    <row r="422" spans="4:7" x14ac:dyDescent="0.3">
      <c r="D422" s="7"/>
      <c r="E422" s="7"/>
      <c r="F422" s="7"/>
      <c r="G422" s="7"/>
    </row>
    <row r="423" spans="4:7" x14ac:dyDescent="0.3">
      <c r="D423" s="7"/>
      <c r="E423" s="7"/>
      <c r="F423" s="7"/>
      <c r="G423" s="7"/>
    </row>
    <row r="424" spans="4:7" x14ac:dyDescent="0.3">
      <c r="D424" s="7"/>
      <c r="E424" s="7"/>
      <c r="F424" s="7"/>
      <c r="G424" s="7"/>
    </row>
    <row r="425" spans="4:7" x14ac:dyDescent="0.3">
      <c r="D425" s="7"/>
      <c r="E425" s="7"/>
      <c r="F425" s="7"/>
      <c r="G425" s="7"/>
    </row>
  </sheetData>
  <mergeCells count="22">
    <mergeCell ref="O29:P29"/>
    <mergeCell ref="O27:P28"/>
    <mergeCell ref="O20:P20"/>
    <mergeCell ref="O23:P24"/>
    <mergeCell ref="L2:L4"/>
    <mergeCell ref="O14:P15"/>
    <mergeCell ref="O16:P16"/>
    <mergeCell ref="O25:P25"/>
    <mergeCell ref="O9:P10"/>
    <mergeCell ref="O21:P21"/>
    <mergeCell ref="O18:P19"/>
    <mergeCell ref="P2:P4"/>
    <mergeCell ref="K2:K4"/>
    <mergeCell ref="H6:H7"/>
    <mergeCell ref="J6:J7"/>
    <mergeCell ref="A6:A7"/>
    <mergeCell ref="D6:E6"/>
    <mergeCell ref="A2:G3"/>
    <mergeCell ref="I2:I4"/>
    <mergeCell ref="I6:I7"/>
    <mergeCell ref="H2:H4"/>
    <mergeCell ref="K6:K7"/>
  </mergeCells>
  <conditionalFormatting sqref="K9:K23">
    <cfRule type="cellIs" dxfId="12" priority="1" operator="equal">
      <formula>"DIREITO"</formula>
    </cfRule>
    <cfRule type="cellIs" dxfId="11" priority="2" operator="equal">
      <formula>"ESQUERDO"</formula>
    </cfRule>
  </conditionalFormatting>
  <dataValidations count="2">
    <dataValidation type="list" allowBlank="1" showInputMessage="1" showErrorMessage="1" sqref="I2:I5" xr:uid="{00000000-0002-0000-0700-000000000000}">
      <formula1>",SIM,NÃO"</formula1>
    </dataValidation>
    <dataValidation type="list" allowBlank="1" showInputMessage="1" showErrorMessage="1" sqref="K9:K23" xr:uid="{00000000-0002-0000-0700-000001000000}">
      <formula1>"DIREITO,ESQUERDO,TRAFO, ,"</formula1>
    </dataValidation>
  </dataValidations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AC12"/>
  <sheetViews>
    <sheetView zoomScale="110" zoomScaleNormal="110" workbookViewId="0">
      <selection activeCell="C5" sqref="C5:C6"/>
    </sheetView>
  </sheetViews>
  <sheetFormatPr defaultRowHeight="14.4" x14ac:dyDescent="0.3"/>
  <cols>
    <col min="1" max="1" width="11.33203125" bestFit="1" customWidth="1"/>
    <col min="2" max="2" width="12.44140625" bestFit="1" customWidth="1"/>
    <col min="3" max="3" width="21.33203125" customWidth="1"/>
    <col min="4" max="4" width="10.44140625" bestFit="1" customWidth="1"/>
    <col min="5" max="5" width="11.5546875" bestFit="1" customWidth="1"/>
    <col min="6" max="6" width="9.77734375" customWidth="1"/>
    <col min="7" max="7" width="10.44140625" customWidth="1"/>
    <col min="8" max="8" width="14.88671875" customWidth="1"/>
    <col min="9" max="11" width="11" hidden="1" customWidth="1"/>
    <col min="12" max="12" width="15.109375" hidden="1" customWidth="1"/>
    <col min="13" max="13" width="12.44140625" hidden="1" customWidth="1"/>
    <col min="16" max="16" width="8.77734375" hidden="1" customWidth="1"/>
    <col min="17" max="17" width="27.109375" hidden="1" customWidth="1"/>
    <col min="18" max="18" width="8.77734375" hidden="1" customWidth="1"/>
    <col min="19" max="19" width="7.5546875" customWidth="1"/>
    <col min="20" max="20" width="14" hidden="1" customWidth="1"/>
    <col min="21" max="25" width="8.77734375" hidden="1" customWidth="1"/>
    <col min="26" max="26" width="7.5546875" hidden="1" customWidth="1"/>
    <col min="27" max="27" width="4.33203125" customWidth="1"/>
    <col min="28" max="28" width="10.44140625" bestFit="1" customWidth="1"/>
    <col min="29" max="29" width="11.5546875" bestFit="1" customWidth="1"/>
  </cols>
  <sheetData>
    <row r="2" spans="1:29" x14ac:dyDescent="0.3">
      <c r="A2" s="233" t="s">
        <v>0</v>
      </c>
      <c r="B2" s="231">
        <f>SMALL(ESQ_PROJ1[127],1)</f>
        <v>120.83736598928087</v>
      </c>
      <c r="C2" s="234">
        <f>LARGE(ESQ_PROJ1[QT %],1)</f>
        <v>4.8524677249756884E-2</v>
      </c>
      <c r="D2" s="201"/>
      <c r="E2" s="201"/>
      <c r="F2" s="64"/>
      <c r="H2" s="147" t="s">
        <v>1</v>
      </c>
      <c r="AB2" s="190" t="s">
        <v>2</v>
      </c>
      <c r="AC2" s="191"/>
    </row>
    <row r="3" spans="1:29" x14ac:dyDescent="0.3">
      <c r="A3" s="179"/>
      <c r="B3" s="232"/>
      <c r="C3" s="232"/>
      <c r="D3" s="179"/>
      <c r="E3" s="179"/>
      <c r="F3" s="64"/>
      <c r="AB3" s="192"/>
      <c r="AC3" s="192"/>
    </row>
    <row r="4" spans="1:29" x14ac:dyDescent="0.3">
      <c r="AB4" s="11" t="s">
        <v>3</v>
      </c>
      <c r="AC4" s="13">
        <f>IFERROR(SUMPRODUCT(G8:G11,D8:D11)/SUM(G8:G11),"INSERIR DADOS")</f>
        <v>635935.26242722804</v>
      </c>
    </row>
    <row r="5" spans="1:29" ht="13.8" customHeight="1" x14ac:dyDescent="0.3">
      <c r="A5" s="233" t="s">
        <v>4</v>
      </c>
      <c r="B5" s="180" t="s">
        <v>5</v>
      </c>
      <c r="C5" s="180" t="s">
        <v>6</v>
      </c>
      <c r="D5" s="235" t="s">
        <v>7</v>
      </c>
      <c r="E5" s="182"/>
      <c r="F5" s="176" t="s">
        <v>8</v>
      </c>
      <c r="G5" s="176" t="s">
        <v>9</v>
      </c>
      <c r="H5" s="176" t="s">
        <v>10</v>
      </c>
      <c r="I5" s="176"/>
      <c r="J5" s="50"/>
      <c r="K5" s="50"/>
      <c r="L5" s="176" t="s">
        <v>11</v>
      </c>
      <c r="M5" s="176" t="s">
        <v>12</v>
      </c>
      <c r="N5" s="176" t="s">
        <v>13</v>
      </c>
      <c r="O5" s="176" t="s">
        <v>14</v>
      </c>
      <c r="P5" s="50"/>
      <c r="Q5" s="176" t="s">
        <v>15</v>
      </c>
      <c r="S5" s="176" t="s">
        <v>16</v>
      </c>
      <c r="Z5" s="176" t="s">
        <v>17</v>
      </c>
      <c r="AB5" s="12" t="s">
        <v>18</v>
      </c>
      <c r="AC5" s="13">
        <f>IFERROR(SUMPRODUCT(G8:G11,E8:E11)/SUM(G8:G11),"INSERIR DADOS")</f>
        <v>6589881.3725929242</v>
      </c>
    </row>
    <row r="6" spans="1:29" ht="34.200000000000003" customHeight="1" x14ac:dyDescent="0.3">
      <c r="A6" s="179"/>
      <c r="B6" s="179"/>
      <c r="C6" s="179"/>
      <c r="D6" s="8" t="s">
        <v>19</v>
      </c>
      <c r="E6" s="8" t="s">
        <v>20</v>
      </c>
      <c r="F6" s="179"/>
      <c r="G6" s="179"/>
      <c r="H6" s="179"/>
      <c r="I6" s="179"/>
      <c r="J6" s="14"/>
      <c r="K6" s="14"/>
      <c r="L6" s="179"/>
      <c r="M6" s="179"/>
      <c r="N6" s="179"/>
      <c r="O6" s="179"/>
      <c r="P6" s="14"/>
      <c r="Q6" s="179"/>
      <c r="S6" s="179"/>
      <c r="Z6" s="179"/>
    </row>
    <row r="7" spans="1:29" x14ac:dyDescent="0.3">
      <c r="A7" s="53" t="s">
        <v>4</v>
      </c>
      <c r="B7" s="53" t="s">
        <v>21</v>
      </c>
      <c r="C7" s="53" t="s">
        <v>22</v>
      </c>
      <c r="D7" s="53" t="s">
        <v>3</v>
      </c>
      <c r="E7" s="53" t="s">
        <v>18</v>
      </c>
      <c r="F7" s="53" t="s">
        <v>23</v>
      </c>
      <c r="G7" s="53" t="s">
        <v>24</v>
      </c>
      <c r="H7" s="53" t="s">
        <v>10</v>
      </c>
      <c r="I7" s="67" t="s">
        <v>25</v>
      </c>
      <c r="J7" s="67" t="s">
        <v>26</v>
      </c>
      <c r="K7" s="67" t="s">
        <v>27</v>
      </c>
      <c r="L7" s="53" t="s">
        <v>28</v>
      </c>
      <c r="M7" s="53" t="s">
        <v>29</v>
      </c>
      <c r="N7" s="53" t="s">
        <v>13</v>
      </c>
      <c r="O7" s="67" t="s">
        <v>30</v>
      </c>
      <c r="P7" s="67" t="s">
        <v>31</v>
      </c>
      <c r="Q7" s="53" t="s">
        <v>32</v>
      </c>
      <c r="R7" s="75" t="s">
        <v>33</v>
      </c>
      <c r="S7" s="75" t="s">
        <v>34</v>
      </c>
      <c r="T7" s="75" t="s">
        <v>35</v>
      </c>
      <c r="U7" s="75" t="s">
        <v>36</v>
      </c>
      <c r="V7" s="75" t="s">
        <v>37</v>
      </c>
      <c r="W7" s="75" t="s">
        <v>38</v>
      </c>
      <c r="X7" s="75" t="s">
        <v>39</v>
      </c>
      <c r="Y7" s="75" t="s">
        <v>40</v>
      </c>
      <c r="Z7" s="53" t="s">
        <v>41</v>
      </c>
    </row>
    <row r="8" spans="1:29" x14ac:dyDescent="0.3">
      <c r="A8" s="54">
        <f>'GERAL PROJ'!A9</f>
        <v>11</v>
      </c>
      <c r="B8" s="54">
        <f>IFERROR(IF(ESQ_PROJ1[[#This Row],[PONTO]]="RAMAL",A7,VLOOKUP(ESQ_PROJ1[[#This Row],[PONTO]],GERAL_PROJ[],2,0)),0)</f>
        <v>0</v>
      </c>
      <c r="C8" s="54">
        <f>IFERROR(IF(ESQ_PROJ1[[#This Row],[PONTO]]="RAMAL",15,VLOOKUP(ESQ_PROJ1[[#This Row],[PONTO]],GERAL_PROJ[],3,0)),0)</f>
        <v>4</v>
      </c>
      <c r="D8" s="55">
        <f>IFERROR(IF(ESQ_PROJ1[[#This Row],[PONTO]]="RAMAL","",VLOOKUP(ESQ_PROJ1[[#This Row],[PONTO]],GERAL_PROJ[],4,0)),0)</f>
        <v>635957</v>
      </c>
      <c r="E8" s="55">
        <f>IFERROR(IF(ESQ_PROJ1[[#This Row],[PONTO]]="RAMAL","",VLOOKUP(ESQ_PROJ1[[#This Row],[PONTO]],GERAL_PROJ[],5,0)),0)</f>
        <v>7462079</v>
      </c>
      <c r="F8" s="55">
        <f>IFERROR(IF(ESQ_PROJ1[[#This Row],[PONTO]]="RAMAL",DMDI,VLOOKUP(ESQ_PROJ1[[#This Row],[PONTO]],GERAL_PROJ[],8,0)),0)</f>
        <v>16.471999999999998</v>
      </c>
      <c r="G8" s="55">
        <f>IFERROR(IF(ESQ_PROJ1[[#This Row],[PONTO]]="RAMAL",ESQ_PROJ1[[#This Row],[KVA PONTO]],VLOOKUP(ESQ_PROJ1[[#This Row],[PONTO]],GERAL_PROJ[],9,0)),0)</f>
        <v>71.965599999999995</v>
      </c>
      <c r="H8" s="55" t="str">
        <f>IFERROR(VLOOKUP(ESQ_PROJ1[[#This Row],[PONTO]],GERAL_PROJ[],12,0),0)</f>
        <v>240 Al</v>
      </c>
      <c r="I8" s="55">
        <f>ESQ_PROJ1[[#This Row],[Ib]]</f>
        <v>62.953573533928676</v>
      </c>
      <c r="J8" s="130">
        <v>52.824962895770142</v>
      </c>
      <c r="K8" s="131">
        <f>IFERROR((VLOOKUP(ESQ_PROJ1[[#This Row],[CONDUTOR]],CABOS[],3,0)/VLOOKUP(ESQ_PROJ1[[#This Row],[CONDUTOR]],CABOS[],6,0))*(1+VLOOKUP(ESQ_PROJ1[[#This Row],[CONDUTOR]],CABOS[],5,0)*(ESQ_PROJ1[[#This Row],[T]]-20)),0)</f>
        <v>0.14686758369717909</v>
      </c>
      <c r="L8" s="55">
        <f>IFERROR(IF(ESQ_PROJ1[[#This Row],[FASE]]="MONO",6,IF(ESQ_PROJ1[[#This Row],[FASE]]="BIF",2,1))*ESQ_PROJ1[[#This Row],[ACUMULADA]]*(SQRT(ESQ_PROJ1[[#This Row],[R CORR]]^2+VLOOKUP(ESQ_PROJ1[[#This Row],[CONDUTOR]],CABOS[],4,0)^2)/(($P$7^2)/100))*ESQ_PROJ1[[#This Row],[M]]*127/100+IF(ESQ_PROJ1[[#This Row],[TRECHO]]=0,127*QT_MTTR2,0),0)</f>
        <v>5.2975301763500111</v>
      </c>
      <c r="M8" s="132">
        <f>IFERROR(SUMIF(ESQ_PROJ1[PONTO],ESQ_PROJ1[[#This Row],[TRECHO]],ESQ_PROJ1[Coluna1])+ESQ_PROJ1[[#This Row],[QT-PONTO]],0)</f>
        <v>5.2975301763500111</v>
      </c>
      <c r="N8" s="56">
        <f>ESQ_PROJ1[[#This Row],[Coluna1]]/127</f>
        <v>4.1712836034252056E-2</v>
      </c>
      <c r="O8" s="55">
        <f>127-(127*ESQ_PROJ1[[#This Row],[QT %]])</f>
        <v>121.70246982364999</v>
      </c>
      <c r="P8" s="55">
        <f>220-(220*ESQ_PROJ1[[#This Row],[QT %]])</f>
        <v>210.82317607246455</v>
      </c>
      <c r="Q8" s="68" t="str">
        <f>IF(ESQ_PROJ1[[#This Row],[PROTECAO]]="OK","Protecao OK","Ajustar Disj/Condutor")</f>
        <v>Ajustar Disj/Condutor</v>
      </c>
      <c r="R8" s="74" t="str">
        <f t="shared" ref="R8:R12" si="0">"TRI"</f>
        <v>TRI</v>
      </c>
      <c r="S8" s="74">
        <v>3</v>
      </c>
      <c r="T8" s="74" t="str">
        <f t="shared" ref="T8:T12" si="1">"AEREO"</f>
        <v>AEREO</v>
      </c>
      <c r="U8" s="74">
        <f>30</f>
        <v>30</v>
      </c>
      <c r="V8" s="74">
        <f>IF(ESQ_PROJ1[[#This Row],[FASE]]="MONO",ESQ_PROJ1[[#This Row],[ACUMULADA]]*1000/(220*ESQ_PROJ1[[#This Row],[ETA]]),ESQ_PROJ1[[#This Row],[ACUMULADA]]*1000/(SQRT(3)*$P$7*ESQ_PROJ1[[#This Row],[ETA]]))</f>
        <v>62.953573533928676</v>
      </c>
      <c r="W8" s="74">
        <f>IFERROR(VLOOKUP(ESQ_PROJ1[[#This Row],[Ib]],TabelaDisjuntores[],2,TRUE),0)</f>
        <v>50</v>
      </c>
      <c r="X8" s="74">
        <f>IFERROR(VLOOKUP(ESQ_PROJ1[[#This Row],[CONDUTOR]],CABOS[],2,0),0)</f>
        <v>476</v>
      </c>
      <c r="Y8" s="74" t="str">
        <f>IF(AND(ESQ_PROJ1[[#This Row],[Ib]]&lt;=ESQ_PROJ1[[#This Row],[In]],ESQ_PROJ1[[#This Row],[In]]&lt;=ESQ_PROJ1[[#This Row],[Iz]]),"OK","VERIFICAR")</f>
        <v>VERIFICAR</v>
      </c>
      <c r="Z8" s="108">
        <f>IFERROR(SQRT((ESQ_PROJ1[[#This Row],[X]]-$AC$4)^2+(ESQ_PROJ1[[#This Row],[Y]]-$AC$5)^2),0)</f>
        <v>872197.62767795601</v>
      </c>
    </row>
    <row r="9" spans="1:29" x14ac:dyDescent="0.3">
      <c r="A9" s="169">
        <v>10</v>
      </c>
      <c r="B9" s="54">
        <f>IFERROR(IF(ESQ_PROJ1[[#This Row],[PONTO]]="RAMAL",A8,VLOOKUP(ESQ_PROJ1[[#This Row],[PONTO]],GERAL_PROJ[],2,0)),0)</f>
        <v>11</v>
      </c>
      <c r="C9" s="54">
        <f>IFERROR(IF(ESQ_PROJ1[[#This Row],[PONTO]]="RAMAL",15,VLOOKUP(ESQ_PROJ1[[#This Row],[PONTO]],GERAL_PROJ[],3,0)),0)</f>
        <v>36</v>
      </c>
      <c r="D9" s="55">
        <f>IFERROR(IF(ESQ_PROJ1[[#This Row],[PONTO]]="RAMAL","",VLOOKUP(ESQ_PROJ1[[#This Row],[PONTO]],GERAL_PROJ[],4,0)),0)</f>
        <v>635924</v>
      </c>
      <c r="E9" s="55">
        <f>IFERROR(IF(ESQ_PROJ1[[#This Row],[PONTO]]="RAMAL","",VLOOKUP(ESQ_PROJ1[[#This Row],[PONTO]],GERAL_PROJ[],5,0)),0)</f>
        <v>7462060</v>
      </c>
      <c r="F9" s="55">
        <f>IFERROR(IF(ESQ_PROJ1[[#This Row],[PONTO]]="RAMAL",DMDI,VLOOKUP(ESQ_PROJ1[[#This Row],[PONTO]],GERAL_PROJ[],8,0)),0)</f>
        <v>11.0192</v>
      </c>
      <c r="G9" s="55">
        <f>IFERROR(IF(ESQ_PROJ1[[#This Row],[PONTO]]="RAMAL",ESQ_PROJ1[[#This Row],[KVA PONTO]],VLOOKUP(ESQ_PROJ1[[#This Row],[PONTO]],GERAL_PROJ[],9,0)),0)</f>
        <v>27.377600000000001</v>
      </c>
      <c r="H9" s="55" t="str">
        <f>IFERROR(VLOOKUP(ESQ_PROJ1[[#This Row],[PONTO]],GERAL_PROJ[],12,0),0)</f>
        <v>185 Al - MX</v>
      </c>
      <c r="I9" s="55">
        <f>ESQ_PROJ1[[#This Row],[Ib]]</f>
        <v>23.949188984493787</v>
      </c>
      <c r="J9" s="130" t="e">
        <v>#DIV/0!</v>
      </c>
      <c r="K9" s="131">
        <f>IFERROR((VLOOKUP(ESQ_PROJ1[[#This Row],[CONDUTOR]],CABOS[],3,0)/VLOOKUP(ESQ_PROJ1[[#This Row],[CONDUTOR]],CABOS[],6,0))*(1+VLOOKUP(ESQ_PROJ1[[#This Row],[CONDUTOR]],CABOS[],5,0)*(ESQ_PROJ1[[#This Row],[T]]-20)),0)</f>
        <v>0</v>
      </c>
      <c r="L9" s="55">
        <f>IFERROR(IF(ESQ_PROJ1[[#This Row],[FASE]]="MONO",6,IF(ESQ_PROJ1[[#This Row],[FASE]]="BIF",2,1))*ESQ_PROJ1[[#This Row],[ACUMULADA]]*(SQRT(ESQ_PROJ1[[#This Row],[R CORR]]^2+VLOOKUP(ESQ_PROJ1[[#This Row],[CONDUTOR]],CABOS[],4,0)^2)/(($P$7^2)/100))*ESQ_PROJ1[[#This Row],[M]]*127/100+IF(ESQ_PROJ1[[#This Row],[TRECHO]]=0,127*QT_MTTR2,0),0)</f>
        <v>0.3046502399206612</v>
      </c>
      <c r="M9" s="132">
        <f>IFERROR(SUMIF(ESQ_PROJ1[PONTO],ESQ_PROJ1[[#This Row],[TRECHO]],ESQ_PROJ1[Coluna1])+ESQ_PROJ1[[#This Row],[QT-PONTO]],0)</f>
        <v>5.6021804162706719</v>
      </c>
      <c r="N9" s="57">
        <f>ESQ_PROJ1[[#This Row],[Coluna1]]/127</f>
        <v>4.4111656821028911E-2</v>
      </c>
      <c r="O9" s="55">
        <f>127-(127*ESQ_PROJ1[[#This Row],[QT %]])</f>
        <v>121.39781958372933</v>
      </c>
      <c r="P9" s="55">
        <f>220-(220*ESQ_PROJ1[[#This Row],[QT %]])</f>
        <v>210.29543549937364</v>
      </c>
      <c r="Q9" s="68" t="str">
        <f>IF(ESQ_PROJ1[[#This Row],[PROTECAO]]="OK","Protecao OK","Ajustar Disj/Condutor")</f>
        <v>Ajustar Disj/Condutor</v>
      </c>
      <c r="R9" s="54" t="str">
        <f t="shared" si="0"/>
        <v>TRI</v>
      </c>
      <c r="S9" s="54">
        <v>3</v>
      </c>
      <c r="T9" s="54" t="str">
        <f t="shared" si="1"/>
        <v>AEREO</v>
      </c>
      <c r="U9" s="54">
        <f>30</f>
        <v>30</v>
      </c>
      <c r="V9" s="54">
        <f>IF(ESQ_PROJ1[[#This Row],[FASE]]="MONO",ESQ_PROJ1[[#This Row],[ACUMULADA]]*1000/(220*ESQ_PROJ1[[#This Row],[ETA]]),ESQ_PROJ1[[#This Row],[ACUMULADA]]*1000/(SQRT(3)*$P$7*ESQ_PROJ1[[#This Row],[ETA]]))</f>
        <v>23.949188984493787</v>
      </c>
      <c r="W9" s="54">
        <f>IFERROR(VLOOKUP(ESQ_PROJ1[[#This Row],[Ib]],TabelaDisjuntores[],2,TRUE),0)</f>
        <v>20</v>
      </c>
      <c r="X9" s="54">
        <f>IFERROR(VLOOKUP(ESQ_PROJ1[[#This Row],[CONDUTOR]],CABOS[],2,0),0)</f>
        <v>355</v>
      </c>
      <c r="Y9" s="54" t="str">
        <f>IF(AND(ESQ_PROJ1[[#This Row],[Ib]]&lt;=ESQ_PROJ1[[#This Row],[In]],ESQ_PROJ1[[#This Row],[In]]&lt;=ESQ_PROJ1[[#This Row],[Iz]]),"OK","VERIFICAR")</f>
        <v>VERIFICAR</v>
      </c>
      <c r="Z9" s="105">
        <f>IFERROR(SQRT((ESQ_PROJ1[[#This Row],[X]]-$AC$4)^2+(ESQ_PROJ1[[#This Row],[Y]]-$AC$5)^2),0)</f>
        <v>872178.62747979164</v>
      </c>
    </row>
    <row r="10" spans="1:29" x14ac:dyDescent="0.3">
      <c r="A10" s="169">
        <v>4</v>
      </c>
      <c r="B10" s="54">
        <f>IFERROR(IF(ESQ_PROJ1[[#This Row],[PONTO]]="RAMAL",A9,VLOOKUP(ESQ_PROJ1[[#This Row],[PONTO]],GERAL_PROJ[],2,0)),0)</f>
        <v>10</v>
      </c>
      <c r="C10" s="54">
        <f>IFERROR(IF(ESQ_PROJ1[[#This Row],[PONTO]]="RAMAL",15,VLOOKUP(ESQ_PROJ1[[#This Row],[PONTO]],GERAL_PROJ[],3,0)),0)</f>
        <v>34</v>
      </c>
      <c r="D10" s="55">
        <f>IFERROR(IF(ESQ_PROJ1[[#This Row],[PONTO]]="RAMAL","",VLOOKUP(ESQ_PROJ1[[#This Row],[PONTO]],GERAL_PROJ[],4,0)),0)</f>
        <v>635902</v>
      </c>
      <c r="E10" s="55">
        <f>IFERROR(IF(ESQ_PROJ1[[#This Row],[PONTO]]="RAMAL","",VLOOKUP(ESQ_PROJ1[[#This Row],[PONTO]],GERAL_PROJ[],5,0)),0)</f>
        <v>746233</v>
      </c>
      <c r="F10" s="55">
        <f>IFERROR(IF(ESQ_PROJ1[[#This Row],[PONTO]]="RAMAL",DMDI,VLOOKUP(ESQ_PROJ1[[#This Row],[PONTO]],GERAL_PROJ[],8,0)),0)</f>
        <v>11.0192</v>
      </c>
      <c r="G10" s="55">
        <f>IFERROR(IF(ESQ_PROJ1[[#This Row],[PONTO]]="RAMAL",ESQ_PROJ1[[#This Row],[KVA PONTO]],VLOOKUP(ESQ_PROJ1[[#This Row],[PONTO]],GERAL_PROJ[],9,0)),0)</f>
        <v>16.471999999999998</v>
      </c>
      <c r="H10" s="55" t="str">
        <f>IFERROR(VLOOKUP(ESQ_PROJ1[[#This Row],[PONTO]],GERAL_PROJ[],12,0),0)</f>
        <v>70 Al - MX</v>
      </c>
      <c r="I10" s="55">
        <f>ESQ_PROJ1[[#This Row],[Ib]]</f>
        <v>14.409263081956839</v>
      </c>
      <c r="J10" s="130" t="e">
        <v>#DIV/0!</v>
      </c>
      <c r="K10" s="131">
        <f>IFERROR((VLOOKUP(ESQ_PROJ1[[#This Row],[CONDUTOR]],CABOS[],3,0)/VLOOKUP(ESQ_PROJ1[[#This Row],[CONDUTOR]],CABOS[],6,0))*(1+VLOOKUP(ESQ_PROJ1[[#This Row],[CONDUTOR]],CABOS[],5,0)*(ESQ_PROJ1[[#This Row],[T]]-20)),0)</f>
        <v>0</v>
      </c>
      <c r="L10" s="55">
        <f>IFERROR(IF(ESQ_PROJ1[[#This Row],[FASE]]="MONO",6,IF(ESQ_PROJ1[[#This Row],[FASE]]="BIF",2,1))*ESQ_PROJ1[[#This Row],[ACUMULADA]]*(SQRT(ESQ_PROJ1[[#This Row],[R CORR]]^2+VLOOKUP(ESQ_PROJ1[[#This Row],[CONDUTOR]],CABOS[],4,0)^2)/(($P$7^2)/100))*ESQ_PROJ1[[#This Row],[M]]*127/100+IF(ESQ_PROJ1[[#This Row],[TRECHO]]=0,127*QT_MTTR2,0),0)</f>
        <v>0.18516297719008265</v>
      </c>
      <c r="M10" s="132">
        <f>IFERROR(SUMIF(ESQ_PROJ1[PONTO],ESQ_PROJ1[[#This Row],[TRECHO]],ESQ_PROJ1[Coluna1])+ESQ_PROJ1[[#This Row],[QT-PONTO]],0)</f>
        <v>5.7873433934607545</v>
      </c>
      <c r="N10" s="57">
        <f>ESQ_PROJ1[[#This Row],[Coluna1]]/127</f>
        <v>4.556963301937602E-2</v>
      </c>
      <c r="O10" s="55">
        <f>127-(127*ESQ_PROJ1[[#This Row],[QT %]])</f>
        <v>121.21265660653924</v>
      </c>
      <c r="P10" s="55">
        <f>220-(220*ESQ_PROJ1[[#This Row],[QT %]])</f>
        <v>209.97468073573728</v>
      </c>
      <c r="Q10" s="68" t="str">
        <f>IF(ESQ_PROJ1[[#This Row],[PROTECAO]]="OK","Protecao OK","Ajustar Disj/Condutor")</f>
        <v>Ajustar Disj/Condutor</v>
      </c>
      <c r="R10" s="74" t="str">
        <f t="shared" si="0"/>
        <v>TRI</v>
      </c>
      <c r="S10" s="74">
        <v>3</v>
      </c>
      <c r="T10" s="74" t="str">
        <f t="shared" si="1"/>
        <v>AEREO</v>
      </c>
      <c r="U10" s="74">
        <f>30</f>
        <v>30</v>
      </c>
      <c r="V10" s="74">
        <f>IF(ESQ_PROJ1[[#This Row],[FASE]]="MONO",ESQ_PROJ1[[#This Row],[ACUMULADA]]*1000/(220*ESQ_PROJ1[[#This Row],[ETA]]),ESQ_PROJ1[[#This Row],[ACUMULADA]]*1000/(SQRT(3)*$P$7*ESQ_PROJ1[[#This Row],[ETA]]))</f>
        <v>14.409263081956839</v>
      </c>
      <c r="W10" s="74">
        <f>IFERROR(VLOOKUP(ESQ_PROJ1[[#This Row],[Ib]],TabelaDisjuntores[],2,TRUE),0)</f>
        <v>10</v>
      </c>
      <c r="X10" s="74">
        <f>IFERROR(VLOOKUP(ESQ_PROJ1[[#This Row],[CONDUTOR]],CABOS[],2,0),0)</f>
        <v>202</v>
      </c>
      <c r="Y10" s="74" t="str">
        <f>IF(AND(ESQ_PROJ1[[#This Row],[Ib]]&lt;=ESQ_PROJ1[[#This Row],[In]],ESQ_PROJ1[[#This Row],[In]]&lt;=ESQ_PROJ1[[#This Row],[Iz]]),"OK","VERIFICAR")</f>
        <v>VERIFICAR</v>
      </c>
      <c r="Z10" s="105">
        <f>IFERROR(SQRT((ESQ_PROJ1[[#This Row],[X]]-$AC$4)^2+(ESQ_PROJ1[[#This Row],[Y]]-$AC$5)^2),0)</f>
        <v>5843648.3726875903</v>
      </c>
    </row>
    <row r="11" spans="1:29" x14ac:dyDescent="0.3">
      <c r="A11" s="169">
        <v>3</v>
      </c>
      <c r="B11" s="54">
        <f>IFERROR(IF(ESQ_PROJ1[[#This Row],[PONTO]]="RAMAL",A10,VLOOKUP(ESQ_PROJ1[[#This Row],[PONTO]],GERAL_PROJ[],2,0)),0)</f>
        <v>4</v>
      </c>
      <c r="C11" s="54">
        <f>IFERROR(IF(ESQ_PROJ1[[#This Row],[PONTO]]="RAMAL",15,VLOOKUP(ESQ_PROJ1[[#This Row],[PONTO]],GERAL_PROJ[],3,0)),0)</f>
        <v>34</v>
      </c>
      <c r="D11" s="55">
        <f>IFERROR(IF(ESQ_PROJ1[[#This Row],[PONTO]]="RAMAL","",VLOOKUP(ESQ_PROJ1[[#This Row],[PONTO]],GERAL_PROJ[],4,0)),0)</f>
        <v>635871</v>
      </c>
      <c r="E11" s="55">
        <f>IFERROR(IF(ESQ_PROJ1[[#This Row],[PONTO]]="RAMAL","",VLOOKUP(ESQ_PROJ1[[#This Row],[PONTO]],GERAL_PROJ[],5,0)),0)</f>
        <v>7462013</v>
      </c>
      <c r="F11" s="55">
        <f>IFERROR(IF(ESQ_PROJ1[[#This Row],[PONTO]]="RAMAL",DMDI,VLOOKUP(ESQ_PROJ1[[#This Row],[PONTO]],GERAL_PROJ[],8,0)),0)</f>
        <v>11.0192</v>
      </c>
      <c r="G11" s="55">
        <f>IFERROR(IF(ESQ_PROJ1[[#This Row],[PONTO]]="RAMAL",ESQ_PROJ1[[#This Row],[KVA PONTO]],VLOOKUP(ESQ_PROJ1[[#This Row],[PONTO]],GERAL_PROJ[],9,0)),0)</f>
        <v>11.0192</v>
      </c>
      <c r="H11" s="55" t="str">
        <f>IFERROR(VLOOKUP(ESQ_PROJ1[[#This Row],[PONTO]],GERAL_PROJ[],12,0),0)</f>
        <v>70 Al - MX</v>
      </c>
      <c r="I11" s="55">
        <f>ESQ_PROJ1[[#This Row],[Ib]]</f>
        <v>9.639300130688369</v>
      </c>
      <c r="J11" s="130" t="e">
        <v>#DIV/0!</v>
      </c>
      <c r="K11" s="131">
        <f>IFERROR((VLOOKUP(ESQ_PROJ1[[#This Row],[CONDUTOR]],CABOS[],3,0)/VLOOKUP(ESQ_PROJ1[[#This Row],[CONDUTOR]],CABOS[],6,0))*(1+VLOOKUP(ESQ_PROJ1[[#This Row],[CONDUTOR]],CABOS[],5,0)*(ESQ_PROJ1[[#This Row],[T]]-20)),0)</f>
        <v>0</v>
      </c>
      <c r="L11" s="55">
        <f>IFERROR(IF(ESQ_PROJ1[[#This Row],[FASE]]="MONO",6,IF(ESQ_PROJ1[[#This Row],[FASE]]="BIF",2,1))*ESQ_PROJ1[[#This Row],[ACUMULADA]]*(SQRT(ESQ_PROJ1[[#This Row],[R CORR]]^2+VLOOKUP(ESQ_PROJ1[[#This Row],[CONDUTOR]],CABOS[],4,0)^2)/(($P$7^2)/100))*ESQ_PROJ1[[#This Row],[M]]*127/100+IF(ESQ_PROJ1[[#This Row],[TRECHO]]=0,127*QT_MTTR2,0),0)</f>
        <v>0.12386764680991735</v>
      </c>
      <c r="M11" s="132">
        <f>IFERROR(SUMIF(ESQ_PROJ1[PONTO],ESQ_PROJ1[[#This Row],[TRECHO]],ESQ_PROJ1[Coluna1])+ESQ_PROJ1[[#This Row],[QT-PONTO]],0)</f>
        <v>5.9112110402706719</v>
      </c>
      <c r="N11" s="56">
        <f>ESQ_PROJ1[[#This Row],[Coluna1]]/127</f>
        <v>4.6544968821028911E-2</v>
      </c>
      <c r="O11" s="55">
        <f>127-(127*ESQ_PROJ1[[#This Row],[QT %]])</f>
        <v>121.08878895972933</v>
      </c>
      <c r="P11" s="55">
        <f>220-(220*ESQ_PROJ1[[#This Row],[QT %]])</f>
        <v>209.76010685937365</v>
      </c>
      <c r="Q11" s="68" t="str">
        <f>IF(ESQ_PROJ1[[#This Row],[PROTECAO]]="OK","Protecao OK","Ajustar Disj/Condutor")</f>
        <v>Ajustar Disj/Condutor</v>
      </c>
      <c r="R11" s="74" t="str">
        <f t="shared" si="0"/>
        <v>TRI</v>
      </c>
      <c r="S11" s="74">
        <v>3</v>
      </c>
      <c r="T11" s="74" t="str">
        <f t="shared" si="1"/>
        <v>AEREO</v>
      </c>
      <c r="U11" s="74">
        <f>30</f>
        <v>30</v>
      </c>
      <c r="V11" s="74">
        <f>IF(ESQ_PROJ1[[#This Row],[FASE]]="MONO",ESQ_PROJ1[[#This Row],[ACUMULADA]]*1000/(220*ESQ_PROJ1[[#This Row],[ETA]]),ESQ_PROJ1[[#This Row],[ACUMULADA]]*1000/(SQRT(3)*$P$7*ESQ_PROJ1[[#This Row],[ETA]]))</f>
        <v>9.639300130688369</v>
      </c>
      <c r="W11" s="74">
        <f>IFERROR(VLOOKUP(ESQ_PROJ1[[#This Row],[Ib]],TabelaDisjuntores[],2,TRUE),0)</f>
        <v>6</v>
      </c>
      <c r="X11" s="74">
        <f>IFERROR(VLOOKUP(ESQ_PROJ1[[#This Row],[CONDUTOR]],CABOS[],2,0),0)</f>
        <v>202</v>
      </c>
      <c r="Y11" s="74" t="str">
        <f>IF(AND(ESQ_PROJ1[[#This Row],[Ib]]&lt;=ESQ_PROJ1[[#This Row],[In]],ESQ_PROJ1[[#This Row],[In]]&lt;=ESQ_PROJ1[[#This Row],[Iz]]),"OK","VERIFICAR")</f>
        <v>VERIFICAR</v>
      </c>
      <c r="Z11" s="105">
        <f>IFERROR(SQRT((ESQ_PROJ1[[#This Row],[X]]-$AC$4)^2+(ESQ_PROJ1[[#This Row],[Y]]-$AC$5)^2),0)</f>
        <v>872131.62977464253</v>
      </c>
    </row>
    <row r="12" spans="1:29" x14ac:dyDescent="0.3">
      <c r="A12" s="71" t="s">
        <v>42</v>
      </c>
      <c r="B12" s="173">
        <v>3</v>
      </c>
      <c r="C12" s="173">
        <v>15</v>
      </c>
      <c r="D12" s="72" t="str">
        <f>IFERROR(IF(ESQ_PROJ1[[#This Row],[PONTO]]="RAMAL","",VLOOKUP(ESQ_PROJ1[[#This Row],[PONTO]],GERAL_PROJ[],4,0)),0)</f>
        <v/>
      </c>
      <c r="E12" s="72" t="str">
        <f>IFERROR(IF(ESQ_PROJ1[[#This Row],[PONTO]]="RAMAL","",VLOOKUP(ESQ_PROJ1[[#This Row],[PONTO]],GERAL_PROJ[],5,0)),0)</f>
        <v/>
      </c>
      <c r="F12" s="72">
        <f>IFERROR(IF(ESQ_PROJ1[[#This Row],[PONTO]]="RAMAL",DMDI,VLOOKUP(ESQ_PROJ1[[#This Row],[PONTO]],GERAL_PROJ[],8,0)),0)</f>
        <v>2.84</v>
      </c>
      <c r="G12" s="72">
        <f>IFERROR(IF(ESQ_PROJ1[[#This Row],[PONTO]]="RAMAL",ESQ_PROJ1[[#This Row],[KVA PONTO]],VLOOKUP(ESQ_PROJ1[[#This Row],[PONTO]],GERAL_PROJ[],9,0)),0)</f>
        <v>2.84</v>
      </c>
      <c r="H12" s="174" t="s">
        <v>1</v>
      </c>
      <c r="I12" s="72">
        <f>ESQ_PROJ1[[#This Row],[Ib]]</f>
        <v>7.4530671113569875</v>
      </c>
      <c r="J12" s="133">
        <v>37.098159153673322</v>
      </c>
      <c r="K12" s="134">
        <f>IFERROR((VLOOKUP(ESQ_PROJ1[[#This Row],[CONDUTOR]],CABOS[],3,0)/VLOOKUP(ESQ_PROJ1[[#This Row],[CONDUTOR]],CABOS[],6,0))*(1+VLOOKUP(ESQ_PROJ1[[#This Row],[CONDUTOR]],CABOS[],5,0)*(ESQ_PROJ1[[#This Row],[T]]-20)),0)</f>
        <v>2.0824525085361536</v>
      </c>
      <c r="L12" s="72">
        <f>IFERROR(IF(ESQ_PROJ1[[#This Row],[FASE]]="MONO",6,IF(ESQ_PROJ1[[#This Row],[FASE]]="BIF",2,1))*ESQ_PROJ1[[#This Row],[ACUMULADA]]*(SQRT(ESQ_PROJ1[[#This Row],[R CORR]]^2+VLOOKUP(ESQ_PROJ1[[#This Row],[CONDUTOR]],CABOS[],4,0)^2)/(($P$7^2)/100))*ESQ_PROJ1[[#This Row],[M]]*127/100+IF(ESQ_PROJ1[[#This Row],[TRECHO]]=0,127*QT_MTTR2,0),0)</f>
        <v>0.2514229704484523</v>
      </c>
      <c r="M12" s="135">
        <f>IFERROR(SUMIF(ESQ_PROJ1[PONTO],ESQ_PROJ1[[#This Row],[TRECHO]],ESQ_PROJ1[Coluna1])+ESQ_PROJ1[[#This Row],[QT-PONTO]],0)</f>
        <v>6.162634010719124</v>
      </c>
      <c r="N12" s="136">
        <f>ESQ_PROJ1[[#This Row],[Coluna1]]/127</f>
        <v>4.8524677249756884E-2</v>
      </c>
      <c r="O12" s="72">
        <f>127-(127*ESQ_PROJ1[[#This Row],[QT %]])</f>
        <v>120.83736598928087</v>
      </c>
      <c r="P12" s="72">
        <f>220-(220*ESQ_PROJ1[[#This Row],[QT %]])</f>
        <v>209.32457100505349</v>
      </c>
      <c r="Q12" s="73" t="str">
        <f>IF(ESQ_PROJ1[[#This Row],[PROTECAO]]="OK","Protecao OK","Ajustar Disj/Condutor")</f>
        <v>Ajustar Disj/Condutor</v>
      </c>
      <c r="R12" s="122" t="str">
        <f t="shared" si="0"/>
        <v>TRI</v>
      </c>
      <c r="S12" s="122">
        <f>1</f>
        <v>1</v>
      </c>
      <c r="T12" s="121" t="str">
        <f t="shared" si="1"/>
        <v>AEREO</v>
      </c>
      <c r="U12" s="94">
        <f>30</f>
        <v>30</v>
      </c>
      <c r="V12" s="94">
        <f>IF(ESQ_PROJ1[[#This Row],[FASE]]="MONO",ESQ_PROJ1[[#This Row],[ACUMULADA]]*1000/(220*ESQ_PROJ1[[#This Row],[ETA]]),ESQ_PROJ1[[#This Row],[ACUMULADA]]*1000/(SQRT(3)*$P$7*ESQ_PROJ1[[#This Row],[ETA]]))</f>
        <v>7.4530671113569875</v>
      </c>
      <c r="W12" s="94">
        <f>VLOOKUP(ESQ_PROJ1[[#This Row],[Ib]],TabelaDisjuntores[],2,TRUE)</f>
        <v>6</v>
      </c>
      <c r="X12" s="94">
        <f>VLOOKUP(ESQ_PROJ1[[#This Row],[CONDUTOR]],CABOS[],2,0)</f>
        <v>63</v>
      </c>
      <c r="Y12" s="94" t="str">
        <f>IF(AND(ESQ_PROJ1[[#This Row],[Ib]]&lt;=ESQ_PROJ1[[#This Row],[In]],ESQ_PROJ1[[#This Row],[In]]&lt;=ESQ_PROJ1[[#This Row],[Iz]]),"OK","VERIFICAR")</f>
        <v>VERIFICAR</v>
      </c>
      <c r="Z12" s="106">
        <f>IFERROR(SQRT((ESQ_PROJ1[[#This Row],[X]]-$AC$4)^2+(ESQ_PROJ1[[#This Row],[Y]]-$AC$5)^2),0)</f>
        <v>0</v>
      </c>
    </row>
  </sheetData>
  <mergeCells count="21">
    <mergeCell ref="A2:A3"/>
    <mergeCell ref="C2:C3"/>
    <mergeCell ref="E2:E3"/>
    <mergeCell ref="I5:I6"/>
    <mergeCell ref="Z5:Z6"/>
    <mergeCell ref="A5:A6"/>
    <mergeCell ref="G5:G6"/>
    <mergeCell ref="S5:S6"/>
    <mergeCell ref="B5:B6"/>
    <mergeCell ref="H5:H6"/>
    <mergeCell ref="D5:E5"/>
    <mergeCell ref="C5:C6"/>
    <mergeCell ref="M5:M6"/>
    <mergeCell ref="O5:O6"/>
    <mergeCell ref="Q5:Q6"/>
    <mergeCell ref="AB2:AC3"/>
    <mergeCell ref="B2:B3"/>
    <mergeCell ref="F5:F6"/>
    <mergeCell ref="D2:D3"/>
    <mergeCell ref="L5:L6"/>
    <mergeCell ref="N5:N6"/>
  </mergeCells>
  <conditionalFormatting sqref="Q8:Y12">
    <cfRule type="cellIs" dxfId="10" priority="3" operator="equal">
      <formula>"Condutor Suporta Amperagem"</formula>
    </cfRule>
    <cfRule type="cellIs" dxfId="9" priority="4" operator="equal">
      <formula>"Condutor Sobrecarregado"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C13"/>
  <sheetViews>
    <sheetView zoomScale="110" zoomScaleNormal="110" workbookViewId="0">
      <pane ySplit="7" topLeftCell="A8" activePane="bottomLeft" state="frozen"/>
      <selection pane="bottomLeft" activeCell="H13" sqref="H13"/>
    </sheetView>
  </sheetViews>
  <sheetFormatPr defaultRowHeight="14.4" x14ac:dyDescent="0.3"/>
  <cols>
    <col min="1" max="1" width="11.33203125" bestFit="1" customWidth="1"/>
    <col min="2" max="2" width="12.44140625" bestFit="1" customWidth="1"/>
    <col min="3" max="3" width="14.6640625" bestFit="1" customWidth="1"/>
    <col min="4" max="4" width="10.44140625" bestFit="1" customWidth="1"/>
    <col min="5" max="5" width="11.5546875" bestFit="1" customWidth="1"/>
    <col min="6" max="6" width="9.77734375" customWidth="1"/>
    <col min="7" max="7" width="10.44140625" customWidth="1"/>
    <col min="8" max="8" width="16.109375" bestFit="1" customWidth="1"/>
    <col min="9" max="11" width="11" hidden="1" customWidth="1"/>
    <col min="12" max="12" width="15.109375" hidden="1" customWidth="1"/>
    <col min="13" max="13" width="12.44140625" hidden="1" customWidth="1"/>
    <col min="16" max="16" width="8.77734375" hidden="1" customWidth="1"/>
    <col min="17" max="17" width="27.109375" hidden="1" customWidth="1"/>
    <col min="18" max="18" width="13" hidden="1" customWidth="1"/>
    <col min="19" max="19" width="9.88671875" customWidth="1"/>
    <col min="20" max="25" width="13" hidden="1" customWidth="1"/>
    <col min="26" max="26" width="9.88671875" hidden="1" customWidth="1"/>
    <col min="27" max="27" width="2.109375" customWidth="1"/>
    <col min="28" max="28" width="11.44140625" customWidth="1"/>
    <col min="29" max="29" width="11.5546875" bestFit="1" customWidth="1"/>
  </cols>
  <sheetData>
    <row r="2" spans="1:29" x14ac:dyDescent="0.3">
      <c r="A2" s="233" t="s">
        <v>0</v>
      </c>
      <c r="B2" s="231">
        <f>SMALL(Tabela71020[127],1)</f>
        <v>120.72752247511889</v>
      </c>
      <c r="C2" s="234">
        <f>LARGE(Tabela71020[QT %],1)</f>
        <v>4.9389586810087469E-2</v>
      </c>
      <c r="D2" s="201"/>
      <c r="E2" s="201"/>
      <c r="F2" s="64"/>
      <c r="H2" s="147" t="s">
        <v>1</v>
      </c>
      <c r="AB2" s="190" t="s">
        <v>2</v>
      </c>
      <c r="AC2" s="191"/>
    </row>
    <row r="3" spans="1:29" x14ac:dyDescent="0.3">
      <c r="A3" s="179"/>
      <c r="B3" s="232"/>
      <c r="C3" s="232"/>
      <c r="D3" s="179"/>
      <c r="E3" s="179"/>
      <c r="F3" s="64"/>
      <c r="AB3" s="192"/>
      <c r="AC3" s="192"/>
    </row>
    <row r="4" spans="1:29" x14ac:dyDescent="0.3">
      <c r="AB4" s="11" t="s">
        <v>3</v>
      </c>
      <c r="AC4" s="13">
        <f>IFERROR(SUMPRODUCT(G8:G12,D8:D12)/SUM(G8:G12),"INSERIR DADOS")</f>
        <v>572265.38306982873</v>
      </c>
    </row>
    <row r="5" spans="1:29" ht="13.8" customHeight="1" x14ac:dyDescent="0.3">
      <c r="A5" s="233" t="s">
        <v>4</v>
      </c>
      <c r="B5" s="180" t="s">
        <v>5</v>
      </c>
      <c r="C5" s="180" t="s">
        <v>6</v>
      </c>
      <c r="D5" s="235" t="s">
        <v>7</v>
      </c>
      <c r="E5" s="182"/>
      <c r="F5" s="176" t="s">
        <v>8</v>
      </c>
      <c r="G5" s="176" t="s">
        <v>9</v>
      </c>
      <c r="H5" s="176" t="s">
        <v>10</v>
      </c>
      <c r="I5" s="176"/>
      <c r="J5" s="50"/>
      <c r="K5" s="50"/>
      <c r="L5" s="176" t="s">
        <v>11</v>
      </c>
      <c r="M5" s="176" t="s">
        <v>12</v>
      </c>
      <c r="N5" s="176" t="s">
        <v>13</v>
      </c>
      <c r="O5" s="176" t="s">
        <v>14</v>
      </c>
      <c r="P5" s="50"/>
      <c r="Q5" s="176" t="s">
        <v>15</v>
      </c>
      <c r="S5" s="176" t="s">
        <v>16</v>
      </c>
      <c r="Z5" s="176" t="s">
        <v>17</v>
      </c>
      <c r="AB5" s="12" t="s">
        <v>18</v>
      </c>
      <c r="AC5" s="13">
        <f>IFERROR(SUMPRODUCT(G8:G12,E8:E12)/SUM(G8:G12),"INSERIR DADOS")</f>
        <v>7462109.5648880107</v>
      </c>
    </row>
    <row r="6" spans="1:29" ht="34.200000000000003" customHeight="1" x14ac:dyDescent="0.3">
      <c r="A6" s="179"/>
      <c r="B6" s="179"/>
      <c r="C6" s="179"/>
      <c r="D6" s="8" t="s">
        <v>19</v>
      </c>
      <c r="E6" s="8" t="s">
        <v>20</v>
      </c>
      <c r="F6" s="179"/>
      <c r="G6" s="179"/>
      <c r="H6" s="179"/>
      <c r="I6" s="179"/>
      <c r="J6" s="14"/>
      <c r="K6" s="14"/>
      <c r="L6" s="179"/>
      <c r="M6" s="179"/>
      <c r="N6" s="179"/>
      <c r="O6" s="179"/>
      <c r="P6" s="14"/>
      <c r="Q6" s="179"/>
      <c r="S6" s="179"/>
      <c r="Z6" s="179"/>
    </row>
    <row r="7" spans="1:29" x14ac:dyDescent="0.3">
      <c r="A7" s="53" t="s">
        <v>4</v>
      </c>
      <c r="B7" s="53" t="s">
        <v>21</v>
      </c>
      <c r="C7" s="53" t="s">
        <v>22</v>
      </c>
      <c r="D7" s="53" t="s">
        <v>3</v>
      </c>
      <c r="E7" s="53" t="s">
        <v>18</v>
      </c>
      <c r="F7" s="53" t="s">
        <v>23</v>
      </c>
      <c r="G7" s="53" t="s">
        <v>24</v>
      </c>
      <c r="H7" s="53" t="s">
        <v>10</v>
      </c>
      <c r="I7" s="67" t="s">
        <v>25</v>
      </c>
      <c r="J7" s="67" t="s">
        <v>26</v>
      </c>
      <c r="K7" s="67" t="s">
        <v>27</v>
      </c>
      <c r="L7" s="53" t="s">
        <v>28</v>
      </c>
      <c r="M7" s="53" t="s">
        <v>29</v>
      </c>
      <c r="N7" s="53" t="s">
        <v>13</v>
      </c>
      <c r="O7" s="67" t="s">
        <v>30</v>
      </c>
      <c r="P7" s="67" t="s">
        <v>31</v>
      </c>
      <c r="Q7" s="53" t="s">
        <v>32</v>
      </c>
      <c r="R7" s="53" t="s">
        <v>33</v>
      </c>
      <c r="S7" s="53" t="s">
        <v>34</v>
      </c>
      <c r="T7" s="53" t="s">
        <v>35</v>
      </c>
      <c r="U7" s="53" t="s">
        <v>36</v>
      </c>
      <c r="V7" s="53" t="s">
        <v>37</v>
      </c>
      <c r="W7" s="53" t="s">
        <v>38</v>
      </c>
      <c r="X7" s="53" t="s">
        <v>39</v>
      </c>
      <c r="Y7" s="53" t="s">
        <v>40</v>
      </c>
      <c r="Z7" s="53" t="s">
        <v>41</v>
      </c>
    </row>
    <row r="8" spans="1:29" x14ac:dyDescent="0.3">
      <c r="A8" s="54">
        <f>'GERAL PROJ'!A9</f>
        <v>11</v>
      </c>
      <c r="B8" s="54">
        <f>IFERROR(IF(Tabela71020[[#This Row],[PONTO]]="RAMAL",A7,VLOOKUP(Tabela71020[[#This Row],[PONTO]],GERAL_PROJ[],2,0)),0)</f>
        <v>0</v>
      </c>
      <c r="C8" s="54">
        <f>IFERROR(IF(Tabela71020[[#This Row],[PONTO]]="RAMAL",15,VLOOKUP(Tabela71020[[#This Row],[PONTO]],GERAL_PROJ[],3,0)),0)</f>
        <v>4</v>
      </c>
      <c r="D8" s="55">
        <f>IFERROR(IF(Tabela71020[[#This Row],[PONTO]]="RAMAL","",VLOOKUP(Tabela71020[[#This Row],[PONTO]],GERAL_PROJ[],4,0)),0)</f>
        <v>635957</v>
      </c>
      <c r="E8" s="55">
        <f>IFERROR(IF(Tabela71020[[#This Row],[PONTO]]="RAMAL","",VLOOKUP(Tabela71020[[#This Row],[PONTO]],GERAL_PROJ[],5,0)),0)</f>
        <v>7462079</v>
      </c>
      <c r="F8" s="55">
        <f>IFERROR(IF(Tabela71020[[#This Row],[PONTO]]="RAMAL",DMDI,VLOOKUP(Tabela71020[[#This Row],[PONTO]],GERAL_PROJ[],8,0)),0)</f>
        <v>16.471999999999998</v>
      </c>
      <c r="G8" s="55">
        <f>IFERROR(IF(Tabela71020[[#This Row],[PONTO]]="RAMAL",Tabela71020[[#This Row],[KVA PONTO]],VLOOKUP(Tabela71020[[#This Row],[PONTO]],GERAL_PROJ[],9,0)),0)</f>
        <v>71.965599999999995</v>
      </c>
      <c r="H8" s="55" t="str">
        <f>IFERROR(VLOOKUP(Tabela71020[[#This Row],[PONTO]],GERAL_PROJ[],12,0),0)</f>
        <v>240 Al</v>
      </c>
      <c r="I8" s="55">
        <f>Tabela71020[[#This Row],[Ib]]</f>
        <v>62.953573533928676</v>
      </c>
      <c r="J8" s="55">
        <v>52.824962895770142</v>
      </c>
      <c r="K8" s="131">
        <f>IFERROR((VLOOKUP(Tabela71020[[#This Row],[CONDUTOR]],CABOS[],3,0)/VLOOKUP(Tabela71020[[#This Row],[CONDUTOR]],CABOS[],6,0))*(1+VLOOKUP(Tabela71020[[#This Row],[CONDUTOR]],CABOS[],5,0)*(Tabela71020[[#This Row],[T]]-20)),0)</f>
        <v>0.14686758369717909</v>
      </c>
      <c r="L8" s="148">
        <f>IFERROR(IF(Tabela71020[[#This Row],[FASE]]="MONO",6,IF(Tabela71020[[#This Row],[FASE]]="BIF",2,1))*Tabela71020[[#This Row],[ACUMULADA]]*(SQRT(Tabela71020[[#This Row],[R CORR]]^2+VLOOKUP(Tabela71020[[#This Row],[CONDUTOR]],CABOS[],4,0)^2)/(($P$7^2)/100))*Tabela71020[[#This Row],[M]]*127/100+IF(Tabela71020[[#This Row],[TRECHO]]=0,127*QT_MTTR2,0),0)</f>
        <v>5.2975301763500111</v>
      </c>
      <c r="M8" s="149">
        <f>IFERROR(SUMIF(Tabela71020[PONTO],Tabela71020[[#This Row],[TRECHO]],Tabela71020[Coluna1])+Tabela71020[[#This Row],[QT-PONTO]],0)</f>
        <v>5.2975301763500111</v>
      </c>
      <c r="N8" s="56">
        <f>Tabela71020[[#This Row],[Coluna1]]/127</f>
        <v>4.1712836034252056E-2</v>
      </c>
      <c r="O8" s="55">
        <f>127-(127*Tabela71020[[#This Row],[QT %]])</f>
        <v>121.70246982364999</v>
      </c>
      <c r="P8" s="55">
        <f>220-(220*Tabela71020[[#This Row],[QT %]])</f>
        <v>210.82317607246455</v>
      </c>
      <c r="Q8" s="68" t="str">
        <f>IF(Tabela71020[[#This Row],[PROTECAO]]="OK","Protecao OK","Ajustar Disj/Condutor")</f>
        <v>Ajustar Disj/Condutor</v>
      </c>
      <c r="R8" s="74" t="str">
        <f t="shared" ref="R8:R13" si="0">"TRI"</f>
        <v>TRI</v>
      </c>
      <c r="S8" s="74">
        <v>3</v>
      </c>
      <c r="T8" s="74" t="str">
        <f t="shared" ref="T8:T13" si="1">"AEREO"</f>
        <v>AEREO</v>
      </c>
      <c r="U8" s="74">
        <f>30</f>
        <v>30</v>
      </c>
      <c r="V8" s="74">
        <f>IF(Tabela71020[[#This Row],[FASE]]="MONO",Tabela71020[[#This Row],[ACUMULADA]]*1000/(220*Tabela71020[[#This Row],[ETA]]),Tabela71020[[#This Row],[ACUMULADA]]*1000/(SQRT(3)*$P$7*Tabela71020[[#This Row],[ETA]]))</f>
        <v>62.953573533928676</v>
      </c>
      <c r="W8" s="74">
        <f>IFERROR(VLOOKUP(Tabela71020[[#This Row],[Ib]],TabelaDisjuntores[],2,TRUE),0)</f>
        <v>50</v>
      </c>
      <c r="X8" s="74">
        <f>IFERROR(VLOOKUP(Tabela71020[[#This Row],[CONDUTOR]],CABOS[],2,0),0)</f>
        <v>476</v>
      </c>
      <c r="Y8" s="74" t="str">
        <f>IF(AND(Tabela71020[[#This Row],[Ib]]&lt;=Tabela71020[[#This Row],[In]],Tabela71020[[#This Row],[In]]&lt;=Tabela71020[[#This Row],[Iz]]),"OK","VERIFICAR")</f>
        <v>VERIFICAR</v>
      </c>
      <c r="Z8" s="142">
        <f>IFERROR(SQRT((Tabela71020[[#This Row],[X]]-$AC$4)^2+(Tabela71020[[#This Row],[Y]]-$AC$5)^2),0)</f>
        <v>63691.62426404321</v>
      </c>
    </row>
    <row r="9" spans="1:29" x14ac:dyDescent="0.3">
      <c r="A9" s="169">
        <v>12</v>
      </c>
      <c r="B9" s="54">
        <f>IFERROR(IF(Tabela71020[[#This Row],[PONTO]]="RAMAL",A8,VLOOKUP(Tabela71020[[#This Row],[PONTO]],GERAL_PROJ[],2,0)),0)</f>
        <v>11</v>
      </c>
      <c r="C9" s="54">
        <f>IFERROR(IF(Tabela71020[[#This Row],[PONTO]]="RAMAL",15,VLOOKUP(Tabela71020[[#This Row],[PONTO]],GERAL_PROJ[],3,0)),0)</f>
        <v>30</v>
      </c>
      <c r="D9" s="55">
        <f>IFERROR(IF(Tabela71020[[#This Row],[PONTO]]="RAMAL","",VLOOKUP(Tabela71020[[#This Row],[PONTO]],GERAL_PROJ[],4,0)),0)</f>
        <v>635986</v>
      </c>
      <c r="E9" s="55">
        <f>IFERROR(IF(Tabela71020[[#This Row],[PONTO]]="RAMAL","",VLOOKUP(Tabela71020[[#This Row],[PONTO]],GERAL_PROJ[],5,0)),0)</f>
        <v>7462112</v>
      </c>
      <c r="F9" s="55">
        <f>IFERROR(IF(Tabela71020[[#This Row],[PONTO]]="RAMAL",DMDI,VLOOKUP(Tabela71020[[#This Row],[PONTO]],GERAL_PROJ[],8,0)),0)</f>
        <v>19.198399999999999</v>
      </c>
      <c r="G9" s="55">
        <f>IFERROR(IF(Tabela71020[[#This Row],[PONTO]]="RAMAL",Tabela71020[[#This Row],[KVA PONTO]],VLOOKUP(Tabela71020[[#This Row],[PONTO]],GERAL_PROJ[],9,0)),0)</f>
        <v>42.884</v>
      </c>
      <c r="H9" s="55" t="str">
        <f>IFERROR(VLOOKUP(Tabela71020[[#This Row],[PONTO]],GERAL_PROJ[],12,0),0)</f>
        <v>185 Al - MX</v>
      </c>
      <c r="I9" s="55">
        <f>Tabela71020[[#This Row],[Ib]]</f>
        <v>37.513771127163501</v>
      </c>
      <c r="J9" s="55" t="e">
        <v>#DIV/0!</v>
      </c>
      <c r="K9" s="131">
        <f>IFERROR((VLOOKUP(Tabela71020[[#This Row],[CONDUTOR]],CABOS[],3,0)/VLOOKUP(Tabela71020[[#This Row],[CONDUTOR]],CABOS[],6,0))*(1+VLOOKUP(Tabela71020[[#This Row],[CONDUTOR]],CABOS[],5,0)*(Tabela71020[[#This Row],[T]]-20)),0)</f>
        <v>0</v>
      </c>
      <c r="L9" s="148">
        <f>IFERROR(IF(Tabela71020[[#This Row],[FASE]]="MONO",6,IF(Tabela71020[[#This Row],[FASE]]="BIF",2,1))*Tabela71020[[#This Row],[ACUMULADA]]*(SQRT(Tabela71020[[#This Row],[R CORR]]^2+VLOOKUP(Tabela71020[[#This Row],[CONDUTOR]],CABOS[],4,0)^2)/(($P$7^2)/100))*Tabela71020[[#This Row],[M]]*127/100+IF(Tabela71020[[#This Row],[TRECHO]]=0,127*QT_MTTR2,0),0)</f>
        <v>0.39766758495867771</v>
      </c>
      <c r="M9" s="149">
        <f>IFERROR(SUMIF(Tabela71020[PONTO],Tabela71020[[#This Row],[TRECHO]],Tabela71020[Coluna1])+Tabela71020[[#This Row],[QT-PONTO]],0)</f>
        <v>5.6951977613086893</v>
      </c>
      <c r="N9" s="57">
        <f>Tabela71020[[#This Row],[Coluna1]]/127</f>
        <v>4.4844076860698343E-2</v>
      </c>
      <c r="O9" s="55">
        <f>127-(127*Tabela71020[[#This Row],[QT %]])</f>
        <v>121.30480223869131</v>
      </c>
      <c r="P9" s="55">
        <f>220-(220*Tabela71020[[#This Row],[QT %]])</f>
        <v>210.13430309064637</v>
      </c>
      <c r="Q9" s="68" t="str">
        <f>IF(Tabela71020[[#This Row],[PROTECAO]]="OK","Protecao OK","Ajustar Disj/Condutor")</f>
        <v>Ajustar Disj/Condutor</v>
      </c>
      <c r="R9" s="54" t="str">
        <f t="shared" si="0"/>
        <v>TRI</v>
      </c>
      <c r="S9" s="54">
        <v>3</v>
      </c>
      <c r="T9" s="54" t="str">
        <f t="shared" si="1"/>
        <v>AEREO</v>
      </c>
      <c r="U9" s="54">
        <f>30</f>
        <v>30</v>
      </c>
      <c r="V9" s="54">
        <f>IF(Tabela71020[[#This Row],[FASE]]="MONO",Tabela71020[[#This Row],[ACUMULADA]]*1000/(220*Tabela71020[[#This Row],[ETA]]),Tabela71020[[#This Row],[ACUMULADA]]*1000/(SQRT(3)*$P$7*Tabela71020[[#This Row],[ETA]]))</f>
        <v>37.513771127163501</v>
      </c>
      <c r="W9" s="54">
        <f>IFERROR(VLOOKUP(Tabela71020[[#This Row],[Ib]],TabelaDisjuntores[],2,TRUE),0)</f>
        <v>32</v>
      </c>
      <c r="X9" s="54">
        <f>IFERROR(VLOOKUP(Tabela71020[[#This Row],[CONDUTOR]],CABOS[],2,0),0)</f>
        <v>355</v>
      </c>
      <c r="Y9" s="54" t="str">
        <f>IF(AND(Tabela71020[[#This Row],[Ib]]&lt;=Tabela71020[[#This Row],[In]],Tabela71020[[#This Row],[In]]&lt;=Tabela71020[[#This Row],[Iz]]),"OK","VERIFICAR")</f>
        <v>VERIFICAR</v>
      </c>
      <c r="Z9" s="55">
        <f>IFERROR(SQRT((Tabela71020[[#This Row],[X]]-$AC$4)^2+(Tabela71020[[#This Row],[Y]]-$AC$5)^2),0)</f>
        <v>63720.616976700716</v>
      </c>
    </row>
    <row r="10" spans="1:29" x14ac:dyDescent="0.3">
      <c r="A10" s="169">
        <v>13</v>
      </c>
      <c r="B10" s="54">
        <f>IFERROR(IF(Tabela71020[[#This Row],[PONTO]]="RAMAL",A9,VLOOKUP(Tabela71020[[#This Row],[PONTO]],GERAL_PROJ[],2,0)),0)</f>
        <v>12</v>
      </c>
      <c r="C10" s="54">
        <f>IFERROR(IF(Tabela71020[[#This Row],[PONTO]]="RAMAL",15,VLOOKUP(Tabela71020[[#This Row],[PONTO]],GERAL_PROJ[],3,0)),0)</f>
        <v>36</v>
      </c>
      <c r="D10" s="55">
        <f>IFERROR(IF(Tabela71020[[#This Row],[PONTO]]="RAMAL","",VLOOKUP(Tabela71020[[#This Row],[PONTO]],GERAL_PROJ[],4,0)),0)</f>
        <v>636017</v>
      </c>
      <c r="E10" s="55">
        <f>IFERROR(IF(Tabela71020[[#This Row],[PONTO]]="RAMAL","",VLOOKUP(Tabela71020[[#This Row],[PONTO]],GERAL_PROJ[],5,0)),0)</f>
        <v>7462129</v>
      </c>
      <c r="F10" s="55">
        <f>IFERROR(IF(Tabela71020[[#This Row],[PONTO]]="RAMAL",DMDI,VLOOKUP(Tabela71020[[#This Row],[PONTO]],GERAL_PROJ[],8,0)),0)</f>
        <v>11.0192</v>
      </c>
      <c r="G10" s="55">
        <f>IFERROR(IF(Tabela71020[[#This Row],[PONTO]]="RAMAL",Tabela71020[[#This Row],[KVA PONTO]],VLOOKUP(Tabela71020[[#This Row],[PONTO]],GERAL_PROJ[],9,0)),0)</f>
        <v>27.377600000000001</v>
      </c>
      <c r="H10" s="55" t="str">
        <f>IFERROR(VLOOKUP(Tabela71020[[#This Row],[PONTO]],GERAL_PROJ[],12,0),0)</f>
        <v>70 Al - MX</v>
      </c>
      <c r="I10" s="55">
        <f>Tabela71020[[#This Row],[Ib]]</f>
        <v>23.949188984493787</v>
      </c>
      <c r="J10" s="55" t="e">
        <v>#DIV/0!</v>
      </c>
      <c r="K10" s="131">
        <f>IFERROR((VLOOKUP(Tabela71020[[#This Row],[CONDUTOR]],CABOS[],3,0)/VLOOKUP(Tabela71020[[#This Row],[CONDUTOR]],CABOS[],6,0))*(1+VLOOKUP(Tabela71020[[#This Row],[CONDUTOR]],CABOS[],5,0)*(Tabela71020[[#This Row],[T]]-20)),0)</f>
        <v>0</v>
      </c>
      <c r="L10" s="148">
        <f>IFERROR(IF(Tabela71020[[#This Row],[FASE]]="MONO",6,IF(Tabela71020[[#This Row],[FASE]]="BIF",2,1))*Tabela71020[[#This Row],[ACUMULADA]]*(SQRT(Tabela71020[[#This Row],[R CORR]]^2+VLOOKUP(Tabela71020[[#This Row],[CONDUTOR]],CABOS[],4,0)^2)/(($P$7^2)/100))*Tabela71020[[#This Row],[M]]*127/100+IF(Tabela71020[[#This Row],[TRECHO]]=0,127*QT_MTTR2,0),0)</f>
        <v>0.32585679312396698</v>
      </c>
      <c r="M10" s="149">
        <f>IFERROR(SUMIF(Tabela71020[PONTO],Tabela71020[[#This Row],[TRECHO]],Tabela71020[Coluna1])+Tabela71020[[#This Row],[QT-PONTO]],0)</f>
        <v>6.0210545544326566</v>
      </c>
      <c r="N10" s="56">
        <f>Tabela71020[[#This Row],[Coluna1]]/127</f>
        <v>4.7409878381359502E-2</v>
      </c>
      <c r="O10" s="55">
        <f>127-(127*Tabela71020[[#This Row],[QT %]])</f>
        <v>120.97894544556735</v>
      </c>
      <c r="P10" s="55">
        <f>220-(220*Tabela71020[[#This Row],[QT %]])</f>
        <v>209.56982675610089</v>
      </c>
      <c r="Q10" s="68" t="str">
        <f>IF(Tabela71020[[#This Row],[PROTECAO]]="OK","Protecao OK","Ajustar Disj/Condutor")</f>
        <v>Ajustar Disj/Condutor</v>
      </c>
      <c r="R10" s="74" t="str">
        <f t="shared" si="0"/>
        <v>TRI</v>
      </c>
      <c r="S10" s="74">
        <v>3</v>
      </c>
      <c r="T10" s="74" t="str">
        <f t="shared" si="1"/>
        <v>AEREO</v>
      </c>
      <c r="U10" s="54">
        <f>30</f>
        <v>30</v>
      </c>
      <c r="V10" s="54">
        <f>IF(Tabela71020[[#This Row],[FASE]]="MONO",Tabela71020[[#This Row],[ACUMULADA]]*1000/(220*Tabela71020[[#This Row],[ETA]]),Tabela71020[[#This Row],[ACUMULADA]]*1000/(SQRT(3)*$P$7*Tabela71020[[#This Row],[ETA]]))</f>
        <v>23.949188984493787</v>
      </c>
      <c r="W10" s="54">
        <f>IFERROR(VLOOKUP(Tabela71020[[#This Row],[Ib]],TabelaDisjuntores[],2,TRUE),0)</f>
        <v>20</v>
      </c>
      <c r="X10" s="54">
        <f>IFERROR(VLOOKUP(Tabela71020[[#This Row],[CONDUTOR]],CABOS[],2,0),0)</f>
        <v>202</v>
      </c>
      <c r="Y10" s="54" t="str">
        <f>IF(AND(Tabela71020[[#This Row],[Ib]]&lt;=Tabela71020[[#This Row],[In]],Tabela71020[[#This Row],[In]]&lt;=Tabela71020[[#This Row],[Iz]]),"OK","VERIFICAR")</f>
        <v>VERIFICAR</v>
      </c>
      <c r="Z10" s="55">
        <f>IFERROR(SQRT((Tabela71020[[#This Row],[X]]-$AC$4)^2+(Tabela71020[[#This Row],[Y]]-$AC$5)^2),0)</f>
        <v>63751.61989263392</v>
      </c>
    </row>
    <row r="11" spans="1:29" x14ac:dyDescent="0.3">
      <c r="A11" s="169">
        <v>14</v>
      </c>
      <c r="B11" s="54">
        <f>IFERROR(IF(Tabela71020[[#This Row],[PONTO]]="RAMAL",#REF!,VLOOKUP(Tabela71020[[#This Row],[PONTO]],GERAL_PROJ[],2,0)),0)</f>
        <v>13</v>
      </c>
      <c r="C11" s="54">
        <f>IFERROR(IF(Tabela71020[[#This Row],[PONTO]]="RAMAL",15,VLOOKUP(Tabela71020[[#This Row],[PONTO]],GERAL_PROJ[],3,0)),0)</f>
        <v>36</v>
      </c>
      <c r="D11" s="55">
        <f>IFERROR(IF(Tabela71020[[#This Row],[PONTO]]="RAMAL","",VLOOKUP(Tabela71020[[#This Row],[PONTO]],GERAL_PROJ[],4,0)),0)</f>
        <v>63645</v>
      </c>
      <c r="E11" s="55">
        <f>IFERROR(IF(Tabela71020[[#This Row],[PONTO]]="RAMAL","",VLOOKUP(Tabela71020[[#This Row],[PONTO]],GERAL_PROJ[],5,0)),0)</f>
        <v>7462154</v>
      </c>
      <c r="F11" s="55">
        <f>IFERROR(IF(Tabela71020[[#This Row],[PONTO]]="RAMAL",DMDI,VLOOKUP(Tabela71020[[#This Row],[PONTO]],GERAL_PROJ[],8,0)),0)</f>
        <v>13.7456</v>
      </c>
      <c r="G11" s="55">
        <f>IFERROR(IF(Tabela71020[[#This Row],[PONTO]]="RAMAL",Tabela71020[[#This Row],[KVA PONTO]],VLOOKUP(Tabela71020[[#This Row],[PONTO]],GERAL_PROJ[],9,0)),0)</f>
        <v>19.198399999999999</v>
      </c>
      <c r="H11" s="55" t="str">
        <f>IFERROR(VLOOKUP(Tabela71020[[#This Row],[PONTO]],GERAL_PROJ[],12,0),0)</f>
        <v>70 Al - MX</v>
      </c>
      <c r="I11" s="55">
        <f>Tabela71020[[#This Row],[Ib]]</f>
        <v>16.794244557591075</v>
      </c>
      <c r="J11" s="55" t="e">
        <v>#N/A</v>
      </c>
      <c r="K11" s="131" t="e">
        <f>(VLOOKUP(Tabela71020[[#This Row],[CONDUTOR]],CABOS[],3,0)/VLOOKUP(Tabela71020[[#This Row],[CONDUTOR]],CABOS[],6,0))*(1+VLOOKUP(Tabela71020[[#This Row],[CONDUTOR]],CABOS[],5,0)*(Tabela71020[[#This Row],[T]]-20))</f>
        <v>#N/A</v>
      </c>
      <c r="L11" s="148">
        <f>IFERROR(IF(Tabela71020[[#This Row],[FASE]]="MONO",6,IF(Tabela71020[[#This Row],[FASE]]="BIF",2,1))*Tabela71020[[#This Row],[ACUMULADA]]*(SQRT(Tabela71020[[#This Row],[R CORR]]^2+VLOOKUP(Tabela71020[[#This Row],[CONDUTOR]],CABOS[],4,0)^2)/(($P$7^2)/100))*Tabela71020[[#This Row],[M]]*127/100+IF(Tabela71020[[#This Row],[TRECHO]]=0,127*QT_MTTR2,0),0)</f>
        <v>0</v>
      </c>
      <c r="M11" s="149">
        <f>SUMIF(Tabela71020[PONTO],Tabela71020[[#This Row],[TRECHO]],Tabela71020[Coluna1])+Tabela71020[[#This Row],[QT-PONTO]]</f>
        <v>6.0210545544326566</v>
      </c>
      <c r="N11" s="56">
        <f>Tabela71020[[#This Row],[Coluna1]]/127</f>
        <v>4.7409878381359502E-2</v>
      </c>
      <c r="O11" s="55">
        <f>127-(127*Tabela71020[[#This Row],[QT %]])</f>
        <v>120.97894544556735</v>
      </c>
      <c r="P11" s="55">
        <f>220-(220*Tabela71020[[#This Row],[QT %]])</f>
        <v>209.56982675610089</v>
      </c>
      <c r="Q11" s="68" t="str">
        <f>IF(Tabela71020[[#This Row],[PROTECAO]]="OK","Protecao OK","Ajustar Disj/Condutor")</f>
        <v>Ajustar Disj/Condutor</v>
      </c>
      <c r="R11" s="74" t="str">
        <f t="shared" si="0"/>
        <v>TRI</v>
      </c>
      <c r="S11" s="74">
        <v>3</v>
      </c>
      <c r="T11" s="74" t="str">
        <f t="shared" si="1"/>
        <v>AEREO</v>
      </c>
      <c r="U11" s="54">
        <f>30</f>
        <v>30</v>
      </c>
      <c r="V11" s="54">
        <f>IF(Tabela71020[[#This Row],[FASE]]="MONO",Tabela71020[[#This Row],[ACUMULADA]]*1000/(220*Tabela71020[[#This Row],[ETA]]),Tabela71020[[#This Row],[ACUMULADA]]*1000/(SQRT(3)*$P$7*Tabela71020[[#This Row],[ETA]]))</f>
        <v>16.794244557591075</v>
      </c>
      <c r="W11" s="54">
        <f>VLOOKUP(Tabela71020[[#This Row],[Ib]],TabelaDisjuntores[],2,TRUE)</f>
        <v>16</v>
      </c>
      <c r="X11" s="54">
        <f>VLOOKUP(Tabela71020[[#This Row],[CONDUTOR]],CABOS[],2,0)</f>
        <v>202</v>
      </c>
      <c r="Y11" s="54" t="str">
        <f>IF(AND(Tabela71020[[#This Row],[Ib]]&lt;=Tabela71020[[#This Row],[In]],Tabela71020[[#This Row],[In]]&lt;=Tabela71020[[#This Row],[Iz]]),"OK","VERIFICAR")</f>
        <v>VERIFICAR</v>
      </c>
      <c r="Z11" s="55">
        <f>IFERROR(SQRT((Tabela71020[[#This Row],[X]]-$AC$4)^2+(Tabela71020[[#This Row],[Y]]-$AC$5)^2),0)</f>
        <v>508620.38501084334</v>
      </c>
    </row>
    <row r="12" spans="1:29" x14ac:dyDescent="0.3">
      <c r="A12" s="169">
        <v>15</v>
      </c>
      <c r="B12" s="54">
        <f>IFERROR(IF(Tabela71020[[#This Row],[PONTO]]="RAMAL",A11,VLOOKUP(Tabela71020[[#This Row],[PONTO]],GERAL_PROJ[],2,0)),0)</f>
        <v>14</v>
      </c>
      <c r="C12" s="54">
        <f>IFERROR(IF(Tabela71020[[#This Row],[PONTO]]="RAMAL",15,VLOOKUP(Tabela71020[[#This Row],[PONTO]],GERAL_PROJ[],3,0)),0)</f>
        <v>38</v>
      </c>
      <c r="D12" s="55">
        <f>IFERROR(IF(Tabela71020[[#This Row],[PONTO]]="RAMAL","",VLOOKUP(Tabela71020[[#This Row],[PONTO]],GERAL_PROJ[],4,0)),0)</f>
        <v>636075</v>
      </c>
      <c r="E12" s="55">
        <f>IFERROR(IF(Tabela71020[[#This Row],[PONTO]]="RAMAL","",VLOOKUP(Tabela71020[[#This Row],[PONTO]],GERAL_PROJ[],5,0)),0)</f>
        <v>7462174</v>
      </c>
      <c r="F12" s="55">
        <f>IFERROR(IF(Tabela71020[[#This Row],[PONTO]]="RAMAL",DMDI,VLOOKUP(Tabela71020[[#This Row],[PONTO]],GERAL_PROJ[],8,0)),0)</f>
        <v>11.0192</v>
      </c>
      <c r="G12" s="55">
        <f>IFERROR(IF(Tabela71020[[#This Row],[PONTO]]="RAMAL",Tabela71020[[#This Row],[KVA PONTO]],VLOOKUP(Tabela71020[[#This Row],[PONTO]],GERAL_PROJ[],9,0)),0)</f>
        <v>11.0192</v>
      </c>
      <c r="H12" s="55" t="str">
        <f>IFERROR(VLOOKUP(Tabela71020[[#This Row],[PONTO]],GERAL_PROJ[],12,0),0)</f>
        <v>70 Al - MX</v>
      </c>
      <c r="I12" s="55">
        <f>Tabela71020[[#This Row],[Ib]]</f>
        <v>9.639300130688369</v>
      </c>
      <c r="J12" s="55" t="e">
        <v>#N/A</v>
      </c>
      <c r="K12" s="131" t="e">
        <f>(VLOOKUP(Tabela71020[[#This Row],[CONDUTOR]],CABOS[],3,0)/VLOOKUP(Tabela71020[[#This Row],[CONDUTOR]],CABOS[],6,0))*(1+VLOOKUP(Tabela71020[[#This Row],[CONDUTOR]],CABOS[],5,0)*(Tabela71020[[#This Row],[T]]-20))</f>
        <v>#N/A</v>
      </c>
      <c r="L12" s="148">
        <f>IFERROR(IF(Tabela71020[[#This Row],[FASE]]="MONO",6,IF(Tabela71020[[#This Row],[FASE]]="BIF",2,1))*Tabela71020[[#This Row],[ACUMULADA]]*(SQRT(Tabela71020[[#This Row],[R CORR]]^2+VLOOKUP(Tabela71020[[#This Row],[CONDUTOR]],CABOS[],4,0)^2)/(($P$7^2)/100))*Tabela71020[[#This Row],[M]]*127/100+IF(Tabela71020[[#This Row],[TRECHO]]=0,127*QT_MTTR2,0),0)</f>
        <v>0</v>
      </c>
      <c r="M12" s="149">
        <f>SUMIF(Tabela71020[PONTO],Tabela71020[[#This Row],[TRECHO]],Tabela71020[Coluna1])+Tabela71020[[#This Row],[QT-PONTO]]</f>
        <v>6.0210545544326566</v>
      </c>
      <c r="N12" s="57">
        <f>Tabela71020[[#This Row],[Coluna1]]/127</f>
        <v>4.7409878381359502E-2</v>
      </c>
      <c r="O12" s="55">
        <f>127-(127*Tabela71020[[#This Row],[QT %]])</f>
        <v>120.97894544556735</v>
      </c>
      <c r="P12" s="55">
        <f>220-(220*Tabela71020[[#This Row],[QT %]])</f>
        <v>209.56982675610089</v>
      </c>
      <c r="Q12" s="68" t="str">
        <f>IF(Tabela71020[[#This Row],[PROTECAO]]="OK","Protecao OK","Ajustar Disj/Condutor")</f>
        <v>Ajustar Disj/Condutor</v>
      </c>
      <c r="R12" s="54" t="str">
        <f t="shared" si="0"/>
        <v>TRI</v>
      </c>
      <c r="S12" s="54">
        <v>3</v>
      </c>
      <c r="T12" s="54" t="str">
        <f t="shared" si="1"/>
        <v>AEREO</v>
      </c>
      <c r="U12" s="54">
        <f>30</f>
        <v>30</v>
      </c>
      <c r="V12" s="54">
        <f>IF(Tabela71020[[#This Row],[FASE]]="MONO",Tabela71020[[#This Row],[ACUMULADA]]*1000/(220*Tabela71020[[#This Row],[ETA]]),Tabela71020[[#This Row],[ACUMULADA]]*1000/(SQRT(3)*$P$7*Tabela71020[[#This Row],[ETA]]))</f>
        <v>9.639300130688369</v>
      </c>
      <c r="W12" s="54">
        <f>VLOOKUP(Tabela71020[[#This Row],[Ib]],TabelaDisjuntores[],2,TRUE)</f>
        <v>6</v>
      </c>
      <c r="X12" s="54">
        <f>VLOOKUP(Tabela71020[[#This Row],[CONDUTOR]],CABOS[],2,0)</f>
        <v>202</v>
      </c>
      <c r="Y12" s="54" t="str">
        <f>IF(AND(Tabela71020[[#This Row],[Ib]]&lt;=Tabela71020[[#This Row],[In]],Tabela71020[[#This Row],[In]]&lt;=Tabela71020[[#This Row],[Iz]]),"OK","VERIFICAR")</f>
        <v>VERIFICAR</v>
      </c>
      <c r="Z12" s="55">
        <f>IFERROR(SQRT((Tabela71020[[#This Row],[X]]-$AC$4)^2+(Tabela71020[[#This Row],[Y]]-$AC$5)^2),0)</f>
        <v>63809.649463532209</v>
      </c>
    </row>
    <row r="13" spans="1:29" x14ac:dyDescent="0.3">
      <c r="A13" s="71" t="s">
        <v>42</v>
      </c>
      <c r="B13" s="173">
        <v>15</v>
      </c>
      <c r="C13" s="71">
        <f>IF(Tabela71020[[#This Row],[PONTO]]="RAMAL",15,VLOOKUP(Tabela71020[[#This Row],[PONTO]],pontos,3,0))</f>
        <v>15</v>
      </c>
      <c r="D13" s="72" t="str">
        <f>IF(Tabela71020[[#This Row],[PONTO]]="RAMAL","",VLOOKUP(Tabela71020[[#This Row],[PONTO]],pontos,4,0))</f>
        <v/>
      </c>
      <c r="E13" s="72" t="str">
        <f>IF(Tabela71020[[#This Row],[PONTO]]="RAMAL","",VLOOKUP(Tabela71020[[#This Row],[PONTO]],pontos,5,0))</f>
        <v/>
      </c>
      <c r="F13" s="72">
        <f>IF(Tabela71020[[#This Row],[PONTO]]="RAMAL",DMDI,VLOOKUP(Tabela71020[[#This Row],[PONTO]],pontos,8,0))</f>
        <v>2.84</v>
      </c>
      <c r="G13" s="72">
        <f>IF(Tabela71020[[#This Row],[PONTO]]="RAMAL",Tabela71020[[#This Row],[KVA PONTO]],VLOOKUP(Tabela71020[[#This Row],[PONTO]],pontos,9,0))</f>
        <v>2.84</v>
      </c>
      <c r="H13" s="174" t="s">
        <v>1</v>
      </c>
      <c r="I13" s="72">
        <f>Tabela71020[[#This Row],[Ib]]</f>
        <v>7.4530671113569875</v>
      </c>
      <c r="J13" s="72">
        <v>37.098159153673322</v>
      </c>
      <c r="K13" s="134">
        <f>(VLOOKUP(Tabela71020[[#This Row],[CONDUTOR]],CABOS[],3,0)/VLOOKUP(Tabela71020[[#This Row],[CONDUTOR]],CABOS[],6,0))*(1+VLOOKUP(Tabela71020[[#This Row],[CONDUTOR]],CABOS[],5,0)*(Tabela71020[[#This Row],[T]]-20))</f>
        <v>2.0824525085361536</v>
      </c>
      <c r="L13" s="150">
        <f>IFERROR(IF(Tabela71020[[#This Row],[FASE]]="MONO",6,IF(Tabela71020[[#This Row],[FASE]]="BIF",2,1))*Tabela71020[[#This Row],[ACUMULADA]]*(SQRT(Tabela71020[[#This Row],[R CORR]]^2+VLOOKUP(Tabela71020[[#This Row],[CONDUTOR]],CABOS[],4,0)^2)/(($P$7^2)/100))*Tabela71020[[#This Row],[M]]*127/100+IF(Tabela71020[[#This Row],[TRECHO]]=0,127*QT_MTTR2,0),0)</f>
        <v>0.2514229704484523</v>
      </c>
      <c r="M13" s="151">
        <f>SUMIF(Tabela71020[PONTO],Tabela71020[[#This Row],[TRECHO]],Tabela71020[Coluna1])+Tabela71020[[#This Row],[QT-PONTO]]</f>
        <v>6.2724775248811087</v>
      </c>
      <c r="N13" s="152">
        <f>Tabela71020[[#This Row],[Coluna1]]/127</f>
        <v>4.9389586810087469E-2</v>
      </c>
      <c r="O13" s="72">
        <f>127-(127*Tabela71020[[#This Row],[QT %]])</f>
        <v>120.72752247511889</v>
      </c>
      <c r="P13" s="72">
        <f>220-(220*Tabela71020[[#This Row],[QT %]])</f>
        <v>209.13429090178076</v>
      </c>
      <c r="Q13" s="73" t="str">
        <f>IF(Tabela71020[[#This Row],[PROTECAO]]="OK","Protecao OK","Ajustar Disj/Condutor")</f>
        <v>Ajustar Disj/Condutor</v>
      </c>
      <c r="R13" s="122" t="str">
        <f t="shared" si="0"/>
        <v>TRI</v>
      </c>
      <c r="S13" s="122">
        <f>1</f>
        <v>1</v>
      </c>
      <c r="T13" s="122" t="str">
        <f t="shared" si="1"/>
        <v>AEREO</v>
      </c>
      <c r="U13" s="71">
        <f>30</f>
        <v>30</v>
      </c>
      <c r="V13" s="71">
        <f>IF(Tabela71020[[#This Row],[FASE]]="MONO",Tabela71020[[#This Row],[ACUMULADA]]*1000/(220*Tabela71020[[#This Row],[ETA]]),Tabela71020[[#This Row],[ACUMULADA]]*1000/(SQRT(3)*$P$7*Tabela71020[[#This Row],[ETA]]))</f>
        <v>7.4530671113569875</v>
      </c>
      <c r="W13" s="71">
        <f>VLOOKUP(Tabela71020[[#This Row],[Ib]],TabelaDisjuntores[],2,TRUE)</f>
        <v>6</v>
      </c>
      <c r="X13" s="71">
        <f>VLOOKUP(Tabela71020[[#This Row],[CONDUTOR]],CABOS[],2,0)</f>
        <v>63</v>
      </c>
      <c r="Y13" s="71" t="str">
        <f>IF(AND(Tabela71020[[#This Row],[Ib]]&lt;=Tabela71020[[#This Row],[In]],Tabela71020[[#This Row],[In]]&lt;=Tabela71020[[#This Row],[Iz]]),"OK","VERIFICAR")</f>
        <v>VERIFICAR</v>
      </c>
      <c r="Z13" s="71">
        <f>IFERROR(SQRT((Tabela71020[[#This Row],[X]]-$AC$4)^2+(Tabela71020[[#This Row],[Y]]-$AC$5)^2),0)</f>
        <v>0</v>
      </c>
    </row>
  </sheetData>
  <mergeCells count="21">
    <mergeCell ref="A2:A3"/>
    <mergeCell ref="C2:C3"/>
    <mergeCell ref="E2:E3"/>
    <mergeCell ref="I5:I6"/>
    <mergeCell ref="Z5:Z6"/>
    <mergeCell ref="A5:A6"/>
    <mergeCell ref="G5:G6"/>
    <mergeCell ref="S5:S6"/>
    <mergeCell ref="B5:B6"/>
    <mergeCell ref="H5:H6"/>
    <mergeCell ref="D5:E5"/>
    <mergeCell ref="C5:C6"/>
    <mergeCell ref="M5:M6"/>
    <mergeCell ref="O5:O6"/>
    <mergeCell ref="Q5:Q6"/>
    <mergeCell ref="AB2:AC3"/>
    <mergeCell ref="B2:B3"/>
    <mergeCell ref="F5:F6"/>
    <mergeCell ref="D2:D3"/>
    <mergeCell ref="L5:L6"/>
    <mergeCell ref="N5:N6"/>
  </mergeCells>
  <conditionalFormatting sqref="Q8:Y12">
    <cfRule type="cellIs" dxfId="8" priority="1" operator="equal">
      <formula>"Condutor Suporta Amperagem"</formula>
    </cfRule>
    <cfRule type="cellIs" dxfId="7" priority="2" operator="equal">
      <formula>"Condutor Sobrecarregado"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Q428"/>
  <sheetViews>
    <sheetView showGridLines="0" zoomScale="90" zoomScaleNormal="90" workbookViewId="0">
      <pane ySplit="8" topLeftCell="A16" activePane="bottomLeft" state="frozen"/>
      <selection activeCell="A9" sqref="A9:A21"/>
      <selection pane="bottomLeft" activeCell="L5" sqref="L5"/>
    </sheetView>
  </sheetViews>
  <sheetFormatPr defaultColWidth="14.77734375" defaultRowHeight="14.4" x14ac:dyDescent="0.3"/>
  <cols>
    <col min="1" max="1" width="9.5546875" style="1" customWidth="1"/>
    <col min="2" max="2" width="8.5546875" style="1" customWidth="1"/>
    <col min="3" max="3" width="15.44140625" style="1" bestFit="1" customWidth="1"/>
    <col min="4" max="4" width="11.109375" style="1" bestFit="1" customWidth="1"/>
    <col min="5" max="5" width="12.21875" style="1" bestFit="1" customWidth="1"/>
    <col min="6" max="6" width="7.88671875" style="1" customWidth="1"/>
    <col min="7" max="7" width="10.33203125" style="1" customWidth="1"/>
    <col min="8" max="8" width="17.44140625" style="2" bestFit="1" customWidth="1"/>
    <col min="9" max="9" width="14.5546875" style="2" customWidth="1"/>
    <col min="10" max="10" width="14" style="2" hidden="1" customWidth="1"/>
    <col min="11" max="11" width="25.44140625" bestFit="1" customWidth="1"/>
    <col min="12" max="12" width="12.44140625" bestFit="1" customWidth="1"/>
    <col min="13" max="13" width="15" bestFit="1" customWidth="1"/>
    <col min="14" max="14" width="2.44140625" customWidth="1"/>
    <col min="15" max="15" width="13.5546875" bestFit="1" customWidth="1"/>
    <col min="16" max="16" width="17.33203125" bestFit="1" customWidth="1"/>
    <col min="17" max="17" width="11.6640625" bestFit="1" customWidth="1"/>
    <col min="18" max="18" width="4.6640625" bestFit="1" customWidth="1"/>
  </cols>
  <sheetData>
    <row r="2" spans="1:17" x14ac:dyDescent="0.3">
      <c r="A2" s="183" t="s">
        <v>217</v>
      </c>
      <c r="B2" s="184"/>
      <c r="C2" s="184"/>
      <c r="D2" s="184"/>
      <c r="E2" s="184"/>
      <c r="F2" s="184"/>
      <c r="G2" s="184"/>
      <c r="H2" s="178" t="s">
        <v>218</v>
      </c>
      <c r="I2" s="201" t="str">
        <f>GERAL!I2</f>
        <v>SIM</v>
      </c>
      <c r="K2" s="178" t="s">
        <v>220</v>
      </c>
      <c r="L2" s="236">
        <f>GERAL!L2</f>
        <v>79</v>
      </c>
      <c r="M2" s="14" t="s">
        <v>221</v>
      </c>
      <c r="O2" s="14" t="s">
        <v>63</v>
      </c>
      <c r="P2" s="201" t="str">
        <f>IF(O5&gt;O3,"SOBRECARGA","")</f>
        <v>SOBRECARGA</v>
      </c>
      <c r="Q2" s="14" t="s">
        <v>222</v>
      </c>
    </row>
    <row r="3" spans="1:17" x14ac:dyDescent="0.3">
      <c r="A3" s="184"/>
      <c r="B3" s="184"/>
      <c r="C3" s="184"/>
      <c r="D3" s="184"/>
      <c r="E3" s="184"/>
      <c r="F3" s="184"/>
      <c r="G3" s="184"/>
      <c r="H3" s="187"/>
      <c r="I3" s="187"/>
      <c r="K3" s="179"/>
      <c r="L3" s="179"/>
      <c r="M3" s="123" t="str">
        <f ca="1">P31</f>
        <v/>
      </c>
      <c r="O3" s="9">
        <v>75</v>
      </c>
      <c r="P3" s="179"/>
      <c r="Q3" s="128" t="s">
        <v>95</v>
      </c>
    </row>
    <row r="4" spans="1:17" x14ac:dyDescent="0.3">
      <c r="A4" s="3"/>
      <c r="B4" s="3"/>
      <c r="C4" s="3"/>
      <c r="D4" s="4"/>
      <c r="E4" s="3"/>
      <c r="F4" s="3"/>
      <c r="G4" s="3"/>
      <c r="H4" s="187"/>
      <c r="I4" s="187"/>
      <c r="J4" s="10"/>
      <c r="K4" s="179"/>
      <c r="L4" s="179"/>
      <c r="M4" s="14" t="s">
        <v>223</v>
      </c>
      <c r="O4" s="14" t="s">
        <v>224</v>
      </c>
      <c r="P4" s="179"/>
      <c r="Q4" s="128" t="s">
        <v>96</v>
      </c>
    </row>
    <row r="5" spans="1:17" x14ac:dyDescent="0.3">
      <c r="A5" s="100" t="s">
        <v>225</v>
      </c>
      <c r="B5" s="3"/>
      <c r="C5" s="3" t="s">
        <v>226</v>
      </c>
      <c r="D5" s="4"/>
      <c r="E5" s="3"/>
      <c r="F5" s="3"/>
      <c r="G5" s="3"/>
      <c r="J5" s="10"/>
      <c r="M5" s="123" t="str">
        <f ca="1">P32</f>
        <v/>
      </c>
      <c r="O5" s="93" t="str">
        <f>I9</f>
        <v/>
      </c>
      <c r="P5" s="141" t="e">
        <f>O5/0.85</f>
        <v>#VALUE!</v>
      </c>
      <c r="Q5" s="128" t="s">
        <v>97</v>
      </c>
    </row>
    <row r="6" spans="1:17" s="60" customFormat="1" ht="13.8" customHeight="1" x14ac:dyDescent="0.3">
      <c r="A6" s="180" t="s">
        <v>4</v>
      </c>
      <c r="B6" s="58" t="s">
        <v>21</v>
      </c>
      <c r="C6" s="58" t="s">
        <v>227</v>
      </c>
      <c r="D6" s="181" t="s">
        <v>7</v>
      </c>
      <c r="E6" s="182"/>
      <c r="F6" s="58"/>
      <c r="G6" s="58"/>
      <c r="H6" s="176" t="s">
        <v>228</v>
      </c>
      <c r="I6" s="176" t="s">
        <v>24</v>
      </c>
      <c r="J6" s="176" t="s">
        <v>229</v>
      </c>
      <c r="K6" s="176"/>
      <c r="L6" s="14"/>
      <c r="M6" s="14"/>
      <c r="O6" s="115" t="e">
        <f>O5/O3</f>
        <v>#VALUE!</v>
      </c>
      <c r="P6" s="64"/>
      <c r="Q6" s="128" t="s">
        <v>93</v>
      </c>
    </row>
    <row r="7" spans="1:17" s="60" customFormat="1" ht="13.8" customHeight="1" x14ac:dyDescent="0.3">
      <c r="A7" s="177"/>
      <c r="B7" s="14" t="s">
        <v>230</v>
      </c>
      <c r="C7" s="14" t="s">
        <v>231</v>
      </c>
      <c r="D7" s="58" t="s">
        <v>19</v>
      </c>
      <c r="E7" s="58" t="s">
        <v>20</v>
      </c>
      <c r="F7" s="78"/>
      <c r="G7" s="78"/>
      <c r="H7" s="177"/>
      <c r="I7" s="177"/>
      <c r="J7" s="177"/>
      <c r="K7" s="177"/>
      <c r="L7" s="14"/>
      <c r="M7" s="14"/>
    </row>
    <row r="8" spans="1:17" s="5" customFormat="1" ht="21.6" customHeight="1" x14ac:dyDescent="0.3">
      <c r="A8" s="97" t="s">
        <v>4</v>
      </c>
      <c r="B8" s="98" t="s">
        <v>21</v>
      </c>
      <c r="C8" s="98" t="s">
        <v>22</v>
      </c>
      <c r="D8" s="97" t="s">
        <v>3</v>
      </c>
      <c r="E8" s="97" t="s">
        <v>18</v>
      </c>
      <c r="F8" s="96" t="s">
        <v>205</v>
      </c>
      <c r="G8" s="96" t="s">
        <v>232</v>
      </c>
      <c r="H8" s="96" t="s">
        <v>233</v>
      </c>
      <c r="I8" s="98" t="s">
        <v>24</v>
      </c>
      <c r="J8" s="98" t="s">
        <v>17</v>
      </c>
      <c r="K8" s="96" t="s">
        <v>234</v>
      </c>
      <c r="L8" s="96" t="s">
        <v>10</v>
      </c>
      <c r="M8" s="96" t="s">
        <v>235</v>
      </c>
    </row>
    <row r="9" spans="1:17" s="6" customFormat="1" x14ac:dyDescent="0.3">
      <c r="A9" s="168"/>
      <c r="B9" s="168"/>
      <c r="C9" s="168"/>
      <c r="D9" s="125" t="str">
        <f>IFERROR(VLOOKUP(GERAL_PROJ2[[#This Row],[PONTO]],Tabela13[],2,0),"")</f>
        <v/>
      </c>
      <c r="E9" s="125" t="str">
        <f>IFERROR(VLOOKUP(GERAL_PROJ2[[#This Row],[PONTO]],Tabela13[],3,0),"")</f>
        <v/>
      </c>
      <c r="F9" s="126" t="str">
        <f>IFERROR(VLOOKUP(GERAL_PROJ2[[#This Row],[PONTO]],RAMAIS_ATUAL,24,0),"")</f>
        <v/>
      </c>
      <c r="G9" s="126" t="str">
        <f>IFERROR(SUMIF(GERAL_PROJ2[TRECHO],GERAL_PROJ2[[#This Row],[PONTO]],GERAL_PROJ2[CLT ACUMULADO])+GERAL_PROJ2[[#This Row],[CLIENTES]],"")</f>
        <v/>
      </c>
      <c r="H9" s="127" t="str">
        <f>IFERROR(VLOOKUP(GERAL_PROJ2[[#This Row],[PONTO]],RAMAIS_ATUAL,IF($I$2="SIM",25,23),0),"")</f>
        <v/>
      </c>
      <c r="I9" s="127" t="str">
        <f>IFERROR(IF($I$2="SIM",VLOOKUP(GERAL_PROJ2[[#This Row],[CLT ACUMULADO]],AUX_CLAN,4,0),SUMIF(GERAL_PROJ2[TRECHO],GERAL_PROJ2[[#This Row],[PONTO]],GERAL_PROJ2[ACUMULADA])+GERAL_PROJ2[[#This Row],[TOTAL DO TRECHO]]),"")</f>
        <v/>
      </c>
      <c r="J9" s="127" t="str">
        <f>IFERROR(SQRT((GERAL_PROJ2[[#This Row],[X]]-$P$11)^2+(GERAL_PROJ2[[#This Row],[Y]]-$P$12)^2),"")</f>
        <v/>
      </c>
      <c r="K9" s="124" t="s">
        <v>63</v>
      </c>
      <c r="L9" s="125" t="s">
        <v>79</v>
      </c>
      <c r="M9" s="125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>IGNORADO</v>
      </c>
      <c r="O9" s="190" t="s">
        <v>2</v>
      </c>
      <c r="P9" s="191"/>
    </row>
    <row r="10" spans="1:17" x14ac:dyDescent="0.3">
      <c r="A10" s="169"/>
      <c r="B10" s="168"/>
      <c r="C10" s="169"/>
      <c r="D10" s="128" t="str">
        <f>IFERROR(VLOOKUP(GERAL_PROJ2[[#This Row],[PONTO]],Tabela13[],2,0),"")</f>
        <v/>
      </c>
      <c r="E10" s="128" t="str">
        <f>IFERROR(VLOOKUP(GERAL_PROJ2[[#This Row],[PONTO]],Tabela13[],3,0),"")</f>
        <v/>
      </c>
      <c r="F10" s="129" t="str">
        <f>IFERROR(VLOOKUP(GERAL_PROJ2[[#This Row],[PONTO]],RAMAIS_ATUAL,24,0),"")</f>
        <v/>
      </c>
      <c r="G10" s="129" t="str">
        <f>IFERROR(SUMIF(GERAL_PROJ2[TRECHO],GERAL_PROJ2[[#This Row],[PONTO]],GERAL_PROJ2[CLT ACUMULADO])+GERAL_PROJ2[[#This Row],[CLIENTES]],"")</f>
        <v/>
      </c>
      <c r="H10" s="55" t="str">
        <f>IFERROR(VLOOKUP(GERAL_PROJ2[[#This Row],[PONTO]],RAMAIS_ATUAL,IF($I$2="SIM",25,23),0),"")</f>
        <v/>
      </c>
      <c r="I10" s="55" t="str">
        <f>IFERROR(IF($I$2="SIM",VLOOKUP(GERAL_PROJ2[[#This Row],[CLT ACUMULADO]],AUX_CLAN,4,0),SUMIF(GERAL_PROJ2[TRECHO],GERAL_PROJ2[[#This Row],[PONTO]],GERAL_PROJ2[ACUMULADA])+GERAL_PROJ2[[#This Row],[TOTAL DO TRECHO]]),"")</f>
        <v/>
      </c>
      <c r="J10" s="55" t="str">
        <f>IFERROR(SQRT((GERAL_PROJ2[[#This Row],[X]]-$P$11)^2+(GERAL_PROJ2[[#This Row],[Y]]-$P$12)^2),"")</f>
        <v/>
      </c>
      <c r="K10" s="169"/>
      <c r="L10" s="171"/>
      <c r="M10" s="128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  <c r="O10" s="192"/>
      <c r="P10" s="192"/>
    </row>
    <row r="11" spans="1:17" s="6" customFormat="1" x14ac:dyDescent="0.3">
      <c r="A11" s="169"/>
      <c r="B11" s="169"/>
      <c r="C11" s="169"/>
      <c r="D11" s="128" t="str">
        <f>IFERROR(VLOOKUP(GERAL_PROJ2[[#This Row],[PONTO]],Tabela13[],2,0),"")</f>
        <v/>
      </c>
      <c r="E11" s="128" t="str">
        <f>IFERROR(VLOOKUP(GERAL_PROJ2[[#This Row],[PONTO]],Tabela13[],3,0),"")</f>
        <v/>
      </c>
      <c r="F11" s="129" t="str">
        <f>IFERROR(VLOOKUP(GERAL_PROJ2[[#This Row],[PONTO]],RAMAIS_ATUAL,24,0),"")</f>
        <v/>
      </c>
      <c r="G11" s="129" t="str">
        <f>IFERROR(SUMIF(GERAL_PROJ2[TRECHO],GERAL_PROJ2[[#This Row],[PONTO]],GERAL_PROJ2[CLT ACUMULADO])+GERAL_PROJ2[[#This Row],[CLIENTES]],"")</f>
        <v/>
      </c>
      <c r="H11" s="55" t="str">
        <f>IFERROR(VLOOKUP(GERAL_PROJ2[[#This Row],[PONTO]],RAMAIS_ATUAL,IF($I$2="SIM",25,23),0),"")</f>
        <v/>
      </c>
      <c r="I11" s="55" t="str">
        <f>IFERROR(IF($I$2="SIM",VLOOKUP(GERAL_PROJ2[[#This Row],[CLT ACUMULADO]],AUX_CLAN,4,0),SUMIF(GERAL_PROJ2[TRECHO],GERAL_PROJ2[[#This Row],[PONTO]],GERAL_PROJ2[ACUMULADA])+GERAL_PROJ2[[#This Row],[TOTAL DO TRECHO]]),"")</f>
        <v/>
      </c>
      <c r="J11" s="55" t="str">
        <f>IFERROR(SQRT((GERAL_PROJ2[[#This Row],[X]]-$P$11)^2+(GERAL_PROJ2[[#This Row],[Y]]-$P$12)^2),"")</f>
        <v/>
      </c>
      <c r="K11" s="169"/>
      <c r="L11" s="171"/>
      <c r="M11" s="128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  <c r="O11" s="11" t="s">
        <v>3</v>
      </c>
      <c r="P11" s="13" t="str">
        <f>IFERROR(SUMPRODUCT(GERAL_PROJ2[TOTAL DO TRECHO],GERAL_PROJ2[X])/SUM(GERAL_PROJ2[TOTAL DO TRECHO]),"INSERIR DADOS")</f>
        <v>INSERIR DADOS</v>
      </c>
    </row>
    <row r="12" spans="1:17" x14ac:dyDescent="0.3">
      <c r="A12" s="169"/>
      <c r="B12" s="168"/>
      <c r="C12" s="169"/>
      <c r="D12" s="128" t="str">
        <f>IFERROR(VLOOKUP(GERAL_PROJ2[[#This Row],[PONTO]],Tabela13[],2,0),"")</f>
        <v/>
      </c>
      <c r="E12" s="128" t="str">
        <f>IFERROR(VLOOKUP(GERAL_PROJ2[[#This Row],[PONTO]],Tabela13[],3,0),"")</f>
        <v/>
      </c>
      <c r="F12" s="129" t="str">
        <f>IFERROR(VLOOKUP(GERAL_PROJ2[[#This Row],[PONTO]],RAMAIS_ATUAL,24,0),"")</f>
        <v/>
      </c>
      <c r="G12" s="129" t="str">
        <f>IFERROR(SUMIF(GERAL_PROJ2[TRECHO],GERAL_PROJ2[[#This Row],[PONTO]],GERAL_PROJ2[CLT ACUMULADO])+GERAL_PROJ2[[#This Row],[CLIENTES]],"")</f>
        <v/>
      </c>
      <c r="H12" s="55" t="str">
        <f>IFERROR(VLOOKUP(GERAL_PROJ2[[#This Row],[PONTO]],RAMAIS_ATUAL,IF($I$2="SIM",25,23),0),"")</f>
        <v/>
      </c>
      <c r="I12" s="55" t="str">
        <f>IFERROR(IF($I$2="SIM",VLOOKUP(GERAL_PROJ2[[#This Row],[CLT ACUMULADO]],AUX_CLAN,4,0),SUMIF(GERAL_PROJ2[TRECHO],GERAL_PROJ2[[#This Row],[PONTO]],GERAL_PROJ2[ACUMULADA])+GERAL_PROJ2[[#This Row],[TOTAL DO TRECHO]]),"")</f>
        <v/>
      </c>
      <c r="J12" s="55" t="str">
        <f>IFERROR(SQRT((GERAL_PROJ2[[#This Row],[X]]-$P$11)^2+(GERAL_PROJ2[[#This Row],[Y]]-$P$12)^2),"")</f>
        <v/>
      </c>
      <c r="K12" s="169"/>
      <c r="L12" s="171"/>
      <c r="M12" s="128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  <c r="O12" s="12" t="s">
        <v>18</v>
      </c>
      <c r="P12" s="13" t="str">
        <f>IFERROR(SUMPRODUCT(GERAL_PROJ2[ACUMULADA],GERAL_PROJ2[Y])/SUM(GERAL_PROJ2[ACUMULADA]),"INSERIR DADOS")</f>
        <v>INSERIR DADOS</v>
      </c>
    </row>
    <row r="13" spans="1:17" s="6" customFormat="1" x14ac:dyDescent="0.3">
      <c r="A13" s="169"/>
      <c r="B13" s="169"/>
      <c r="C13" s="169"/>
      <c r="D13" s="128" t="str">
        <f>IFERROR(VLOOKUP(GERAL_PROJ2[[#This Row],[PONTO]],Tabela13[],2,0),"")</f>
        <v/>
      </c>
      <c r="E13" s="128" t="str">
        <f>IFERROR(VLOOKUP(GERAL_PROJ2[[#This Row],[PONTO]],Tabela13[],3,0),"")</f>
        <v/>
      </c>
      <c r="F13" s="129" t="str">
        <f>IFERROR(VLOOKUP(GERAL_PROJ2[[#This Row],[PONTO]],RAMAIS_ATUAL,24,0),"")</f>
        <v/>
      </c>
      <c r="G13" s="129" t="str">
        <f>IFERROR(SUMIF(GERAL_PROJ2[TRECHO],GERAL_PROJ2[[#This Row],[PONTO]],GERAL_PROJ2[CLT ACUMULADO])+GERAL_PROJ2[[#This Row],[CLIENTES]],"")</f>
        <v/>
      </c>
      <c r="H13" s="55" t="str">
        <f>IFERROR(VLOOKUP(GERAL_PROJ2[[#This Row],[PONTO]],RAMAIS_ATUAL,IF($I$2="SIM",25,23),0),"")</f>
        <v/>
      </c>
      <c r="I13" s="55" t="str">
        <f>IFERROR(IF($I$2="SIM",VLOOKUP(GERAL_PROJ2[[#This Row],[CLT ACUMULADO]],AUX_CLAN,4,0),SUMIF(GERAL_PROJ2[TRECHO],GERAL_PROJ2[[#This Row],[PONTO]],GERAL_PROJ2[ACUMULADA])+GERAL_PROJ2[[#This Row],[TOTAL DO TRECHO]]),"")</f>
        <v/>
      </c>
      <c r="J13" s="55" t="str">
        <f>IFERROR(SQRT((GERAL_PROJ2[[#This Row],[X]]-$P$11)^2+(GERAL_PROJ2[[#This Row],[Y]]-$P$12)^2),"")</f>
        <v/>
      </c>
      <c r="K13" s="169"/>
      <c r="L13" s="171"/>
      <c r="M13" s="128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</row>
    <row r="14" spans="1:17" x14ac:dyDescent="0.3">
      <c r="A14" s="169"/>
      <c r="B14" s="168"/>
      <c r="C14" s="169"/>
      <c r="D14" s="128" t="str">
        <f>IFERROR(VLOOKUP(GERAL_PROJ2[[#This Row],[PONTO]],Tabela13[],2,0),"")</f>
        <v/>
      </c>
      <c r="E14" s="128" t="str">
        <f>IFERROR(VLOOKUP(GERAL_PROJ2[[#This Row],[PONTO]],Tabela13[],3,0),"")</f>
        <v/>
      </c>
      <c r="F14" s="129" t="str">
        <f>IFERROR(VLOOKUP(GERAL_PROJ2[[#This Row],[PONTO]],RAMAIS_ATUAL,24,0),"")</f>
        <v/>
      </c>
      <c r="G14" s="129" t="str">
        <f>IFERROR(SUMIF(GERAL_PROJ2[TRECHO],GERAL_PROJ2[[#This Row],[PONTO]],GERAL_PROJ2[CLT ACUMULADO])+GERAL_PROJ2[[#This Row],[CLIENTES]],"")</f>
        <v/>
      </c>
      <c r="H14" s="55" t="str">
        <f>IFERROR(VLOOKUP(GERAL_PROJ2[[#This Row],[PONTO]],RAMAIS_ATUAL,IF($I$2="SIM",25,23),0),"")</f>
        <v/>
      </c>
      <c r="I14" s="55" t="str">
        <f>IFERROR(IF($I$2="SIM",VLOOKUP(GERAL_PROJ2[[#This Row],[CLT ACUMULADO]],AUX_CLAN,4,0),SUMIF(GERAL_PROJ2[TRECHO],GERAL_PROJ2[[#This Row],[PONTO]],GERAL_PROJ2[ACUMULADA])+GERAL_PROJ2[[#This Row],[TOTAL DO TRECHO]]),"")</f>
        <v/>
      </c>
      <c r="J14" s="55" t="str">
        <f>IFERROR(SQRT((GERAL_PROJ2[[#This Row],[X]]-$P$11)^2+(GERAL_PROJ2[[#This Row],[Y]]-$P$12)^2),"")</f>
        <v/>
      </c>
      <c r="K14" s="169"/>
      <c r="L14" s="171"/>
      <c r="M14" s="128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  <c r="O14" s="190" t="s">
        <v>237</v>
      </c>
      <c r="P14" s="191"/>
    </row>
    <row r="15" spans="1:17" s="6" customFormat="1" x14ac:dyDescent="0.3">
      <c r="A15" s="169"/>
      <c r="B15" s="169"/>
      <c r="C15" s="169"/>
      <c r="D15" s="128" t="str">
        <f>IFERROR(VLOOKUP(GERAL_PROJ2[[#This Row],[PONTO]],Tabela13[],2,0),"")</f>
        <v/>
      </c>
      <c r="E15" s="128" t="str">
        <f>IFERROR(VLOOKUP(GERAL_PROJ2[[#This Row],[PONTO]],Tabela13[],3,0),"")</f>
        <v/>
      </c>
      <c r="F15" s="129" t="str">
        <f>IFERROR(VLOOKUP(GERAL_PROJ2[[#This Row],[PONTO]],RAMAIS_ATUAL,24,0),"")</f>
        <v/>
      </c>
      <c r="G15" s="129" t="str">
        <f>IFERROR(SUMIF(GERAL_PROJ2[TRECHO],GERAL_PROJ2[[#This Row],[PONTO]],GERAL_PROJ2[CLT ACUMULADO])+GERAL_PROJ2[[#This Row],[CLIENTES]],"")</f>
        <v/>
      </c>
      <c r="H15" s="55" t="str">
        <f>IFERROR(VLOOKUP(GERAL_PROJ2[[#This Row],[PONTO]],RAMAIS_ATUAL,IF($I$2="SIM",25,23),0),"")</f>
        <v/>
      </c>
      <c r="I15" s="55" t="str">
        <f>IFERROR(IF($I$2="SIM",VLOOKUP(GERAL_PROJ2[[#This Row],[CLT ACUMULADO]],AUX_CLAN,4,0),SUMIF(GERAL_PROJ2[TRECHO],GERAL_PROJ2[[#This Row],[PONTO]],GERAL_PROJ2[ACUMULADA])+GERAL_PROJ2[[#This Row],[TOTAL DO TRECHO]]),"")</f>
        <v/>
      </c>
      <c r="J15" s="55" t="str">
        <f>IFERROR(SQRT((GERAL_PROJ2[[#This Row],[X]]-$P$11)^2+(GERAL_PROJ2[[#This Row],[Y]]-$P$12)^2),"")</f>
        <v/>
      </c>
      <c r="K15" s="169"/>
      <c r="L15" s="171"/>
      <c r="M15" s="128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  <c r="O15" s="192"/>
      <c r="P15" s="192"/>
    </row>
    <row r="16" spans="1:17" x14ac:dyDescent="0.3">
      <c r="A16" s="169"/>
      <c r="B16" s="168"/>
      <c r="C16" s="169"/>
      <c r="D16" s="128" t="str">
        <f>IFERROR(VLOOKUP(GERAL_PROJ2[[#This Row],[PONTO]],Tabela13[],2,0),"")</f>
        <v/>
      </c>
      <c r="E16" s="128" t="str">
        <f>IFERROR(VLOOKUP(GERAL_PROJ2[[#This Row],[PONTO]],Tabela13[],3,0),"")</f>
        <v/>
      </c>
      <c r="F16" s="129" t="str">
        <f>IFERROR(VLOOKUP(GERAL_PROJ2[[#This Row],[PONTO]],RAMAIS_ATUAL,24,0),"")</f>
        <v/>
      </c>
      <c r="G16" s="129" t="str">
        <f>IFERROR(SUMIF(GERAL_PROJ2[TRECHO],GERAL_PROJ2[[#This Row],[PONTO]],GERAL_PROJ2[CLT ACUMULADO])+GERAL_PROJ2[[#This Row],[CLIENTES]],"")</f>
        <v/>
      </c>
      <c r="H16" s="55" t="str">
        <f>IFERROR(VLOOKUP(GERAL_PROJ2[[#This Row],[PONTO]],RAMAIS_ATUAL,IF($I$2="SIM",25,23),0),"")</f>
        <v/>
      </c>
      <c r="I16" s="55" t="str">
        <f>IFERROR(IF($I$2="SIM",VLOOKUP(GERAL_PROJ2[[#This Row],[CLT ACUMULADO]],AUX_CLAN,4,0),SUMIF(GERAL_PROJ2[TRECHO],GERAL_PROJ2[[#This Row],[PONTO]],GERAL_PROJ2[ACUMULADA])+GERAL_PROJ2[[#This Row],[TOTAL DO TRECHO]]),"")</f>
        <v/>
      </c>
      <c r="J16" s="55" t="str">
        <f>IFERROR(SQRT((GERAL_PROJ2[[#This Row],[X]]-$P$11)^2+(GERAL_PROJ2[[#This Row],[Y]]-$P$12)^2),"")</f>
        <v/>
      </c>
      <c r="K16" s="169"/>
      <c r="L16" s="171"/>
      <c r="M16" s="128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  <c r="O16" s="196" t="e">
        <f>INDEX(GERAL_PROJ2[PONTO],MATCH(MIN(GERAL_PROJ2[SNAP]),GERAL_PROJ2[SNAP],0))</f>
        <v>#N/A</v>
      </c>
      <c r="P16" s="189"/>
    </row>
    <row r="17" spans="1:16" s="6" customFormat="1" x14ac:dyDescent="0.3">
      <c r="A17" s="169"/>
      <c r="B17" s="169"/>
      <c r="C17" s="169"/>
      <c r="D17" s="128" t="str">
        <f>IFERROR(VLOOKUP(GERAL_PROJ2[[#This Row],[PONTO]],Tabela13[],2,0),"")</f>
        <v/>
      </c>
      <c r="E17" s="128" t="str">
        <f>IFERROR(VLOOKUP(GERAL_PROJ2[[#This Row],[PONTO]],Tabela13[],3,0),"")</f>
        <v/>
      </c>
      <c r="F17" s="129" t="str">
        <f>IFERROR(VLOOKUP(GERAL_PROJ2[[#This Row],[PONTO]],RAMAIS_ATUAL,24,0),"")</f>
        <v/>
      </c>
      <c r="G17" s="129" t="str">
        <f>IFERROR(SUMIF(GERAL_PROJ2[TRECHO],GERAL_PROJ2[[#This Row],[PONTO]],GERAL_PROJ2[CLT ACUMULADO])+GERAL_PROJ2[[#This Row],[CLIENTES]],"")</f>
        <v/>
      </c>
      <c r="H17" s="55" t="str">
        <f>IFERROR(VLOOKUP(GERAL_PROJ2[[#This Row],[PONTO]],RAMAIS_ATUAL,IF($I$2="SIM",25,23),0),"")</f>
        <v/>
      </c>
      <c r="I17" s="55" t="str">
        <f>IFERROR(IF($I$2="SIM",VLOOKUP(GERAL_PROJ2[[#This Row],[CLT ACUMULADO]],AUX_CLAN,4,0),SUMIF(GERAL_PROJ2[TRECHO],GERAL_PROJ2[[#This Row],[PONTO]],GERAL_PROJ2[ACUMULADA])+GERAL_PROJ2[[#This Row],[TOTAL DO TRECHO]]),"")</f>
        <v/>
      </c>
      <c r="J17" s="55" t="str">
        <f>IFERROR(SQRT((GERAL_PROJ2[[#This Row],[X]]-$P$11)^2+(GERAL_PROJ2[[#This Row],[Y]]-$P$12)^2),"")</f>
        <v/>
      </c>
      <c r="K17" s="169"/>
      <c r="L17" s="171"/>
      <c r="M17" s="128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</row>
    <row r="18" spans="1:16" x14ac:dyDescent="0.3">
      <c r="A18" s="169"/>
      <c r="B18" s="168"/>
      <c r="C18" s="169"/>
      <c r="D18" s="128" t="str">
        <f>IFERROR(VLOOKUP(GERAL_PROJ2[[#This Row],[PONTO]],Tabela13[],2,0),"")</f>
        <v/>
      </c>
      <c r="E18" s="128" t="str">
        <f>IFERROR(VLOOKUP(GERAL_PROJ2[[#This Row],[PONTO]],Tabela13[],3,0),"")</f>
        <v/>
      </c>
      <c r="F18" s="129" t="str">
        <f>IFERROR(VLOOKUP(GERAL_PROJ2[[#This Row],[PONTO]],RAMAIS_ATUAL,24,0),"")</f>
        <v/>
      </c>
      <c r="G18" s="129" t="str">
        <f>IFERROR(SUMIF(GERAL_PROJ2[TRECHO],GERAL_PROJ2[[#This Row],[PONTO]],GERAL_PROJ2[CLT ACUMULADO])+GERAL_PROJ2[[#This Row],[CLIENTES]],"")</f>
        <v/>
      </c>
      <c r="H18" s="55" t="str">
        <f>IFERROR(VLOOKUP(GERAL_PROJ2[[#This Row],[PONTO]],RAMAIS_ATUAL,IF($I$2="SIM",25,23),0),"")</f>
        <v/>
      </c>
      <c r="I18" s="55" t="str">
        <f>IFERROR(IF($I$2="SIM",VLOOKUP(GERAL_PROJ2[[#This Row],[CLT ACUMULADO]],AUX_CLAN,4,0),SUMIF(GERAL_PROJ2[TRECHO],GERAL_PROJ2[[#This Row],[PONTO]],GERAL_PROJ2[ACUMULADA])+GERAL_PROJ2[[#This Row],[TOTAL DO TRECHO]]),"")</f>
        <v/>
      </c>
      <c r="J18" s="55" t="str">
        <f>IFERROR(SQRT((GERAL_PROJ2[[#This Row],[X]]-$P$11)^2+(GERAL_PROJ2[[#This Row],[Y]]-$P$12)^2),"")</f>
        <v/>
      </c>
      <c r="K18" s="169"/>
      <c r="L18" s="171"/>
      <c r="M18" s="128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  <c r="O18" s="200" t="s">
        <v>239</v>
      </c>
      <c r="P18" s="191"/>
    </row>
    <row r="19" spans="1:16" s="6" customFormat="1" x14ac:dyDescent="0.3">
      <c r="A19" s="169"/>
      <c r="B19" s="169"/>
      <c r="C19" s="169"/>
      <c r="D19" s="128" t="str">
        <f>IFERROR(VLOOKUP(GERAL_PROJ2[[#This Row],[PONTO]],Tabela13[],2,0),"")</f>
        <v/>
      </c>
      <c r="E19" s="128" t="str">
        <f>IFERROR(VLOOKUP(GERAL_PROJ2[[#This Row],[PONTO]],Tabela13[],3,0),"")</f>
        <v/>
      </c>
      <c r="F19" s="129" t="str">
        <f>IFERROR(VLOOKUP(GERAL_PROJ2[[#This Row],[PONTO]],RAMAIS_ATUAL,24,0),"")</f>
        <v/>
      </c>
      <c r="G19" s="129" t="str">
        <f>IFERROR(SUMIF(GERAL_PROJ2[TRECHO],GERAL_PROJ2[[#This Row],[PONTO]],GERAL_PROJ2[CLT ACUMULADO])+GERAL_PROJ2[[#This Row],[CLIENTES]],"")</f>
        <v/>
      </c>
      <c r="H19" s="55" t="str">
        <f>IFERROR(VLOOKUP(GERAL_PROJ2[[#This Row],[PONTO]],RAMAIS_ATUAL,IF($I$2="SIM",25,23),0),"")</f>
        <v/>
      </c>
      <c r="I19" s="55" t="str">
        <f>IFERROR(IF($I$2="SIM",VLOOKUP(GERAL_PROJ2[[#This Row],[CLT ACUMULADO]],AUX_CLAN,4,0),SUMIF(GERAL_PROJ2[TRECHO],GERAL_PROJ2[[#This Row],[PONTO]],GERAL_PROJ2[ACUMULADA])+GERAL_PROJ2[[#This Row],[TOTAL DO TRECHO]]),"")</f>
        <v/>
      </c>
      <c r="J19" s="55" t="str">
        <f>IFERROR(SQRT((GERAL_PROJ2[[#This Row],[X]]-$P$11)^2+(GERAL_PROJ2[[#This Row],[Y]]-$P$12)^2),"")</f>
        <v/>
      </c>
      <c r="K19" s="169"/>
      <c r="L19" s="171"/>
      <c r="M19" s="128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  <c r="O19" s="192"/>
      <c r="P19" s="192"/>
    </row>
    <row r="20" spans="1:16" x14ac:dyDescent="0.3">
      <c r="A20" s="169"/>
      <c r="B20" s="168"/>
      <c r="C20" s="169"/>
      <c r="D20" s="128" t="str">
        <f>IFERROR(VLOOKUP(GERAL_PROJ2[[#This Row],[PONTO]],Tabela13[],2,0),"")</f>
        <v/>
      </c>
      <c r="E20" s="128" t="str">
        <f>IFERROR(VLOOKUP(GERAL_PROJ2[[#This Row],[PONTO]],Tabela13[],3,0),"")</f>
        <v/>
      </c>
      <c r="F20" s="129" t="str">
        <f>IFERROR(VLOOKUP(GERAL_PROJ2[[#This Row],[PONTO]],RAMAIS_ATUAL,24,0),"")</f>
        <v/>
      </c>
      <c r="G20" s="129" t="str">
        <f>IFERROR(SUMIF(GERAL_PROJ2[TRECHO],GERAL_PROJ2[[#This Row],[PONTO]],GERAL_PROJ2[CLT ACUMULADO])+GERAL_PROJ2[[#This Row],[CLIENTES]],"")</f>
        <v/>
      </c>
      <c r="H20" s="55" t="str">
        <f>IFERROR(VLOOKUP(GERAL_PROJ2[[#This Row],[PONTO]],RAMAIS_ATUAL,IF($I$2="SIM",25,23),0),"")</f>
        <v/>
      </c>
      <c r="I20" s="55" t="str">
        <f>IFERROR(IF($I$2="SIM",VLOOKUP(GERAL_PROJ2[[#This Row],[CLT ACUMULADO]],AUX_CLAN,4,0),SUMIF(GERAL_PROJ2[TRECHO],GERAL_PROJ2[[#This Row],[PONTO]],GERAL_PROJ2[ACUMULADA])+GERAL_PROJ2[[#This Row],[TOTAL DO TRECHO]]),"")</f>
        <v/>
      </c>
      <c r="J20" s="55" t="str">
        <f>IFERROR(SQRT((GERAL_PROJ2[[#This Row],[X]]-$P$11)^2+(GERAL_PROJ2[[#This Row],[Y]]-$P$12)^2),"")</f>
        <v/>
      </c>
      <c r="K20" s="169"/>
      <c r="L20" s="171"/>
      <c r="M20" s="128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  <c r="O20" s="193">
        <f>O25/400</f>
        <v>0</v>
      </c>
      <c r="P20" s="189"/>
    </row>
    <row r="21" spans="1:16" s="6" customFormat="1" x14ac:dyDescent="0.3">
      <c r="A21" s="169"/>
      <c r="B21" s="169"/>
      <c r="C21" s="169"/>
      <c r="D21" s="128" t="str">
        <f>IFERROR(VLOOKUP(GERAL_PROJ2[[#This Row],[PONTO]],Tabela13[],2,0),"")</f>
        <v/>
      </c>
      <c r="E21" s="128" t="str">
        <f>IFERROR(VLOOKUP(GERAL_PROJ2[[#This Row],[PONTO]],Tabela13[],3,0),"")</f>
        <v/>
      </c>
      <c r="F21" s="129" t="str">
        <f>IFERROR(VLOOKUP(GERAL_PROJ2[[#This Row],[PONTO]],RAMAIS_ATUAL,24,0),"")</f>
        <v/>
      </c>
      <c r="G21" s="129" t="str">
        <f>IFERROR(SUMIF(GERAL_PROJ2[TRECHO],GERAL_PROJ2[[#This Row],[PONTO]],GERAL_PROJ2[CLT ACUMULADO])+GERAL_PROJ2[[#This Row],[CLIENTES]],"")</f>
        <v/>
      </c>
      <c r="H21" s="55" t="str">
        <f>IFERROR(VLOOKUP(GERAL_PROJ2[[#This Row],[PONTO]],RAMAIS_ATUAL,IF($I$2="SIM",25,23),0),"")</f>
        <v/>
      </c>
      <c r="I21" s="55" t="str">
        <f>IFERROR(IF($I$2="SIM",VLOOKUP(GERAL_PROJ2[[#This Row],[CLT ACUMULADO]],AUX_CLAN,4,0),SUMIF(GERAL_PROJ2[TRECHO],GERAL_PROJ2[[#This Row],[PONTO]],GERAL_PROJ2[ACUMULADA])+GERAL_PROJ2[[#This Row],[TOTAL DO TRECHO]]),"")</f>
        <v/>
      </c>
      <c r="J21" s="55" t="str">
        <f>IFERROR(SQRT((GERAL_PROJ2[[#This Row],[X]]-$P$11)^2+(GERAL_PROJ2[[#This Row],[Y]]-$P$12)^2),"")</f>
        <v/>
      </c>
      <c r="K21" s="169"/>
      <c r="L21" s="171"/>
      <c r="M21" s="128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  <c r="O21" s="198" t="s">
        <v>240</v>
      </c>
      <c r="P21" s="199"/>
    </row>
    <row r="22" spans="1:16" x14ac:dyDescent="0.3">
      <c r="A22" s="169"/>
      <c r="B22" s="168"/>
      <c r="C22" s="169"/>
      <c r="D22" s="128" t="str">
        <f>IFERROR(VLOOKUP(GERAL_PROJ2[[#This Row],[PONTO]],Tabela13[],2,0),"")</f>
        <v/>
      </c>
      <c r="E22" s="128" t="str">
        <f>IFERROR(VLOOKUP(GERAL_PROJ2[[#This Row],[PONTO]],Tabela13[],3,0),"")</f>
        <v/>
      </c>
      <c r="F22" s="129" t="str">
        <f>IFERROR(VLOOKUP(GERAL_PROJ2[[#This Row],[PONTO]],RAMAIS_ATUAL,24,0),"")</f>
        <v/>
      </c>
      <c r="G22" s="129" t="str">
        <f>IFERROR(SUMIF(GERAL_PROJ2[TRECHO],GERAL_PROJ2[[#This Row],[PONTO]],GERAL_PROJ2[CLT ACUMULADO])+GERAL_PROJ2[[#This Row],[CLIENTES]],"")</f>
        <v/>
      </c>
      <c r="H22" s="55" t="str">
        <f>IFERROR(VLOOKUP(GERAL_PROJ2[[#This Row],[PONTO]],RAMAIS_ATUAL,IF($I$2="SIM",25,23),0),"")</f>
        <v/>
      </c>
      <c r="I22" s="55" t="str">
        <f>IFERROR(IF($I$2="SIM",VLOOKUP(GERAL_PROJ2[[#This Row],[CLT ACUMULADO]],AUX_CLAN,4,0),SUMIF(GERAL_PROJ2[TRECHO],GERAL_PROJ2[[#This Row],[PONTO]],GERAL_PROJ2[ACUMULADA])+GERAL_PROJ2[[#This Row],[TOTAL DO TRECHO]]),"")</f>
        <v/>
      </c>
      <c r="J22" s="55" t="str">
        <f>IFERROR(SQRT((GERAL_PROJ2[[#This Row],[X]]-$P$11)^2+(GERAL_PROJ2[[#This Row],[Y]]-$P$12)^2),"")</f>
        <v/>
      </c>
      <c r="K22" s="169"/>
      <c r="L22" s="171"/>
      <c r="M22" s="128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</row>
    <row r="23" spans="1:16" s="6" customFormat="1" x14ac:dyDescent="0.3">
      <c r="A23" s="169"/>
      <c r="B23" s="169"/>
      <c r="C23" s="169"/>
      <c r="D23" s="128" t="str">
        <f>IFERROR(VLOOKUP(GERAL_PROJ2[[#This Row],[PONTO]],Tabela13[],2,0),"")</f>
        <v/>
      </c>
      <c r="E23" s="128" t="str">
        <f>IFERROR(VLOOKUP(GERAL_PROJ2[[#This Row],[PONTO]],Tabela13[],3,0),"")</f>
        <v/>
      </c>
      <c r="F23" s="129" t="str">
        <f>IFERROR(VLOOKUP(GERAL_PROJ2[[#This Row],[PONTO]],RAMAIS_ATUAL,24,0),"")</f>
        <v/>
      </c>
      <c r="G23" s="129" t="str">
        <f>IFERROR(SUMIF(GERAL_PROJ2[TRECHO],GERAL_PROJ2[[#This Row],[PONTO]],GERAL_PROJ2[CLT ACUMULADO])+GERAL_PROJ2[[#This Row],[CLIENTES]],"")</f>
        <v/>
      </c>
      <c r="H23" s="55" t="str">
        <f>IFERROR(VLOOKUP(GERAL_PROJ2[[#This Row],[PONTO]],RAMAIS_ATUAL,IF($I$2="SIM",25,23),0),"")</f>
        <v/>
      </c>
      <c r="I23" s="55" t="str">
        <f>IFERROR(IF($I$2="SIM",VLOOKUP(GERAL_PROJ2[[#This Row],[CLT ACUMULADO]],AUX_CLAN,4,0),SUMIF(GERAL_PROJ2[TRECHO],GERAL_PROJ2[[#This Row],[PONTO]],GERAL_PROJ2[ACUMULADA])+GERAL_PROJ2[[#This Row],[TOTAL DO TRECHO]]),"")</f>
        <v/>
      </c>
      <c r="J23" s="55" t="str">
        <f>IFERROR(SQRT((GERAL_PROJ2[[#This Row],[X]]-$P$11)^2+(GERAL_PROJ2[[#This Row],[Y]]-$P$12)^2),"")</f>
        <v/>
      </c>
      <c r="K23" s="169"/>
      <c r="L23" s="171"/>
      <c r="M23" s="128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  <c r="O23" s="190" t="s">
        <v>241</v>
      </c>
      <c r="P23" s="191"/>
    </row>
    <row r="24" spans="1:16" x14ac:dyDescent="0.3">
      <c r="A24" s="169"/>
      <c r="B24" s="168"/>
      <c r="C24" s="169"/>
      <c r="D24" s="128" t="str">
        <f>IFERROR(VLOOKUP(GERAL_PROJ2[[#This Row],[PONTO]],Tabela13[],2,0),"")</f>
        <v/>
      </c>
      <c r="E24" s="128" t="str">
        <f>IFERROR(VLOOKUP(GERAL_PROJ2[[#This Row],[PONTO]],Tabela13[],3,0),"")</f>
        <v/>
      </c>
      <c r="F24" s="129" t="str">
        <f>IFERROR(VLOOKUP(GERAL_PROJ2[[#This Row],[PONTO]],RAMAIS_ATUAL,24,0),"")</f>
        <v/>
      </c>
      <c r="G24" s="129" t="str">
        <f>IFERROR(SUMIF(GERAL_PROJ2[TRECHO],GERAL_PROJ2[[#This Row],[PONTO]],GERAL_PROJ2[CLT ACUMULADO])+GERAL_PROJ2[[#This Row],[CLIENTES]],"")</f>
        <v/>
      </c>
      <c r="H24" s="55" t="str">
        <f>IFERROR(VLOOKUP(GERAL_PROJ2[[#This Row],[PONTO]],RAMAIS_ATUAL,IF($I$2="SIM",25,23),0),"")</f>
        <v/>
      </c>
      <c r="I24" s="55" t="str">
        <f>IFERROR(IF($I$2="SIM",VLOOKUP(GERAL_PROJ2[[#This Row],[CLT ACUMULADO]],AUX_CLAN,4,0),SUMIF(GERAL_PROJ2[TRECHO],GERAL_PROJ2[[#This Row],[PONTO]],GERAL_PROJ2[ACUMULADA])+GERAL_PROJ2[[#This Row],[TOTAL DO TRECHO]]),"")</f>
        <v/>
      </c>
      <c r="J24" s="55" t="str">
        <f>IFERROR(SQRT((GERAL_PROJ2[[#This Row],[X]]-$P$11)^2+(GERAL_PROJ2[[#This Row],[Y]]-$P$12)^2),"")</f>
        <v/>
      </c>
      <c r="K24" s="169"/>
      <c r="L24" s="171"/>
      <c r="M24" s="128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  <c r="O24" s="192"/>
      <c r="P24" s="192"/>
    </row>
    <row r="25" spans="1:16" x14ac:dyDescent="0.3">
      <c r="A25" s="169"/>
      <c r="B25" s="169"/>
      <c r="C25" s="169"/>
      <c r="D25" s="128" t="str">
        <f>IFERROR(VLOOKUP(GERAL_PROJ2[[#This Row],[PONTO]],Tabela13[],2,0),"")</f>
        <v/>
      </c>
      <c r="E25" s="128" t="str">
        <f>IFERROR(VLOOKUP(GERAL_PROJ2[[#This Row],[PONTO]],Tabela13[],3,0),"")</f>
        <v/>
      </c>
      <c r="F25" s="129" t="str">
        <f>IFERROR(VLOOKUP(GERAL_PROJ2[[#This Row],[PONTO]],RAMAIS_ATUAL,24,0),"")</f>
        <v/>
      </c>
      <c r="G25" s="129" t="str">
        <f>IFERROR(SUMIF(GERAL_PROJ2[TRECHO],GERAL_PROJ2[[#This Row],[PONTO]],GERAL_PROJ2[CLT ACUMULADO])+GERAL_PROJ2[[#This Row],[CLIENTES]],"")</f>
        <v/>
      </c>
      <c r="H25" s="55" t="str">
        <f>IFERROR(VLOOKUP(GERAL_PROJ2[[#This Row],[PONTO]],RAMAIS_ATUAL,IF($I$2="SIM",25,23),0),"")</f>
        <v/>
      </c>
      <c r="I25" s="55" t="str">
        <f>IFERROR(IF($I$2="SIM",VLOOKUP(GERAL_PROJ2[[#This Row],[CLT ACUMULADO]],AUX_CLAN,4,0),SUMIF(GERAL_PROJ2[TRECHO],GERAL_PROJ2[[#This Row],[PONTO]],GERAL_PROJ2[ACUMULADA])+GERAL_PROJ2[[#This Row],[TOTAL DO TRECHO]]),"")</f>
        <v/>
      </c>
      <c r="J25" s="55" t="str">
        <f>IFERROR(SQRT((GERAL_PROJ2[[#This Row],[X]]-$P$11)^2+(GERAL_PROJ2[[#This Row],[Y]]-$P$12)^2),"")</f>
        <v/>
      </c>
      <c r="K25" s="169"/>
      <c r="L25" s="171"/>
      <c r="M25" s="128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  <c r="O25" s="197">
        <f>SUM(GERAL_PROJ2[M])</f>
        <v>0</v>
      </c>
      <c r="P25" s="189"/>
    </row>
    <row r="26" spans="1:16" x14ac:dyDescent="0.3">
      <c r="A26" s="169"/>
      <c r="B26" s="168"/>
      <c r="C26" s="169"/>
      <c r="D26" s="128" t="str">
        <f>IFERROR(VLOOKUP(GERAL_PROJ2[[#This Row],[PONTO]],Tabela13[],2,0),"")</f>
        <v/>
      </c>
      <c r="E26" s="128" t="str">
        <f>IFERROR(VLOOKUP(GERAL_PROJ2[[#This Row],[PONTO]],Tabela13[],3,0),"")</f>
        <v/>
      </c>
      <c r="F26" s="129" t="str">
        <f>IFERROR(VLOOKUP(GERAL_PROJ2[[#This Row],[PONTO]],RAMAIS_ATUAL,24,0),"")</f>
        <v/>
      </c>
      <c r="G26" s="129" t="str">
        <f>IFERROR(SUMIF(GERAL_PROJ2[TRECHO],GERAL_PROJ2[[#This Row],[PONTO]],GERAL_PROJ2[CLT ACUMULADO])+GERAL_PROJ2[[#This Row],[CLIENTES]],"")</f>
        <v/>
      </c>
      <c r="H26" s="55" t="str">
        <f>IFERROR(VLOOKUP(GERAL_PROJ2[[#This Row],[PONTO]],RAMAIS_ATUAL,IF($I$2="SIM",25,23),0),"")</f>
        <v/>
      </c>
      <c r="I26" s="55" t="str">
        <f>IFERROR(IF($I$2="SIM",VLOOKUP(GERAL_PROJ2[[#This Row],[CLT ACUMULADO]],AUX_CLAN,4,0),SUMIF(GERAL_PROJ2[TRECHO],GERAL_PROJ2[[#This Row],[PONTO]],GERAL_PROJ2[ACUMULADA])+GERAL_PROJ2[[#This Row],[TOTAL DO TRECHO]]),"")</f>
        <v/>
      </c>
      <c r="J26" s="55" t="str">
        <f>IFERROR(SQRT((GERAL_PROJ2[[#This Row],[X]]-$P$11)^2+(GERAL_PROJ2[[#This Row],[Y]]-$P$12)^2),"")</f>
        <v/>
      </c>
      <c r="K26" s="169"/>
      <c r="L26" s="171"/>
      <c r="M26" s="128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</row>
    <row r="27" spans="1:16" x14ac:dyDescent="0.3">
      <c r="A27" s="169"/>
      <c r="B27" s="169"/>
      <c r="C27" s="169"/>
      <c r="D27" s="128" t="str">
        <f>IFERROR(VLOOKUP(GERAL_PROJ2[[#This Row],[PONTO]],Tabela13[],2,0),"")</f>
        <v/>
      </c>
      <c r="E27" s="128" t="str">
        <f>IFERROR(VLOOKUP(GERAL_PROJ2[[#This Row],[PONTO]],Tabela13[],3,0),"")</f>
        <v/>
      </c>
      <c r="F27" s="129" t="str">
        <f>IFERROR(VLOOKUP(GERAL_PROJ2[[#This Row],[PONTO]],RAMAIS_ATUAL,24,0),"")</f>
        <v/>
      </c>
      <c r="G27" s="129" t="str">
        <f>IFERROR(SUMIF(GERAL_PROJ2[TRECHO],GERAL_PROJ2[[#This Row],[PONTO]],GERAL_PROJ2[CLT ACUMULADO])+GERAL_PROJ2[[#This Row],[CLIENTES]],"")</f>
        <v/>
      </c>
      <c r="H27" s="55" t="str">
        <f>IFERROR(VLOOKUP(GERAL_PROJ2[[#This Row],[PONTO]],RAMAIS_ATUAL,IF($I$2="SIM",25,23),0),"")</f>
        <v/>
      </c>
      <c r="I27" s="55" t="str">
        <f>IFERROR(IF($I$2="SIM",VLOOKUP(GERAL_PROJ2[[#This Row],[CLT ACUMULADO]],AUX_CLAN,4,0),SUMIF(GERAL_PROJ2[TRECHO],GERAL_PROJ2[[#This Row],[PONTO]],GERAL_PROJ2[ACUMULADA])+GERAL_PROJ2[[#This Row],[TOTAL DO TRECHO]]),"")</f>
        <v/>
      </c>
      <c r="J27" s="55" t="str">
        <f>IFERROR(SQRT((GERAL_PROJ2[[#This Row],[X]]-$P$11)^2+(GERAL_PROJ2[[#This Row],[Y]]-$P$12)^2),"")</f>
        <v/>
      </c>
      <c r="K27" s="169"/>
      <c r="L27" s="171"/>
      <c r="M27" s="128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  <c r="O27" s="190" t="s">
        <v>242</v>
      </c>
      <c r="P27" s="191"/>
    </row>
    <row r="28" spans="1:16" x14ac:dyDescent="0.3">
      <c r="A28" s="169"/>
      <c r="B28" s="168"/>
      <c r="C28" s="169"/>
      <c r="D28" s="128" t="str">
        <f>IFERROR(VLOOKUP(GERAL_PROJ2[[#This Row],[PONTO]],Tabela13[],2,0),"")</f>
        <v/>
      </c>
      <c r="E28" s="128" t="str">
        <f>IFERROR(VLOOKUP(GERAL_PROJ2[[#This Row],[PONTO]],Tabela13[],3,0),"")</f>
        <v/>
      </c>
      <c r="F28" s="129" t="str">
        <f>IFERROR(VLOOKUP(GERAL_PROJ2[[#This Row],[PONTO]],RAMAIS_ATUAL,24,0),"")</f>
        <v/>
      </c>
      <c r="G28" s="129" t="str">
        <f>IFERROR(SUMIF(GERAL_PROJ2[TRECHO],GERAL_PROJ2[[#This Row],[PONTO]],GERAL_PROJ2[CLT ACUMULADO])+GERAL_PROJ2[[#This Row],[CLIENTES]],"")</f>
        <v/>
      </c>
      <c r="H28" s="55" t="str">
        <f>IFERROR(VLOOKUP(GERAL_PROJ2[[#This Row],[PONTO]],RAMAIS_ATUAL,IF($I$2="SIM",25,23),0),"")</f>
        <v/>
      </c>
      <c r="I28" s="55" t="str">
        <f>IFERROR(IF($I$2="SIM",VLOOKUP(GERAL_PROJ2[[#This Row],[CLT ACUMULADO]],AUX_CLAN,4,0),SUMIF(GERAL_PROJ2[TRECHO],GERAL_PROJ2[[#This Row],[PONTO]],GERAL_PROJ2[ACUMULADA])+GERAL_PROJ2[[#This Row],[TOTAL DO TRECHO]]),"")</f>
        <v/>
      </c>
      <c r="J28" s="55" t="str">
        <f>IFERROR(SQRT((GERAL_PROJ2[[#This Row],[X]]-$P$11)^2+(GERAL_PROJ2[[#This Row],[Y]]-$P$12)^2),"")</f>
        <v/>
      </c>
      <c r="K28" s="169"/>
      <c r="L28" s="171"/>
      <c r="M28" s="128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  <c r="O28" s="192"/>
      <c r="P28" s="192"/>
    </row>
    <row r="29" spans="1:16" x14ac:dyDescent="0.3">
      <c r="A29" s="169"/>
      <c r="B29" s="169"/>
      <c r="C29" s="169"/>
      <c r="D29" s="128" t="str">
        <f>IFERROR(VLOOKUP(GERAL_PROJ2[[#This Row],[PONTO]],Tabela13[],2,0),"")</f>
        <v/>
      </c>
      <c r="E29" s="128" t="str">
        <f>IFERROR(VLOOKUP(GERAL_PROJ2[[#This Row],[PONTO]],Tabela13[],3,0),"")</f>
        <v/>
      </c>
      <c r="F29" s="129" t="str">
        <f>IFERROR(VLOOKUP(GERAL_PROJ2[[#This Row],[PONTO]],RAMAIS_ATUAL,24,0),"")</f>
        <v/>
      </c>
      <c r="G29" s="129" t="str">
        <f>IFERROR(SUMIF(GERAL_PROJ2[TRECHO],GERAL_PROJ2[[#This Row],[PONTO]],GERAL_PROJ2[CLT ACUMULADO])+GERAL_PROJ2[[#This Row],[CLIENTES]],"")</f>
        <v/>
      </c>
      <c r="H29" s="55" t="str">
        <f>IFERROR(VLOOKUP(GERAL_PROJ2[[#This Row],[PONTO]],RAMAIS_ATUAL,IF($I$2="SIM",25,23),0),"")</f>
        <v/>
      </c>
      <c r="I29" s="55" t="str">
        <f>IFERROR(IF($I$2="SIM",VLOOKUP(GERAL_PROJ2[[#This Row],[CLT ACUMULADO]],AUX_CLAN,4,0),SUMIF(GERAL_PROJ2[TRECHO],GERAL_PROJ2[[#This Row],[PONTO]],GERAL_PROJ2[ACUMULADA])+GERAL_PROJ2[[#This Row],[TOTAL DO TRECHO]]),"")</f>
        <v/>
      </c>
      <c r="J29" s="55" t="str">
        <f>IFERROR(SQRT((GERAL_PROJ2[[#This Row],[X]]-$P$11)^2+(GERAL_PROJ2[[#This Row],[Y]]-$P$12)^2),"")</f>
        <v/>
      </c>
      <c r="K29" s="169"/>
      <c r="L29" s="171"/>
      <c r="M29" s="128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  <c r="O29" s="188">
        <f>DMDI</f>
        <v>2.84</v>
      </c>
      <c r="P29" s="189"/>
    </row>
    <row r="30" spans="1:16" x14ac:dyDescent="0.3">
      <c r="A30" s="169"/>
      <c r="B30" s="168"/>
      <c r="C30" s="169"/>
      <c r="D30" s="128" t="str">
        <f>IFERROR(VLOOKUP(GERAL_PROJ2[[#This Row],[PONTO]],Tabela13[],2,0),"")</f>
        <v/>
      </c>
      <c r="E30" s="128" t="str">
        <f>IFERROR(VLOOKUP(GERAL_PROJ2[[#This Row],[PONTO]],Tabela13[],3,0),"")</f>
        <v/>
      </c>
      <c r="F30" s="129" t="str">
        <f>IFERROR(VLOOKUP(GERAL_PROJ2[[#This Row],[PONTO]],RAMAIS_ATUAL,24,0),"")</f>
        <v/>
      </c>
      <c r="G30" s="129" t="str">
        <f>IFERROR(SUMIF(GERAL_PROJ2[TRECHO],GERAL_PROJ2[[#This Row],[PONTO]],GERAL_PROJ2[CLT ACUMULADO])+GERAL_PROJ2[[#This Row],[CLIENTES]],"")</f>
        <v/>
      </c>
      <c r="H30" s="55" t="str">
        <f>IFERROR(VLOOKUP(GERAL_PROJ2[[#This Row],[PONTO]],RAMAIS_ATUAL,IF($I$2="SIM",25,23),0),"")</f>
        <v/>
      </c>
      <c r="I30" s="55" t="str">
        <f>IFERROR(IF($I$2="SIM",VLOOKUP(GERAL_PROJ2[[#This Row],[CLT ACUMULADO]],AUX_CLAN,4,0),SUMIF(GERAL_PROJ2[TRECHO],GERAL_PROJ2[[#This Row],[PONTO]],GERAL_PROJ2[ACUMULADA])+GERAL_PROJ2[[#This Row],[TOTAL DO TRECHO]]),"")</f>
        <v/>
      </c>
      <c r="J30" s="55" t="str">
        <f>IFERROR(SQRT((GERAL_PROJ2[[#This Row],[X]]-$P$11)^2+(GERAL_PROJ2[[#This Row],[Y]]-$P$12)^2),"")</f>
        <v/>
      </c>
      <c r="K30" s="169"/>
      <c r="L30" s="171"/>
      <c r="M30" s="128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</row>
    <row r="31" spans="1:16" x14ac:dyDescent="0.3">
      <c r="A31" s="169"/>
      <c r="B31" s="169"/>
      <c r="C31" s="169"/>
      <c r="D31" s="128" t="str">
        <f>IFERROR(VLOOKUP(GERAL_PROJ2[[#This Row],[PONTO]],Tabela13[],2,0),"")</f>
        <v/>
      </c>
      <c r="E31" s="128" t="str">
        <f>IFERROR(VLOOKUP(GERAL_PROJ2[[#This Row],[PONTO]],Tabela13[],3,0),"")</f>
        <v/>
      </c>
      <c r="F31" s="129" t="str">
        <f>IFERROR(VLOOKUP(GERAL_PROJ2[[#This Row],[PONTO]],RAMAIS_ATUAL,24,0),"")</f>
        <v/>
      </c>
      <c r="G31" s="129" t="str">
        <f>IFERROR(SUMIF(GERAL_PROJ2[TRECHO],GERAL_PROJ2[[#This Row],[PONTO]],GERAL_PROJ2[CLT ACUMULADO])+GERAL_PROJ2[[#This Row],[CLIENTES]],"")</f>
        <v/>
      </c>
      <c r="H31" s="55" t="str">
        <f>IFERROR(VLOOKUP(GERAL_PROJ2[[#This Row],[PONTO]],RAMAIS_ATUAL,IF($I$2="SIM",25,23),0),"")</f>
        <v/>
      </c>
      <c r="I31" s="55" t="str">
        <f>IFERROR(IF($I$2="SIM",VLOOKUP(GERAL_PROJ2[[#This Row],[CLT ACUMULADO]],AUX_CLAN,4,0),SUMIF(GERAL_PROJ2[TRECHO],GERAL_PROJ2[[#This Row],[PONTO]],GERAL_PROJ2[ACUMULADA])+GERAL_PROJ2[[#This Row],[TOTAL DO TRECHO]]),"")</f>
        <v/>
      </c>
      <c r="J31" s="55" t="str">
        <f>IFERROR(SQRT((GERAL_PROJ2[[#This Row],[X]]-$P$11)^2+(GERAL_PROJ2[[#This Row],[Y]]-$P$12)^2),"")</f>
        <v/>
      </c>
      <c r="K31" s="169"/>
      <c r="L31" s="171"/>
      <c r="M31" s="128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  <c r="O31" s="14" t="s">
        <v>221</v>
      </c>
      <c r="P31" s="99" t="str">
        <f ca="1">VLOOKUP("RAMAL",ESQ_PROJ2[[PONTO]:[ETA]],15,0)</f>
        <v/>
      </c>
    </row>
    <row r="32" spans="1:16" x14ac:dyDescent="0.3">
      <c r="A32" s="169"/>
      <c r="B32" s="168"/>
      <c r="C32" s="169"/>
      <c r="D32" s="128" t="str">
        <f>IFERROR(VLOOKUP(GERAL_PROJ2[[#This Row],[PONTO]],Tabela13[],2,0),"")</f>
        <v/>
      </c>
      <c r="E32" s="128" t="str">
        <f>IFERROR(VLOOKUP(GERAL_PROJ2[[#This Row],[PONTO]],Tabela13[],3,0),"")</f>
        <v/>
      </c>
      <c r="F32" s="129" t="str">
        <f>IFERROR(VLOOKUP(GERAL_PROJ2[[#This Row],[PONTO]],RAMAIS_ATUAL,24,0),"")</f>
        <v/>
      </c>
      <c r="G32" s="129" t="str">
        <f>IFERROR(SUMIF(GERAL_PROJ2[TRECHO],GERAL_PROJ2[[#This Row],[PONTO]],GERAL_PROJ2[CLT ACUMULADO])+GERAL_PROJ2[[#This Row],[CLIENTES]],"")</f>
        <v/>
      </c>
      <c r="H32" s="55" t="str">
        <f>IFERROR(VLOOKUP(GERAL_PROJ2[[#This Row],[PONTO]],RAMAIS_ATUAL,IF($I$2="SIM",25,23),0),"")</f>
        <v/>
      </c>
      <c r="I32" s="55" t="str">
        <f>IFERROR(IF($I$2="SIM",VLOOKUP(GERAL_PROJ2[[#This Row],[CLT ACUMULADO]],AUX_CLAN,4,0),SUMIF(GERAL_PROJ2[TRECHO],GERAL_PROJ2[[#This Row],[PONTO]],GERAL_PROJ2[ACUMULADA])+GERAL_PROJ2[[#This Row],[TOTAL DO TRECHO]]),"")</f>
        <v/>
      </c>
      <c r="J32" s="55" t="str">
        <f>IFERROR(SQRT((GERAL_PROJ2[[#This Row],[X]]-$P$11)^2+(GERAL_PROJ2[[#This Row],[Y]]-$P$12)^2),"")</f>
        <v/>
      </c>
      <c r="K32" s="169"/>
      <c r="L32" s="171"/>
      <c r="M32" s="128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  <c r="O32" s="14" t="s">
        <v>223</v>
      </c>
      <c r="P32" s="99" t="str">
        <f ca="1">VLOOKUP("RAMAL",Tabela71023[[PONTO]:[ETA]],15,0)</f>
        <v/>
      </c>
    </row>
    <row r="33" spans="1:13" x14ac:dyDescent="0.3">
      <c r="A33" s="169"/>
      <c r="B33" s="169"/>
      <c r="C33" s="169"/>
      <c r="D33" s="128" t="str">
        <f>IFERROR(VLOOKUP(GERAL_PROJ2[[#This Row],[PONTO]],Tabela13[],2,0),"")</f>
        <v/>
      </c>
      <c r="E33" s="128" t="str">
        <f>IFERROR(VLOOKUP(GERAL_PROJ2[[#This Row],[PONTO]],Tabela13[],3,0),"")</f>
        <v/>
      </c>
      <c r="F33" s="129" t="str">
        <f>IFERROR(VLOOKUP(GERAL_PROJ2[[#This Row],[PONTO]],RAMAIS_ATUAL,24,0),"")</f>
        <v/>
      </c>
      <c r="G33" s="129" t="str">
        <f>IFERROR(SUMIF(GERAL_PROJ2[TRECHO],GERAL_PROJ2[[#This Row],[PONTO]],GERAL_PROJ2[CLT ACUMULADO])+GERAL_PROJ2[[#This Row],[CLIENTES]],"")</f>
        <v/>
      </c>
      <c r="H33" s="55" t="str">
        <f>IFERROR(VLOOKUP(GERAL_PROJ2[[#This Row],[PONTO]],RAMAIS_ATUAL,IF($I$2="SIM",25,23),0),"")</f>
        <v/>
      </c>
      <c r="I33" s="55" t="str">
        <f>IFERROR(IF($I$2="SIM",VLOOKUP(GERAL_PROJ2[[#This Row],[CLT ACUMULADO]],AUX_CLAN,4,0),SUMIF(GERAL_PROJ2[TRECHO],GERAL_PROJ2[[#This Row],[PONTO]],GERAL_PROJ2[ACUMULADA])+GERAL_PROJ2[[#This Row],[TOTAL DO TRECHO]]),"")</f>
        <v/>
      </c>
      <c r="J33" s="55" t="str">
        <f>IFERROR(SQRT((GERAL_PROJ2[[#This Row],[X]]-$P$11)^2+(GERAL_PROJ2[[#This Row],[Y]]-$P$12)^2),"")</f>
        <v/>
      </c>
      <c r="K33" s="169"/>
      <c r="L33" s="171"/>
      <c r="M33" s="128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</row>
    <row r="34" spans="1:13" x14ac:dyDescent="0.3">
      <c r="A34" s="173"/>
      <c r="B34" s="173"/>
      <c r="C34" s="173"/>
      <c r="D34" s="138" t="str">
        <f>IFERROR(VLOOKUP(GERAL_PROJ2[[#This Row],[PONTO]],Tabela13[],2,0),"")</f>
        <v/>
      </c>
      <c r="E34" s="138" t="str">
        <f>IFERROR(VLOOKUP(GERAL_PROJ2[[#This Row],[PONTO]],Tabela13[],3,0),"")</f>
        <v/>
      </c>
      <c r="F34" s="139" t="str">
        <f>IFERROR(VLOOKUP(GERAL_PROJ2[[#This Row],[PONTO]],RAMAIS_ATUAL,24,0),"")</f>
        <v/>
      </c>
      <c r="G34" s="139" t="str">
        <f>IFERROR(SUMIF(GERAL_PROJ2[TRECHO],GERAL_PROJ2[[#This Row],[PONTO]],GERAL_PROJ2[CLT ACUMULADO])+GERAL_PROJ2[[#This Row],[CLIENTES]],"")</f>
        <v/>
      </c>
      <c r="H34" s="72" t="str">
        <f>IFERROR(VLOOKUP(GERAL_PROJ2[[#This Row],[PONTO]],RAMAIS_ATUAL,IF($I$2="SIM",25,23),0),"")</f>
        <v/>
      </c>
      <c r="I34" s="72" t="str">
        <f>IFERROR(IF($I$2="SIM",VLOOKUP(GERAL_PROJ2[[#This Row],[CLT ACUMULADO]],AUX_CLAN,4,0),SUMIF(GERAL_PROJ2[TRECHO],GERAL_PROJ2[[#This Row],[PONTO]],GERAL_PROJ2[ACUMULADA])+GERAL_PROJ2[[#This Row],[TOTAL DO TRECHO]]),"")</f>
        <v/>
      </c>
      <c r="J34" s="72" t="str">
        <f>IFERROR(SQRT((GERAL_PROJ2[[#This Row],[X]]-$P$11)^2+(GERAL_PROJ2[[#This Row],[Y]]-$P$12)^2),"")</f>
        <v/>
      </c>
      <c r="K34" s="169"/>
      <c r="L34" s="171"/>
      <c r="M34" s="140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</row>
    <row r="35" spans="1:13" x14ac:dyDescent="0.3">
      <c r="A35" s="173"/>
      <c r="B35" s="173"/>
      <c r="C35" s="173"/>
      <c r="D35" s="138" t="str">
        <f>IFERROR(VLOOKUP(GERAL_PROJ2[[#This Row],[PONTO]],Tabela13[],2,0),"")</f>
        <v/>
      </c>
      <c r="E35" s="138" t="str">
        <f>IFERROR(VLOOKUP(GERAL_PROJ2[[#This Row],[PONTO]],Tabela13[],3,0),"")</f>
        <v/>
      </c>
      <c r="F35" s="139" t="str">
        <f>IFERROR(VLOOKUP(GERAL_PROJ2[[#This Row],[PONTO]],RAMAIS_ATUAL,24,0),"")</f>
        <v/>
      </c>
      <c r="G35" s="139" t="str">
        <f>IFERROR(SUMIF(GERAL_PROJ2[TRECHO],GERAL_PROJ2[[#This Row],[PONTO]],GERAL_PROJ2[CLT ACUMULADO])+GERAL_PROJ2[[#This Row],[CLIENTES]],"")</f>
        <v/>
      </c>
      <c r="H35" s="72" t="str">
        <f>IFERROR(VLOOKUP(GERAL_PROJ2[[#This Row],[PONTO]],RAMAIS_ATUAL,IF($I$2="SIM",25,23),0),"")</f>
        <v/>
      </c>
      <c r="I35" s="72" t="str">
        <f>IFERROR(IF($I$2="SIM",VLOOKUP(GERAL_PROJ2[[#This Row],[CLT ACUMULADO]],AUX_CLAN,4,0),SUMIF(GERAL_PROJ2[TRECHO],GERAL_PROJ2[[#This Row],[PONTO]],GERAL_PROJ2[ACUMULADA])+GERAL_PROJ2[[#This Row],[TOTAL DO TRECHO]]),"")</f>
        <v/>
      </c>
      <c r="J35" s="72" t="str">
        <f>IFERROR(SQRT((GERAL_PROJ2[[#This Row],[X]]-$P$11)^2+(GERAL_PROJ2[[#This Row],[Y]]-$P$12)^2),"")</f>
        <v/>
      </c>
      <c r="K35" s="169"/>
      <c r="L35" s="171"/>
      <c r="M35" s="140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</row>
    <row r="36" spans="1:13" x14ac:dyDescent="0.3">
      <c r="A36" s="173"/>
      <c r="B36" s="173"/>
      <c r="C36" s="173"/>
      <c r="D36" s="138" t="str">
        <f>IFERROR(VLOOKUP(GERAL_PROJ2[[#This Row],[PONTO]],Tabela13[],2,0),"")</f>
        <v/>
      </c>
      <c r="E36" s="138" t="str">
        <f>IFERROR(VLOOKUP(GERAL_PROJ2[[#This Row],[PONTO]],Tabela13[],3,0),"")</f>
        <v/>
      </c>
      <c r="F36" s="139" t="str">
        <f>IFERROR(VLOOKUP(GERAL_PROJ2[[#This Row],[PONTO]],RAMAIS_ATUAL,24,0),"")</f>
        <v/>
      </c>
      <c r="G36" s="139" t="str">
        <f>IFERROR(SUMIF(GERAL_PROJ2[TRECHO],GERAL_PROJ2[[#This Row],[PONTO]],GERAL_PROJ2[CLT ACUMULADO])+GERAL_PROJ2[[#This Row],[CLIENTES]],"")</f>
        <v/>
      </c>
      <c r="H36" s="72" t="str">
        <f>IFERROR(VLOOKUP(GERAL_PROJ2[[#This Row],[PONTO]],RAMAIS_ATUAL,IF($I$2="SIM",25,23),0),"")</f>
        <v/>
      </c>
      <c r="I36" s="72" t="str">
        <f>IFERROR(IF($I$2="SIM",VLOOKUP(GERAL_PROJ2[[#This Row],[CLT ACUMULADO]],AUX_CLAN,4,0),SUMIF(GERAL_PROJ2[TRECHO],GERAL_PROJ2[[#This Row],[PONTO]],GERAL_PROJ2[ACUMULADA])+GERAL_PROJ2[[#This Row],[TOTAL DO TRECHO]]),"")</f>
        <v/>
      </c>
      <c r="J36" s="72" t="str">
        <f>IFERROR(SQRT((GERAL_PROJ2[[#This Row],[X]]-$P$11)^2+(GERAL_PROJ2[[#This Row],[Y]]-$P$12)^2),"")</f>
        <v/>
      </c>
      <c r="K36" s="169"/>
      <c r="L36" s="171"/>
      <c r="M36" s="140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</row>
    <row r="37" spans="1:13" x14ac:dyDescent="0.3">
      <c r="D37" s="7"/>
      <c r="E37" s="7"/>
      <c r="F37" s="7"/>
      <c r="G37" s="7"/>
    </row>
    <row r="38" spans="1:13" x14ac:dyDescent="0.3">
      <c r="D38" s="7"/>
      <c r="E38" s="7"/>
      <c r="F38" s="7"/>
      <c r="G38" s="7"/>
    </row>
    <row r="39" spans="1:13" x14ac:dyDescent="0.3">
      <c r="D39" s="7"/>
      <c r="E39" s="7"/>
      <c r="F39" s="7"/>
      <c r="G39" s="7"/>
    </row>
    <row r="40" spans="1:13" x14ac:dyDescent="0.3">
      <c r="D40" s="7"/>
      <c r="E40" s="7"/>
      <c r="F40" s="7"/>
      <c r="G40" s="7"/>
    </row>
    <row r="41" spans="1:13" x14ac:dyDescent="0.3">
      <c r="D41" s="7"/>
      <c r="E41" s="7"/>
      <c r="F41" s="7"/>
      <c r="G41" s="7"/>
    </row>
    <row r="42" spans="1:13" x14ac:dyDescent="0.3">
      <c r="D42" s="7"/>
      <c r="E42" s="7"/>
      <c r="F42" s="7"/>
      <c r="G42" s="7"/>
    </row>
    <row r="43" spans="1:13" x14ac:dyDescent="0.3">
      <c r="D43" s="7"/>
      <c r="E43" s="7"/>
      <c r="F43" s="7"/>
      <c r="G43" s="7"/>
    </row>
    <row r="44" spans="1:13" x14ac:dyDescent="0.3">
      <c r="D44" s="7"/>
      <c r="E44" s="7"/>
      <c r="F44" s="7"/>
      <c r="G44" s="7"/>
    </row>
    <row r="45" spans="1:13" x14ac:dyDescent="0.3">
      <c r="D45" s="7"/>
      <c r="E45" s="7"/>
      <c r="F45" s="7"/>
      <c r="G45" s="7"/>
    </row>
    <row r="46" spans="1:13" x14ac:dyDescent="0.3">
      <c r="D46" s="7"/>
      <c r="E46" s="7"/>
      <c r="F46" s="7"/>
      <c r="G46" s="7"/>
    </row>
    <row r="47" spans="1:13" x14ac:dyDescent="0.3">
      <c r="D47" s="7"/>
      <c r="E47" s="7"/>
      <c r="F47" s="7"/>
      <c r="G47" s="7"/>
    </row>
    <row r="48" spans="1:13" x14ac:dyDescent="0.3">
      <c r="D48" s="7"/>
      <c r="E48" s="7"/>
      <c r="F48" s="7"/>
      <c r="G48" s="7"/>
    </row>
    <row r="49" spans="4:7" x14ac:dyDescent="0.3">
      <c r="D49" s="7"/>
      <c r="E49" s="7"/>
      <c r="F49" s="7"/>
      <c r="G49" s="7"/>
    </row>
    <row r="50" spans="4:7" x14ac:dyDescent="0.3">
      <c r="D50" s="7"/>
      <c r="E50" s="7"/>
      <c r="F50" s="7"/>
      <c r="G50" s="7"/>
    </row>
    <row r="51" spans="4:7" x14ac:dyDescent="0.3">
      <c r="D51" s="7"/>
      <c r="E51" s="7"/>
      <c r="F51" s="7"/>
      <c r="G51" s="7"/>
    </row>
    <row r="52" spans="4:7" x14ac:dyDescent="0.3">
      <c r="D52" s="7"/>
      <c r="E52" s="7"/>
      <c r="F52" s="7"/>
      <c r="G52" s="7"/>
    </row>
    <row r="53" spans="4:7" x14ac:dyDescent="0.3">
      <c r="D53" s="7"/>
      <c r="E53" s="7"/>
      <c r="F53" s="7"/>
      <c r="G53" s="7"/>
    </row>
    <row r="54" spans="4:7" x14ac:dyDescent="0.3">
      <c r="D54" s="7"/>
      <c r="E54" s="7"/>
      <c r="F54" s="7"/>
      <c r="G54" s="7"/>
    </row>
    <row r="55" spans="4:7" x14ac:dyDescent="0.3">
      <c r="D55" s="7"/>
      <c r="E55" s="7"/>
      <c r="F55" s="7"/>
      <c r="G55" s="7"/>
    </row>
    <row r="56" spans="4:7" x14ac:dyDescent="0.3">
      <c r="D56" s="7"/>
      <c r="E56" s="7"/>
      <c r="F56" s="7"/>
      <c r="G56" s="7"/>
    </row>
    <row r="57" spans="4:7" x14ac:dyDescent="0.3">
      <c r="D57" s="7"/>
      <c r="E57" s="7"/>
      <c r="F57" s="7"/>
      <c r="G57" s="7"/>
    </row>
    <row r="58" spans="4:7" x14ac:dyDescent="0.3">
      <c r="D58" s="7"/>
      <c r="E58" s="7"/>
      <c r="F58" s="7"/>
      <c r="G58" s="7"/>
    </row>
    <row r="59" spans="4:7" x14ac:dyDescent="0.3">
      <c r="D59" s="7"/>
      <c r="E59" s="7"/>
      <c r="F59" s="7"/>
      <c r="G59" s="7"/>
    </row>
    <row r="60" spans="4:7" x14ac:dyDescent="0.3">
      <c r="D60" s="7"/>
      <c r="E60" s="7"/>
      <c r="F60" s="7"/>
      <c r="G60" s="7"/>
    </row>
    <row r="61" spans="4:7" x14ac:dyDescent="0.3">
      <c r="D61" s="7"/>
      <c r="E61" s="7"/>
      <c r="F61" s="7"/>
      <c r="G61" s="7"/>
    </row>
    <row r="62" spans="4:7" x14ac:dyDescent="0.3">
      <c r="D62" s="7"/>
      <c r="E62" s="7"/>
      <c r="F62" s="7"/>
      <c r="G62" s="7"/>
    </row>
    <row r="63" spans="4:7" x14ac:dyDescent="0.3">
      <c r="D63" s="7"/>
      <c r="E63" s="7"/>
      <c r="F63" s="7"/>
      <c r="G63" s="7"/>
    </row>
    <row r="64" spans="4:7" x14ac:dyDescent="0.3">
      <c r="D64" s="7"/>
      <c r="E64" s="7"/>
      <c r="F64" s="7"/>
      <c r="G64" s="7"/>
    </row>
    <row r="65" spans="4:7" x14ac:dyDescent="0.3">
      <c r="D65" s="7"/>
      <c r="E65" s="7"/>
      <c r="F65" s="7"/>
      <c r="G65" s="7"/>
    </row>
    <row r="66" spans="4:7" x14ac:dyDescent="0.3">
      <c r="D66" s="7"/>
      <c r="E66" s="7"/>
      <c r="F66" s="7"/>
      <c r="G66" s="7"/>
    </row>
    <row r="67" spans="4:7" x14ac:dyDescent="0.3">
      <c r="D67" s="7"/>
      <c r="E67" s="7"/>
      <c r="F67" s="7"/>
      <c r="G67" s="7"/>
    </row>
    <row r="68" spans="4:7" x14ac:dyDescent="0.3">
      <c r="D68" s="7"/>
      <c r="E68" s="7"/>
      <c r="F68" s="7"/>
      <c r="G68" s="7"/>
    </row>
    <row r="69" spans="4:7" x14ac:dyDescent="0.3">
      <c r="D69" s="7"/>
      <c r="E69" s="7"/>
      <c r="F69" s="7"/>
      <c r="G69" s="7"/>
    </row>
    <row r="70" spans="4:7" x14ac:dyDescent="0.3">
      <c r="D70" s="7"/>
      <c r="E70" s="7"/>
      <c r="F70" s="7"/>
      <c r="G70" s="7"/>
    </row>
    <row r="71" spans="4:7" x14ac:dyDescent="0.3">
      <c r="D71" s="7"/>
      <c r="E71" s="7"/>
      <c r="F71" s="7"/>
      <c r="G71" s="7"/>
    </row>
    <row r="72" spans="4:7" x14ac:dyDescent="0.3">
      <c r="D72" s="7"/>
      <c r="E72" s="7"/>
      <c r="F72" s="7"/>
      <c r="G72" s="7"/>
    </row>
    <row r="73" spans="4:7" x14ac:dyDescent="0.3">
      <c r="D73" s="7"/>
      <c r="E73" s="7"/>
      <c r="F73" s="7"/>
      <c r="G73" s="7"/>
    </row>
    <row r="74" spans="4:7" x14ac:dyDescent="0.3">
      <c r="D74" s="7"/>
      <c r="E74" s="7"/>
      <c r="F74" s="7"/>
      <c r="G74" s="7"/>
    </row>
    <row r="75" spans="4:7" x14ac:dyDescent="0.3">
      <c r="D75" s="7"/>
      <c r="E75" s="7"/>
      <c r="F75" s="7"/>
      <c r="G75" s="7"/>
    </row>
    <row r="76" spans="4:7" x14ac:dyDescent="0.3">
      <c r="D76" s="7"/>
      <c r="E76" s="7"/>
      <c r="F76" s="7"/>
      <c r="G76" s="7"/>
    </row>
    <row r="77" spans="4:7" x14ac:dyDescent="0.3">
      <c r="D77" s="7"/>
      <c r="E77" s="7"/>
      <c r="F77" s="7"/>
      <c r="G77" s="7"/>
    </row>
    <row r="78" spans="4:7" x14ac:dyDescent="0.3">
      <c r="D78" s="7"/>
      <c r="E78" s="7"/>
      <c r="F78" s="7"/>
      <c r="G78" s="7"/>
    </row>
    <row r="79" spans="4:7" x14ac:dyDescent="0.3">
      <c r="D79" s="7"/>
      <c r="E79" s="7"/>
      <c r="F79" s="7"/>
      <c r="G79" s="7"/>
    </row>
    <row r="80" spans="4:7" x14ac:dyDescent="0.3">
      <c r="D80" s="7"/>
      <c r="E80" s="7"/>
      <c r="F80" s="7"/>
      <c r="G80" s="7"/>
    </row>
    <row r="81" spans="4:7" x14ac:dyDescent="0.3">
      <c r="D81" s="7"/>
      <c r="E81" s="7"/>
      <c r="F81" s="7"/>
      <c r="G81" s="7"/>
    </row>
    <row r="82" spans="4:7" x14ac:dyDescent="0.3">
      <c r="D82" s="7"/>
      <c r="E82" s="7"/>
      <c r="F82" s="7"/>
      <c r="G82" s="7"/>
    </row>
    <row r="83" spans="4:7" x14ac:dyDescent="0.3">
      <c r="D83" s="7"/>
      <c r="E83" s="7"/>
      <c r="F83" s="7"/>
      <c r="G83" s="7"/>
    </row>
    <row r="84" spans="4:7" x14ac:dyDescent="0.3">
      <c r="D84" s="7"/>
      <c r="E84" s="7"/>
      <c r="F84" s="7"/>
      <c r="G84" s="7"/>
    </row>
    <row r="85" spans="4:7" x14ac:dyDescent="0.3">
      <c r="D85" s="7"/>
      <c r="E85" s="7"/>
      <c r="F85" s="7"/>
      <c r="G85" s="7"/>
    </row>
    <row r="86" spans="4:7" x14ac:dyDescent="0.3">
      <c r="D86" s="7"/>
      <c r="E86" s="7"/>
      <c r="F86" s="7"/>
      <c r="G86" s="7"/>
    </row>
    <row r="87" spans="4:7" x14ac:dyDescent="0.3">
      <c r="D87" s="7"/>
      <c r="E87" s="7"/>
      <c r="F87" s="7"/>
      <c r="G87" s="7"/>
    </row>
    <row r="88" spans="4:7" x14ac:dyDescent="0.3">
      <c r="D88" s="7"/>
      <c r="E88" s="7"/>
      <c r="F88" s="7"/>
      <c r="G88" s="7"/>
    </row>
    <row r="89" spans="4:7" x14ac:dyDescent="0.3">
      <c r="D89" s="7"/>
      <c r="E89" s="7"/>
      <c r="F89" s="7"/>
      <c r="G89" s="7"/>
    </row>
    <row r="90" spans="4:7" x14ac:dyDescent="0.3">
      <c r="D90" s="7"/>
      <c r="E90" s="7"/>
      <c r="F90" s="7"/>
      <c r="G90" s="7"/>
    </row>
    <row r="91" spans="4:7" x14ac:dyDescent="0.3">
      <c r="D91" s="7"/>
      <c r="E91" s="7"/>
      <c r="F91" s="7"/>
      <c r="G91" s="7"/>
    </row>
    <row r="92" spans="4:7" x14ac:dyDescent="0.3">
      <c r="D92" s="7"/>
      <c r="E92" s="7"/>
      <c r="F92" s="7"/>
      <c r="G92" s="7"/>
    </row>
    <row r="93" spans="4:7" x14ac:dyDescent="0.3">
      <c r="D93" s="7"/>
      <c r="E93" s="7"/>
      <c r="F93" s="7"/>
      <c r="G93" s="7"/>
    </row>
    <row r="94" spans="4:7" x14ac:dyDescent="0.3">
      <c r="D94" s="7"/>
      <c r="E94" s="7"/>
      <c r="F94" s="7"/>
      <c r="G94" s="7"/>
    </row>
    <row r="95" spans="4:7" x14ac:dyDescent="0.3">
      <c r="D95" s="7"/>
      <c r="E95" s="7"/>
      <c r="F95" s="7"/>
      <c r="G95" s="7"/>
    </row>
    <row r="96" spans="4:7" x14ac:dyDescent="0.3">
      <c r="D96" s="7"/>
      <c r="E96" s="7"/>
      <c r="F96" s="7"/>
      <c r="G96" s="7"/>
    </row>
    <row r="97" spans="4:7" x14ac:dyDescent="0.3">
      <c r="D97" s="7"/>
      <c r="E97" s="7"/>
      <c r="F97" s="7"/>
      <c r="G97" s="7"/>
    </row>
    <row r="98" spans="4:7" x14ac:dyDescent="0.3">
      <c r="D98" s="7"/>
      <c r="E98" s="7"/>
      <c r="F98" s="7"/>
      <c r="G98" s="7"/>
    </row>
    <row r="99" spans="4:7" x14ac:dyDescent="0.3">
      <c r="D99" s="7"/>
      <c r="E99" s="7"/>
      <c r="F99" s="7"/>
      <c r="G99" s="7"/>
    </row>
    <row r="100" spans="4:7" x14ac:dyDescent="0.3">
      <c r="D100" s="7"/>
      <c r="E100" s="7"/>
      <c r="F100" s="7"/>
      <c r="G100" s="7"/>
    </row>
    <row r="101" spans="4:7" x14ac:dyDescent="0.3">
      <c r="D101" s="7"/>
      <c r="E101" s="7"/>
      <c r="F101" s="7"/>
      <c r="G101" s="7"/>
    </row>
    <row r="102" spans="4:7" x14ac:dyDescent="0.3">
      <c r="D102" s="7"/>
      <c r="E102" s="7"/>
      <c r="F102" s="7"/>
      <c r="G102" s="7"/>
    </row>
    <row r="103" spans="4:7" x14ac:dyDescent="0.3">
      <c r="D103" s="7"/>
      <c r="E103" s="7"/>
      <c r="F103" s="7"/>
      <c r="G103" s="7"/>
    </row>
    <row r="104" spans="4:7" x14ac:dyDescent="0.3">
      <c r="D104" s="7"/>
      <c r="E104" s="7"/>
      <c r="F104" s="7"/>
      <c r="G104" s="7"/>
    </row>
    <row r="105" spans="4:7" x14ac:dyDescent="0.3">
      <c r="D105" s="7"/>
      <c r="E105" s="7"/>
      <c r="F105" s="7"/>
      <c r="G105" s="7"/>
    </row>
    <row r="106" spans="4:7" x14ac:dyDescent="0.3">
      <c r="D106" s="7"/>
      <c r="E106" s="7"/>
      <c r="F106" s="7"/>
      <c r="G106" s="7"/>
    </row>
    <row r="107" spans="4:7" x14ac:dyDescent="0.3">
      <c r="D107" s="7"/>
      <c r="E107" s="7"/>
      <c r="F107" s="7"/>
      <c r="G107" s="7"/>
    </row>
    <row r="108" spans="4:7" x14ac:dyDescent="0.3">
      <c r="D108" s="7"/>
      <c r="E108" s="7"/>
      <c r="F108" s="7"/>
      <c r="G108" s="7"/>
    </row>
    <row r="109" spans="4:7" x14ac:dyDescent="0.3">
      <c r="D109" s="7"/>
      <c r="E109" s="7"/>
      <c r="F109" s="7"/>
      <c r="G109" s="7"/>
    </row>
    <row r="110" spans="4:7" x14ac:dyDescent="0.3">
      <c r="D110" s="7"/>
      <c r="E110" s="7"/>
      <c r="F110" s="7"/>
      <c r="G110" s="7"/>
    </row>
    <row r="111" spans="4:7" x14ac:dyDescent="0.3">
      <c r="D111" s="7"/>
      <c r="E111" s="7"/>
      <c r="F111" s="7"/>
      <c r="G111" s="7"/>
    </row>
    <row r="112" spans="4:7" x14ac:dyDescent="0.3">
      <c r="D112" s="7"/>
      <c r="E112" s="7"/>
      <c r="F112" s="7"/>
      <c r="G112" s="7"/>
    </row>
    <row r="113" spans="4:7" x14ac:dyDescent="0.3">
      <c r="D113" s="7"/>
      <c r="E113" s="7"/>
      <c r="F113" s="7"/>
      <c r="G113" s="7"/>
    </row>
    <row r="114" spans="4:7" x14ac:dyDescent="0.3">
      <c r="D114" s="7"/>
      <c r="E114" s="7"/>
      <c r="F114" s="7"/>
      <c r="G114" s="7"/>
    </row>
    <row r="115" spans="4:7" x14ac:dyDescent="0.3">
      <c r="D115" s="7"/>
      <c r="E115" s="7"/>
      <c r="F115" s="7"/>
      <c r="G115" s="7"/>
    </row>
    <row r="116" spans="4:7" x14ac:dyDescent="0.3">
      <c r="D116" s="7"/>
      <c r="E116" s="7"/>
      <c r="F116" s="7"/>
      <c r="G116" s="7"/>
    </row>
    <row r="117" spans="4:7" x14ac:dyDescent="0.3">
      <c r="D117" s="7"/>
      <c r="E117" s="7"/>
      <c r="F117" s="7"/>
      <c r="G117" s="7"/>
    </row>
    <row r="118" spans="4:7" x14ac:dyDescent="0.3">
      <c r="D118" s="7"/>
      <c r="E118" s="7"/>
      <c r="F118" s="7"/>
      <c r="G118" s="7"/>
    </row>
    <row r="119" spans="4:7" x14ac:dyDescent="0.3">
      <c r="D119" s="7"/>
      <c r="E119" s="7"/>
      <c r="F119" s="7"/>
      <c r="G119" s="7"/>
    </row>
    <row r="120" spans="4:7" x14ac:dyDescent="0.3">
      <c r="D120" s="7"/>
      <c r="E120" s="7"/>
      <c r="F120" s="7"/>
      <c r="G120" s="7"/>
    </row>
    <row r="121" spans="4:7" x14ac:dyDescent="0.3">
      <c r="D121" s="7"/>
      <c r="E121" s="7"/>
      <c r="F121" s="7"/>
      <c r="G121" s="7"/>
    </row>
    <row r="122" spans="4:7" x14ac:dyDescent="0.3">
      <c r="D122" s="7"/>
      <c r="E122" s="7"/>
      <c r="F122" s="7"/>
      <c r="G122" s="7"/>
    </row>
    <row r="123" spans="4:7" x14ac:dyDescent="0.3">
      <c r="D123" s="7"/>
      <c r="E123" s="7"/>
      <c r="F123" s="7"/>
      <c r="G123" s="7"/>
    </row>
    <row r="124" spans="4:7" x14ac:dyDescent="0.3">
      <c r="D124" s="7"/>
      <c r="E124" s="7"/>
      <c r="F124" s="7"/>
      <c r="G124" s="7"/>
    </row>
    <row r="125" spans="4:7" x14ac:dyDescent="0.3">
      <c r="D125" s="7"/>
      <c r="E125" s="7"/>
      <c r="F125" s="7"/>
      <c r="G125" s="7"/>
    </row>
    <row r="126" spans="4:7" x14ac:dyDescent="0.3">
      <c r="D126" s="7"/>
      <c r="E126" s="7"/>
      <c r="F126" s="7"/>
      <c r="G126" s="7"/>
    </row>
    <row r="127" spans="4:7" x14ac:dyDescent="0.3">
      <c r="D127" s="7"/>
      <c r="E127" s="7"/>
      <c r="F127" s="7"/>
      <c r="G127" s="7"/>
    </row>
    <row r="128" spans="4:7" x14ac:dyDescent="0.3">
      <c r="D128" s="7"/>
      <c r="E128" s="7"/>
      <c r="F128" s="7"/>
      <c r="G128" s="7"/>
    </row>
    <row r="129" spans="4:7" x14ac:dyDescent="0.3">
      <c r="D129" s="7"/>
      <c r="E129" s="7"/>
      <c r="F129" s="7"/>
      <c r="G129" s="7"/>
    </row>
    <row r="130" spans="4:7" x14ac:dyDescent="0.3">
      <c r="D130" s="7"/>
      <c r="E130" s="7"/>
      <c r="F130" s="7"/>
      <c r="G130" s="7"/>
    </row>
    <row r="131" spans="4:7" x14ac:dyDescent="0.3">
      <c r="D131" s="7"/>
      <c r="E131" s="7"/>
      <c r="F131" s="7"/>
      <c r="G131" s="7"/>
    </row>
    <row r="132" spans="4:7" x14ac:dyDescent="0.3">
      <c r="D132" s="7"/>
      <c r="E132" s="7"/>
      <c r="F132" s="7"/>
      <c r="G132" s="7"/>
    </row>
    <row r="133" spans="4:7" x14ac:dyDescent="0.3">
      <c r="D133" s="7"/>
      <c r="E133" s="7"/>
      <c r="F133" s="7"/>
      <c r="G133" s="7"/>
    </row>
    <row r="134" spans="4:7" x14ac:dyDescent="0.3">
      <c r="D134" s="7"/>
      <c r="E134" s="7"/>
      <c r="F134" s="7"/>
      <c r="G134" s="7"/>
    </row>
    <row r="135" spans="4:7" x14ac:dyDescent="0.3">
      <c r="D135" s="7"/>
      <c r="E135" s="7"/>
      <c r="F135" s="7"/>
      <c r="G135" s="7"/>
    </row>
    <row r="136" spans="4:7" x14ac:dyDescent="0.3">
      <c r="D136" s="7"/>
      <c r="E136" s="7"/>
      <c r="F136" s="7"/>
      <c r="G136" s="7"/>
    </row>
    <row r="137" spans="4:7" x14ac:dyDescent="0.3">
      <c r="D137" s="7"/>
      <c r="E137" s="7"/>
      <c r="F137" s="7"/>
      <c r="G137" s="7"/>
    </row>
    <row r="138" spans="4:7" x14ac:dyDescent="0.3">
      <c r="D138" s="7"/>
      <c r="E138" s="7"/>
      <c r="F138" s="7"/>
      <c r="G138" s="7"/>
    </row>
    <row r="139" spans="4:7" x14ac:dyDescent="0.3">
      <c r="D139" s="7"/>
      <c r="E139" s="7"/>
      <c r="F139" s="7"/>
      <c r="G139" s="7"/>
    </row>
    <row r="140" spans="4:7" x14ac:dyDescent="0.3">
      <c r="D140" s="7"/>
      <c r="E140" s="7"/>
      <c r="F140" s="7"/>
      <c r="G140" s="7"/>
    </row>
    <row r="141" spans="4:7" x14ac:dyDescent="0.3">
      <c r="D141" s="7"/>
      <c r="E141" s="7"/>
      <c r="F141" s="7"/>
      <c r="G141" s="7"/>
    </row>
    <row r="142" spans="4:7" x14ac:dyDescent="0.3">
      <c r="D142" s="7"/>
      <c r="E142" s="7"/>
      <c r="F142" s="7"/>
      <c r="G142" s="7"/>
    </row>
    <row r="143" spans="4:7" x14ac:dyDescent="0.3">
      <c r="D143" s="7"/>
      <c r="E143" s="7"/>
      <c r="F143" s="7"/>
      <c r="G143" s="7"/>
    </row>
    <row r="144" spans="4:7" x14ac:dyDescent="0.3">
      <c r="D144" s="7"/>
      <c r="E144" s="7"/>
      <c r="F144" s="7"/>
      <c r="G144" s="7"/>
    </row>
    <row r="145" spans="4:7" x14ac:dyDescent="0.3">
      <c r="D145" s="7"/>
      <c r="E145" s="7"/>
      <c r="F145" s="7"/>
      <c r="G145" s="7"/>
    </row>
    <row r="146" spans="4:7" x14ac:dyDescent="0.3">
      <c r="D146" s="7"/>
      <c r="E146" s="7"/>
      <c r="F146" s="7"/>
      <c r="G146" s="7"/>
    </row>
    <row r="147" spans="4:7" x14ac:dyDescent="0.3">
      <c r="D147" s="7"/>
      <c r="E147" s="7"/>
      <c r="F147" s="7"/>
      <c r="G147" s="7"/>
    </row>
    <row r="148" spans="4:7" x14ac:dyDescent="0.3">
      <c r="D148" s="7"/>
      <c r="E148" s="7"/>
      <c r="F148" s="7"/>
      <c r="G148" s="7"/>
    </row>
    <row r="149" spans="4:7" x14ac:dyDescent="0.3">
      <c r="D149" s="7"/>
      <c r="E149" s="7"/>
      <c r="F149" s="7"/>
      <c r="G149" s="7"/>
    </row>
    <row r="150" spans="4:7" x14ac:dyDescent="0.3">
      <c r="D150" s="7"/>
      <c r="E150" s="7"/>
      <c r="F150" s="7"/>
      <c r="G150" s="7"/>
    </row>
    <row r="151" spans="4:7" x14ac:dyDescent="0.3">
      <c r="D151" s="7"/>
      <c r="E151" s="7"/>
      <c r="F151" s="7"/>
      <c r="G151" s="7"/>
    </row>
    <row r="152" spans="4:7" x14ac:dyDescent="0.3">
      <c r="D152" s="7"/>
      <c r="E152" s="7"/>
      <c r="F152" s="7"/>
      <c r="G152" s="7"/>
    </row>
    <row r="153" spans="4:7" x14ac:dyDescent="0.3">
      <c r="D153" s="7"/>
      <c r="E153" s="7"/>
      <c r="F153" s="7"/>
      <c r="G153" s="7"/>
    </row>
    <row r="154" spans="4:7" x14ac:dyDescent="0.3">
      <c r="D154" s="7"/>
      <c r="E154" s="7"/>
      <c r="F154" s="7"/>
      <c r="G154" s="7"/>
    </row>
    <row r="155" spans="4:7" x14ac:dyDescent="0.3">
      <c r="D155" s="7"/>
      <c r="E155" s="7"/>
      <c r="F155" s="7"/>
      <c r="G155" s="7"/>
    </row>
    <row r="156" spans="4:7" x14ac:dyDescent="0.3">
      <c r="D156" s="7"/>
      <c r="E156" s="7"/>
      <c r="F156" s="7"/>
      <c r="G156" s="7"/>
    </row>
    <row r="157" spans="4:7" x14ac:dyDescent="0.3">
      <c r="D157" s="7"/>
      <c r="E157" s="7"/>
      <c r="F157" s="7"/>
      <c r="G157" s="7"/>
    </row>
    <row r="158" spans="4:7" x14ac:dyDescent="0.3">
      <c r="D158" s="7"/>
      <c r="E158" s="7"/>
      <c r="F158" s="7"/>
      <c r="G158" s="7"/>
    </row>
    <row r="159" spans="4:7" x14ac:dyDescent="0.3">
      <c r="D159" s="7"/>
      <c r="E159" s="7"/>
      <c r="F159" s="7"/>
      <c r="G159" s="7"/>
    </row>
    <row r="160" spans="4:7" x14ac:dyDescent="0.3">
      <c r="D160" s="7"/>
      <c r="E160" s="7"/>
      <c r="F160" s="7"/>
      <c r="G160" s="7"/>
    </row>
    <row r="161" spans="4:7" x14ac:dyDescent="0.3">
      <c r="D161" s="7"/>
      <c r="E161" s="7"/>
      <c r="F161" s="7"/>
      <c r="G161" s="7"/>
    </row>
    <row r="162" spans="4:7" x14ac:dyDescent="0.3">
      <c r="D162" s="7"/>
      <c r="E162" s="7"/>
      <c r="F162" s="7"/>
      <c r="G162" s="7"/>
    </row>
    <row r="163" spans="4:7" x14ac:dyDescent="0.3">
      <c r="D163" s="7"/>
      <c r="E163" s="7"/>
      <c r="F163" s="7"/>
      <c r="G163" s="7"/>
    </row>
    <row r="164" spans="4:7" x14ac:dyDescent="0.3">
      <c r="D164" s="7"/>
      <c r="E164" s="7"/>
      <c r="F164" s="7"/>
      <c r="G164" s="7"/>
    </row>
    <row r="165" spans="4:7" x14ac:dyDescent="0.3">
      <c r="D165" s="7"/>
      <c r="E165" s="7"/>
      <c r="F165" s="7"/>
      <c r="G165" s="7"/>
    </row>
    <row r="166" spans="4:7" x14ac:dyDescent="0.3">
      <c r="D166" s="7"/>
      <c r="E166" s="7"/>
      <c r="F166" s="7"/>
      <c r="G166" s="7"/>
    </row>
    <row r="167" spans="4:7" x14ac:dyDescent="0.3">
      <c r="D167" s="7"/>
      <c r="E167" s="7"/>
      <c r="F167" s="7"/>
      <c r="G167" s="7"/>
    </row>
    <row r="168" spans="4:7" x14ac:dyDescent="0.3">
      <c r="D168" s="7"/>
      <c r="E168" s="7"/>
      <c r="F168" s="7"/>
      <c r="G168" s="7"/>
    </row>
    <row r="169" spans="4:7" x14ac:dyDescent="0.3">
      <c r="D169" s="7"/>
      <c r="E169" s="7"/>
      <c r="F169" s="7"/>
      <c r="G169" s="7"/>
    </row>
    <row r="170" spans="4:7" x14ac:dyDescent="0.3">
      <c r="D170" s="7"/>
      <c r="E170" s="7"/>
      <c r="F170" s="7"/>
      <c r="G170" s="7"/>
    </row>
    <row r="171" spans="4:7" x14ac:dyDescent="0.3">
      <c r="D171" s="7"/>
      <c r="E171" s="7"/>
      <c r="F171" s="7"/>
      <c r="G171" s="7"/>
    </row>
    <row r="172" spans="4:7" x14ac:dyDescent="0.3">
      <c r="D172" s="7"/>
      <c r="E172" s="7"/>
      <c r="F172" s="7"/>
      <c r="G172" s="7"/>
    </row>
    <row r="173" spans="4:7" x14ac:dyDescent="0.3">
      <c r="D173" s="7"/>
      <c r="E173" s="7"/>
      <c r="F173" s="7"/>
      <c r="G173" s="7"/>
    </row>
    <row r="174" spans="4:7" x14ac:dyDescent="0.3">
      <c r="D174" s="7"/>
      <c r="E174" s="7"/>
      <c r="F174" s="7"/>
      <c r="G174" s="7"/>
    </row>
    <row r="175" spans="4:7" x14ac:dyDescent="0.3">
      <c r="D175" s="7"/>
      <c r="E175" s="7"/>
      <c r="F175" s="7"/>
      <c r="G175" s="7"/>
    </row>
    <row r="176" spans="4:7" x14ac:dyDescent="0.3">
      <c r="D176" s="7"/>
      <c r="E176" s="7"/>
      <c r="F176" s="7"/>
      <c r="G176" s="7"/>
    </row>
    <row r="177" spans="4:7" x14ac:dyDescent="0.3">
      <c r="D177" s="7"/>
      <c r="E177" s="7"/>
      <c r="F177" s="7"/>
      <c r="G177" s="7"/>
    </row>
    <row r="178" spans="4:7" x14ac:dyDescent="0.3">
      <c r="D178" s="7"/>
      <c r="E178" s="7"/>
      <c r="F178" s="7"/>
      <c r="G178" s="7"/>
    </row>
    <row r="179" spans="4:7" x14ac:dyDescent="0.3">
      <c r="D179" s="7"/>
      <c r="E179" s="7"/>
      <c r="F179" s="7"/>
      <c r="G179" s="7"/>
    </row>
    <row r="180" spans="4:7" x14ac:dyDescent="0.3">
      <c r="D180" s="7"/>
      <c r="E180" s="7"/>
      <c r="F180" s="7"/>
      <c r="G180" s="7"/>
    </row>
    <row r="181" spans="4:7" x14ac:dyDescent="0.3">
      <c r="D181" s="7"/>
      <c r="E181" s="7"/>
      <c r="F181" s="7"/>
      <c r="G181" s="7"/>
    </row>
    <row r="182" spans="4:7" x14ac:dyDescent="0.3">
      <c r="D182" s="7"/>
      <c r="E182" s="7"/>
      <c r="F182" s="7"/>
      <c r="G182" s="7"/>
    </row>
    <row r="183" spans="4:7" x14ac:dyDescent="0.3">
      <c r="D183" s="7"/>
      <c r="E183" s="7"/>
      <c r="F183" s="7"/>
      <c r="G183" s="7"/>
    </row>
    <row r="184" spans="4:7" x14ac:dyDescent="0.3">
      <c r="D184" s="7"/>
      <c r="E184" s="7"/>
      <c r="F184" s="7"/>
      <c r="G184" s="7"/>
    </row>
    <row r="185" spans="4:7" x14ac:dyDescent="0.3">
      <c r="D185" s="7"/>
      <c r="E185" s="7"/>
      <c r="F185" s="7"/>
      <c r="G185" s="7"/>
    </row>
    <row r="186" spans="4:7" x14ac:dyDescent="0.3">
      <c r="D186" s="7"/>
      <c r="E186" s="7"/>
      <c r="F186" s="7"/>
      <c r="G186" s="7"/>
    </row>
    <row r="187" spans="4:7" x14ac:dyDescent="0.3">
      <c r="D187" s="7"/>
      <c r="E187" s="7"/>
      <c r="F187" s="7"/>
      <c r="G187" s="7"/>
    </row>
    <row r="188" spans="4:7" x14ac:dyDescent="0.3">
      <c r="D188" s="7"/>
      <c r="E188" s="7"/>
      <c r="F188" s="7"/>
      <c r="G188" s="7"/>
    </row>
    <row r="189" spans="4:7" x14ac:dyDescent="0.3">
      <c r="D189" s="7"/>
      <c r="E189" s="7"/>
      <c r="F189" s="7"/>
      <c r="G189" s="7"/>
    </row>
    <row r="190" spans="4:7" x14ac:dyDescent="0.3">
      <c r="D190" s="7"/>
      <c r="E190" s="7"/>
      <c r="F190" s="7"/>
      <c r="G190" s="7"/>
    </row>
    <row r="191" spans="4:7" x14ac:dyDescent="0.3">
      <c r="D191" s="7"/>
      <c r="E191" s="7"/>
      <c r="F191" s="7"/>
      <c r="G191" s="7"/>
    </row>
    <row r="192" spans="4:7" x14ac:dyDescent="0.3">
      <c r="D192" s="7"/>
      <c r="E192" s="7"/>
      <c r="F192" s="7"/>
      <c r="G192" s="7"/>
    </row>
    <row r="193" spans="4:7" x14ac:dyDescent="0.3">
      <c r="D193" s="7"/>
      <c r="E193" s="7"/>
      <c r="F193" s="7"/>
      <c r="G193" s="7"/>
    </row>
    <row r="194" spans="4:7" x14ac:dyDescent="0.3">
      <c r="D194" s="7"/>
      <c r="E194" s="7"/>
      <c r="F194" s="7"/>
      <c r="G194" s="7"/>
    </row>
    <row r="195" spans="4:7" x14ac:dyDescent="0.3">
      <c r="D195" s="7"/>
      <c r="E195" s="7"/>
      <c r="F195" s="7"/>
      <c r="G195" s="7"/>
    </row>
    <row r="196" spans="4:7" x14ac:dyDescent="0.3">
      <c r="D196" s="7"/>
      <c r="E196" s="7"/>
      <c r="F196" s="7"/>
      <c r="G196" s="7"/>
    </row>
    <row r="197" spans="4:7" x14ac:dyDescent="0.3">
      <c r="D197" s="7"/>
      <c r="E197" s="7"/>
      <c r="F197" s="7"/>
      <c r="G197" s="7"/>
    </row>
    <row r="198" spans="4:7" x14ac:dyDescent="0.3">
      <c r="D198" s="7"/>
      <c r="E198" s="7"/>
      <c r="F198" s="7"/>
      <c r="G198" s="7"/>
    </row>
    <row r="199" spans="4:7" x14ac:dyDescent="0.3">
      <c r="D199" s="7"/>
      <c r="E199" s="7"/>
      <c r="F199" s="7"/>
      <c r="G199" s="7"/>
    </row>
    <row r="200" spans="4:7" x14ac:dyDescent="0.3">
      <c r="D200" s="7"/>
      <c r="E200" s="7"/>
      <c r="F200" s="7"/>
      <c r="G200" s="7"/>
    </row>
    <row r="201" spans="4:7" x14ac:dyDescent="0.3">
      <c r="D201" s="7"/>
      <c r="E201" s="7"/>
      <c r="F201" s="7"/>
      <c r="G201" s="7"/>
    </row>
    <row r="202" spans="4:7" x14ac:dyDescent="0.3">
      <c r="D202" s="7"/>
      <c r="E202" s="7"/>
      <c r="F202" s="7"/>
      <c r="G202" s="7"/>
    </row>
    <row r="203" spans="4:7" x14ac:dyDescent="0.3">
      <c r="D203" s="7"/>
      <c r="E203" s="7"/>
      <c r="F203" s="7"/>
      <c r="G203" s="7"/>
    </row>
    <row r="204" spans="4:7" x14ac:dyDescent="0.3">
      <c r="D204" s="7"/>
      <c r="E204" s="7"/>
      <c r="F204" s="7"/>
      <c r="G204" s="7"/>
    </row>
    <row r="205" spans="4:7" x14ac:dyDescent="0.3">
      <c r="D205" s="7"/>
      <c r="E205" s="7"/>
      <c r="F205" s="7"/>
      <c r="G205" s="7"/>
    </row>
    <row r="206" spans="4:7" x14ac:dyDescent="0.3">
      <c r="D206" s="7"/>
      <c r="E206" s="7"/>
      <c r="F206" s="7"/>
      <c r="G206" s="7"/>
    </row>
    <row r="207" spans="4:7" x14ac:dyDescent="0.3">
      <c r="D207" s="7"/>
      <c r="E207" s="7"/>
      <c r="F207" s="7"/>
      <c r="G207" s="7"/>
    </row>
    <row r="208" spans="4:7" x14ac:dyDescent="0.3">
      <c r="D208" s="7"/>
      <c r="E208" s="7"/>
      <c r="F208" s="7"/>
      <c r="G208" s="7"/>
    </row>
    <row r="209" spans="4:7" x14ac:dyDescent="0.3">
      <c r="D209" s="7"/>
      <c r="E209" s="7"/>
      <c r="F209" s="7"/>
      <c r="G209" s="7"/>
    </row>
    <row r="210" spans="4:7" x14ac:dyDescent="0.3">
      <c r="D210" s="7"/>
      <c r="E210" s="7"/>
      <c r="F210" s="7"/>
      <c r="G210" s="7"/>
    </row>
    <row r="211" spans="4:7" x14ac:dyDescent="0.3">
      <c r="D211" s="7"/>
      <c r="E211" s="7"/>
      <c r="F211" s="7"/>
      <c r="G211" s="7"/>
    </row>
    <row r="212" spans="4:7" x14ac:dyDescent="0.3">
      <c r="D212" s="7"/>
      <c r="E212" s="7"/>
      <c r="F212" s="7"/>
      <c r="G212" s="7"/>
    </row>
    <row r="213" spans="4:7" x14ac:dyDescent="0.3">
      <c r="D213" s="7"/>
      <c r="E213" s="7"/>
      <c r="F213" s="7"/>
      <c r="G213" s="7"/>
    </row>
    <row r="214" spans="4:7" x14ac:dyDescent="0.3">
      <c r="D214" s="7"/>
      <c r="E214" s="7"/>
      <c r="F214" s="7"/>
      <c r="G214" s="7"/>
    </row>
    <row r="215" spans="4:7" x14ac:dyDescent="0.3">
      <c r="D215" s="7"/>
      <c r="E215" s="7"/>
      <c r="F215" s="7"/>
      <c r="G215" s="7"/>
    </row>
    <row r="216" spans="4:7" x14ac:dyDescent="0.3">
      <c r="D216" s="7"/>
      <c r="E216" s="7"/>
      <c r="F216" s="7"/>
      <c r="G216" s="7"/>
    </row>
    <row r="217" spans="4:7" x14ac:dyDescent="0.3">
      <c r="D217" s="7"/>
      <c r="E217" s="7"/>
      <c r="F217" s="7"/>
      <c r="G217" s="7"/>
    </row>
    <row r="218" spans="4:7" x14ac:dyDescent="0.3">
      <c r="D218" s="7"/>
      <c r="E218" s="7"/>
      <c r="F218" s="7"/>
      <c r="G218" s="7"/>
    </row>
    <row r="219" spans="4:7" x14ac:dyDescent="0.3">
      <c r="D219" s="7"/>
      <c r="E219" s="7"/>
      <c r="F219" s="7"/>
      <c r="G219" s="7"/>
    </row>
    <row r="220" spans="4:7" x14ac:dyDescent="0.3">
      <c r="D220" s="7"/>
      <c r="E220" s="7"/>
      <c r="F220" s="7"/>
      <c r="G220" s="7"/>
    </row>
    <row r="221" spans="4:7" x14ac:dyDescent="0.3">
      <c r="D221" s="7"/>
      <c r="E221" s="7"/>
      <c r="F221" s="7"/>
      <c r="G221" s="7"/>
    </row>
    <row r="222" spans="4:7" x14ac:dyDescent="0.3">
      <c r="D222" s="7"/>
      <c r="E222" s="7"/>
      <c r="F222" s="7"/>
      <c r="G222" s="7"/>
    </row>
    <row r="223" spans="4:7" x14ac:dyDescent="0.3">
      <c r="D223" s="7"/>
      <c r="E223" s="7"/>
      <c r="F223" s="7"/>
      <c r="G223" s="7"/>
    </row>
    <row r="224" spans="4:7" x14ac:dyDescent="0.3">
      <c r="D224" s="7"/>
      <c r="E224" s="7"/>
      <c r="F224" s="7"/>
      <c r="G224" s="7"/>
    </row>
    <row r="225" spans="4:7" x14ac:dyDescent="0.3">
      <c r="D225" s="7"/>
      <c r="E225" s="7"/>
      <c r="F225" s="7"/>
      <c r="G225" s="7"/>
    </row>
    <row r="226" spans="4:7" x14ac:dyDescent="0.3">
      <c r="D226" s="7"/>
      <c r="E226" s="7"/>
      <c r="F226" s="7"/>
      <c r="G226" s="7"/>
    </row>
    <row r="227" spans="4:7" x14ac:dyDescent="0.3">
      <c r="D227" s="7"/>
      <c r="E227" s="7"/>
      <c r="F227" s="7"/>
      <c r="G227" s="7"/>
    </row>
    <row r="228" spans="4:7" x14ac:dyDescent="0.3">
      <c r="D228" s="7"/>
      <c r="E228" s="7"/>
      <c r="F228" s="7"/>
      <c r="G228" s="7"/>
    </row>
    <row r="229" spans="4:7" x14ac:dyDescent="0.3">
      <c r="D229" s="7"/>
      <c r="E229" s="7"/>
      <c r="F229" s="7"/>
      <c r="G229" s="7"/>
    </row>
    <row r="230" spans="4:7" x14ac:dyDescent="0.3">
      <c r="D230" s="7"/>
      <c r="E230" s="7"/>
      <c r="F230" s="7"/>
      <c r="G230" s="7"/>
    </row>
    <row r="231" spans="4:7" x14ac:dyDescent="0.3">
      <c r="D231" s="7"/>
      <c r="E231" s="7"/>
      <c r="F231" s="7"/>
      <c r="G231" s="7"/>
    </row>
    <row r="232" spans="4:7" x14ac:dyDescent="0.3">
      <c r="D232" s="7"/>
      <c r="E232" s="7"/>
      <c r="F232" s="7"/>
      <c r="G232" s="7"/>
    </row>
    <row r="233" spans="4:7" x14ac:dyDescent="0.3">
      <c r="D233" s="7"/>
      <c r="E233" s="7"/>
      <c r="F233" s="7"/>
      <c r="G233" s="7"/>
    </row>
    <row r="234" spans="4:7" x14ac:dyDescent="0.3">
      <c r="D234" s="7"/>
      <c r="E234" s="7"/>
      <c r="F234" s="7"/>
      <c r="G234" s="7"/>
    </row>
    <row r="235" spans="4:7" x14ac:dyDescent="0.3">
      <c r="D235" s="7"/>
      <c r="E235" s="7"/>
      <c r="F235" s="7"/>
      <c r="G235" s="7"/>
    </row>
    <row r="236" spans="4:7" x14ac:dyDescent="0.3">
      <c r="D236" s="7"/>
      <c r="E236" s="7"/>
      <c r="F236" s="7"/>
      <c r="G236" s="7"/>
    </row>
    <row r="237" spans="4:7" x14ac:dyDescent="0.3">
      <c r="D237" s="7"/>
      <c r="E237" s="7"/>
      <c r="F237" s="7"/>
      <c r="G237" s="7"/>
    </row>
    <row r="238" spans="4:7" x14ac:dyDescent="0.3">
      <c r="D238" s="7"/>
      <c r="E238" s="7"/>
      <c r="F238" s="7"/>
      <c r="G238" s="7"/>
    </row>
    <row r="239" spans="4:7" x14ac:dyDescent="0.3">
      <c r="D239" s="7"/>
      <c r="E239" s="7"/>
      <c r="F239" s="7"/>
      <c r="G239" s="7"/>
    </row>
    <row r="240" spans="4:7" x14ac:dyDescent="0.3">
      <c r="D240" s="7"/>
      <c r="E240" s="7"/>
      <c r="F240" s="7"/>
      <c r="G240" s="7"/>
    </row>
    <row r="241" spans="4:7" x14ac:dyDescent="0.3">
      <c r="D241" s="7"/>
      <c r="E241" s="7"/>
      <c r="F241" s="7"/>
      <c r="G241" s="7"/>
    </row>
    <row r="242" spans="4:7" x14ac:dyDescent="0.3">
      <c r="D242" s="7"/>
      <c r="E242" s="7"/>
      <c r="F242" s="7"/>
      <c r="G242" s="7"/>
    </row>
    <row r="243" spans="4:7" x14ac:dyDescent="0.3">
      <c r="D243" s="7"/>
      <c r="E243" s="7"/>
      <c r="F243" s="7"/>
      <c r="G243" s="7"/>
    </row>
    <row r="244" spans="4:7" x14ac:dyDescent="0.3">
      <c r="D244" s="7"/>
      <c r="E244" s="7"/>
      <c r="F244" s="7"/>
      <c r="G244" s="7"/>
    </row>
    <row r="245" spans="4:7" x14ac:dyDescent="0.3">
      <c r="D245" s="7"/>
      <c r="E245" s="7"/>
      <c r="F245" s="7"/>
      <c r="G245" s="7"/>
    </row>
    <row r="246" spans="4:7" x14ac:dyDescent="0.3">
      <c r="D246" s="7"/>
      <c r="E246" s="7"/>
      <c r="F246" s="7"/>
      <c r="G246" s="7"/>
    </row>
    <row r="247" spans="4:7" x14ac:dyDescent="0.3">
      <c r="D247" s="7"/>
      <c r="E247" s="7"/>
      <c r="F247" s="7"/>
      <c r="G247" s="7"/>
    </row>
    <row r="248" spans="4:7" x14ac:dyDescent="0.3">
      <c r="D248" s="7"/>
      <c r="E248" s="7"/>
      <c r="F248" s="7"/>
      <c r="G248" s="7"/>
    </row>
    <row r="249" spans="4:7" x14ac:dyDescent="0.3">
      <c r="D249" s="7"/>
      <c r="E249" s="7"/>
      <c r="F249" s="7"/>
      <c r="G249" s="7"/>
    </row>
    <row r="250" spans="4:7" x14ac:dyDescent="0.3">
      <c r="D250" s="7"/>
      <c r="E250" s="7"/>
      <c r="F250" s="7"/>
      <c r="G250" s="7"/>
    </row>
    <row r="251" spans="4:7" x14ac:dyDescent="0.3">
      <c r="D251" s="7"/>
      <c r="E251" s="7"/>
      <c r="F251" s="7"/>
      <c r="G251" s="7"/>
    </row>
    <row r="252" spans="4:7" x14ac:dyDescent="0.3">
      <c r="D252" s="7"/>
      <c r="E252" s="7"/>
      <c r="F252" s="7"/>
      <c r="G252" s="7"/>
    </row>
    <row r="253" spans="4:7" x14ac:dyDescent="0.3">
      <c r="D253" s="7"/>
      <c r="E253" s="7"/>
      <c r="F253" s="7"/>
      <c r="G253" s="7"/>
    </row>
    <row r="254" spans="4:7" x14ac:dyDescent="0.3">
      <c r="D254" s="7"/>
      <c r="E254" s="7"/>
      <c r="F254" s="7"/>
      <c r="G254" s="7"/>
    </row>
    <row r="255" spans="4:7" x14ac:dyDescent="0.3">
      <c r="D255" s="7"/>
      <c r="E255" s="7"/>
      <c r="F255" s="7"/>
      <c r="G255" s="7"/>
    </row>
    <row r="256" spans="4:7" x14ac:dyDescent="0.3">
      <c r="D256" s="7"/>
      <c r="E256" s="7"/>
      <c r="F256" s="7"/>
      <c r="G256" s="7"/>
    </row>
    <row r="257" spans="4:7" x14ac:dyDescent="0.3">
      <c r="D257" s="7"/>
      <c r="E257" s="7"/>
      <c r="F257" s="7"/>
      <c r="G257" s="7"/>
    </row>
    <row r="258" spans="4:7" x14ac:dyDescent="0.3">
      <c r="D258" s="7"/>
      <c r="E258" s="7"/>
      <c r="F258" s="7"/>
      <c r="G258" s="7"/>
    </row>
    <row r="259" spans="4:7" x14ac:dyDescent="0.3">
      <c r="D259" s="7"/>
      <c r="E259" s="7"/>
      <c r="F259" s="7"/>
      <c r="G259" s="7"/>
    </row>
    <row r="260" spans="4:7" x14ac:dyDescent="0.3">
      <c r="D260" s="7"/>
      <c r="E260" s="7"/>
      <c r="F260" s="7"/>
      <c r="G260" s="7"/>
    </row>
    <row r="261" spans="4:7" x14ac:dyDescent="0.3">
      <c r="D261" s="7"/>
      <c r="E261" s="7"/>
      <c r="F261" s="7"/>
      <c r="G261" s="7"/>
    </row>
    <row r="262" spans="4:7" x14ac:dyDescent="0.3">
      <c r="D262" s="7"/>
      <c r="E262" s="7"/>
      <c r="F262" s="7"/>
      <c r="G262" s="7"/>
    </row>
    <row r="263" spans="4:7" x14ac:dyDescent="0.3">
      <c r="D263" s="7"/>
      <c r="E263" s="7"/>
      <c r="F263" s="7"/>
      <c r="G263" s="7"/>
    </row>
    <row r="264" spans="4:7" x14ac:dyDescent="0.3">
      <c r="D264" s="7"/>
      <c r="E264" s="7"/>
      <c r="F264" s="7"/>
      <c r="G264" s="7"/>
    </row>
    <row r="265" spans="4:7" x14ac:dyDescent="0.3">
      <c r="D265" s="7"/>
      <c r="E265" s="7"/>
      <c r="F265" s="7"/>
      <c r="G265" s="7"/>
    </row>
    <row r="266" spans="4:7" x14ac:dyDescent="0.3">
      <c r="D266" s="7"/>
      <c r="E266" s="7"/>
      <c r="F266" s="7"/>
      <c r="G266" s="7"/>
    </row>
    <row r="267" spans="4:7" x14ac:dyDescent="0.3">
      <c r="D267" s="7"/>
      <c r="E267" s="7"/>
      <c r="F267" s="7"/>
      <c r="G267" s="7"/>
    </row>
    <row r="268" spans="4:7" x14ac:dyDescent="0.3">
      <c r="D268" s="7"/>
      <c r="E268" s="7"/>
      <c r="F268" s="7"/>
      <c r="G268" s="7"/>
    </row>
    <row r="269" spans="4:7" x14ac:dyDescent="0.3">
      <c r="D269" s="7"/>
      <c r="E269" s="7"/>
      <c r="F269" s="7"/>
      <c r="G269" s="7"/>
    </row>
    <row r="270" spans="4:7" x14ac:dyDescent="0.3">
      <c r="D270" s="7"/>
      <c r="E270" s="7"/>
      <c r="F270" s="7"/>
      <c r="G270" s="7"/>
    </row>
    <row r="271" spans="4:7" x14ac:dyDescent="0.3">
      <c r="D271" s="7"/>
      <c r="E271" s="7"/>
      <c r="F271" s="7"/>
      <c r="G271" s="7"/>
    </row>
    <row r="272" spans="4:7" x14ac:dyDescent="0.3">
      <c r="D272" s="7"/>
      <c r="E272" s="7"/>
      <c r="F272" s="7"/>
      <c r="G272" s="7"/>
    </row>
    <row r="273" spans="4:7" x14ac:dyDescent="0.3">
      <c r="D273" s="7"/>
      <c r="E273" s="7"/>
      <c r="F273" s="7"/>
      <c r="G273" s="7"/>
    </row>
    <row r="274" spans="4:7" x14ac:dyDescent="0.3">
      <c r="D274" s="7"/>
      <c r="E274" s="7"/>
      <c r="F274" s="7"/>
      <c r="G274" s="7"/>
    </row>
    <row r="275" spans="4:7" x14ac:dyDescent="0.3">
      <c r="D275" s="7"/>
      <c r="E275" s="7"/>
      <c r="F275" s="7"/>
      <c r="G275" s="7"/>
    </row>
    <row r="276" spans="4:7" x14ac:dyDescent="0.3">
      <c r="D276" s="7"/>
      <c r="E276" s="7"/>
      <c r="F276" s="7"/>
      <c r="G276" s="7"/>
    </row>
    <row r="277" spans="4:7" x14ac:dyDescent="0.3">
      <c r="D277" s="7"/>
      <c r="E277" s="7"/>
      <c r="F277" s="7"/>
      <c r="G277" s="7"/>
    </row>
    <row r="278" spans="4:7" x14ac:dyDescent="0.3">
      <c r="D278" s="7"/>
      <c r="E278" s="7"/>
      <c r="F278" s="7"/>
      <c r="G278" s="7"/>
    </row>
    <row r="279" spans="4:7" x14ac:dyDescent="0.3">
      <c r="D279" s="7"/>
      <c r="E279" s="7"/>
      <c r="F279" s="7"/>
      <c r="G279" s="7"/>
    </row>
    <row r="280" spans="4:7" x14ac:dyDescent="0.3">
      <c r="D280" s="7"/>
      <c r="E280" s="7"/>
      <c r="F280" s="7"/>
      <c r="G280" s="7"/>
    </row>
    <row r="281" spans="4:7" x14ac:dyDescent="0.3">
      <c r="D281" s="7"/>
      <c r="E281" s="7"/>
      <c r="F281" s="7"/>
      <c r="G281" s="7"/>
    </row>
    <row r="282" spans="4:7" x14ac:dyDescent="0.3">
      <c r="D282" s="7"/>
      <c r="E282" s="7"/>
      <c r="F282" s="7"/>
      <c r="G282" s="7"/>
    </row>
    <row r="283" spans="4:7" x14ac:dyDescent="0.3">
      <c r="D283" s="7"/>
      <c r="E283" s="7"/>
      <c r="F283" s="7"/>
      <c r="G283" s="7"/>
    </row>
    <row r="284" spans="4:7" x14ac:dyDescent="0.3">
      <c r="D284" s="7"/>
      <c r="E284" s="7"/>
      <c r="F284" s="7"/>
      <c r="G284" s="7"/>
    </row>
    <row r="285" spans="4:7" x14ac:dyDescent="0.3">
      <c r="D285" s="7"/>
      <c r="E285" s="7"/>
      <c r="F285" s="7"/>
      <c r="G285" s="7"/>
    </row>
    <row r="286" spans="4:7" x14ac:dyDescent="0.3">
      <c r="D286" s="7"/>
      <c r="E286" s="7"/>
      <c r="F286" s="7"/>
      <c r="G286" s="7"/>
    </row>
    <row r="287" spans="4:7" x14ac:dyDescent="0.3">
      <c r="D287" s="7"/>
      <c r="E287" s="7"/>
      <c r="F287" s="7"/>
      <c r="G287" s="7"/>
    </row>
    <row r="288" spans="4:7" x14ac:dyDescent="0.3">
      <c r="D288" s="7"/>
      <c r="E288" s="7"/>
      <c r="F288" s="7"/>
      <c r="G288" s="7"/>
    </row>
    <row r="289" spans="4:7" x14ac:dyDescent="0.3">
      <c r="D289" s="7"/>
      <c r="E289" s="7"/>
      <c r="F289" s="7"/>
      <c r="G289" s="7"/>
    </row>
    <row r="290" spans="4:7" x14ac:dyDescent="0.3">
      <c r="D290" s="7"/>
      <c r="E290" s="7"/>
      <c r="F290" s="7"/>
      <c r="G290" s="7"/>
    </row>
    <row r="291" spans="4:7" x14ac:dyDescent="0.3">
      <c r="D291" s="7"/>
      <c r="E291" s="7"/>
      <c r="F291" s="7"/>
      <c r="G291" s="7"/>
    </row>
    <row r="292" spans="4:7" x14ac:dyDescent="0.3">
      <c r="D292" s="7"/>
      <c r="E292" s="7"/>
      <c r="F292" s="7"/>
      <c r="G292" s="7"/>
    </row>
    <row r="293" spans="4:7" x14ac:dyDescent="0.3">
      <c r="D293" s="7"/>
      <c r="E293" s="7"/>
      <c r="F293" s="7"/>
      <c r="G293" s="7"/>
    </row>
    <row r="294" spans="4:7" x14ac:dyDescent="0.3">
      <c r="D294" s="7"/>
      <c r="E294" s="7"/>
      <c r="F294" s="7"/>
      <c r="G294" s="7"/>
    </row>
    <row r="295" spans="4:7" x14ac:dyDescent="0.3">
      <c r="D295" s="7"/>
      <c r="E295" s="7"/>
      <c r="F295" s="7"/>
      <c r="G295" s="7"/>
    </row>
    <row r="296" spans="4:7" x14ac:dyDescent="0.3">
      <c r="D296" s="7"/>
      <c r="E296" s="7"/>
      <c r="F296" s="7"/>
      <c r="G296" s="7"/>
    </row>
    <row r="297" spans="4:7" x14ac:dyDescent="0.3">
      <c r="D297" s="7"/>
      <c r="E297" s="7"/>
      <c r="F297" s="7"/>
      <c r="G297" s="7"/>
    </row>
    <row r="298" spans="4:7" x14ac:dyDescent="0.3">
      <c r="D298" s="7"/>
      <c r="E298" s="7"/>
      <c r="F298" s="7"/>
      <c r="G298" s="7"/>
    </row>
    <row r="299" spans="4:7" x14ac:dyDescent="0.3">
      <c r="D299" s="7"/>
      <c r="E299" s="7"/>
      <c r="F299" s="7"/>
      <c r="G299" s="7"/>
    </row>
    <row r="300" spans="4:7" x14ac:dyDescent="0.3">
      <c r="D300" s="7"/>
      <c r="E300" s="7"/>
      <c r="F300" s="7"/>
      <c r="G300" s="7"/>
    </row>
    <row r="301" spans="4:7" x14ac:dyDescent="0.3">
      <c r="D301" s="7"/>
      <c r="E301" s="7"/>
      <c r="F301" s="7"/>
      <c r="G301" s="7"/>
    </row>
    <row r="302" spans="4:7" x14ac:dyDescent="0.3">
      <c r="D302" s="7"/>
      <c r="E302" s="7"/>
      <c r="F302" s="7"/>
      <c r="G302" s="7"/>
    </row>
    <row r="303" spans="4:7" x14ac:dyDescent="0.3">
      <c r="D303" s="7"/>
      <c r="E303" s="7"/>
      <c r="F303" s="7"/>
      <c r="G303" s="7"/>
    </row>
    <row r="304" spans="4:7" x14ac:dyDescent="0.3">
      <c r="D304" s="7"/>
      <c r="E304" s="7"/>
      <c r="F304" s="7"/>
      <c r="G304" s="7"/>
    </row>
    <row r="305" spans="4:7" x14ac:dyDescent="0.3">
      <c r="D305" s="7"/>
      <c r="E305" s="7"/>
      <c r="F305" s="7"/>
      <c r="G305" s="7"/>
    </row>
    <row r="306" spans="4:7" x14ac:dyDescent="0.3">
      <c r="D306" s="7"/>
      <c r="E306" s="7"/>
      <c r="F306" s="7"/>
      <c r="G306" s="7"/>
    </row>
    <row r="307" spans="4:7" x14ac:dyDescent="0.3">
      <c r="D307" s="7"/>
      <c r="E307" s="7"/>
      <c r="F307" s="7"/>
      <c r="G307" s="7"/>
    </row>
    <row r="308" spans="4:7" x14ac:dyDescent="0.3">
      <c r="D308" s="7"/>
      <c r="E308" s="7"/>
      <c r="F308" s="7"/>
      <c r="G308" s="7"/>
    </row>
    <row r="309" spans="4:7" x14ac:dyDescent="0.3">
      <c r="D309" s="7"/>
      <c r="E309" s="7"/>
      <c r="F309" s="7"/>
      <c r="G309" s="7"/>
    </row>
    <row r="310" spans="4:7" x14ac:dyDescent="0.3">
      <c r="D310" s="7"/>
      <c r="E310" s="7"/>
      <c r="F310" s="7"/>
      <c r="G310" s="7"/>
    </row>
    <row r="311" spans="4:7" x14ac:dyDescent="0.3">
      <c r="D311" s="7"/>
      <c r="E311" s="7"/>
      <c r="F311" s="7"/>
      <c r="G311" s="7"/>
    </row>
    <row r="312" spans="4:7" x14ac:dyDescent="0.3">
      <c r="D312" s="7"/>
      <c r="E312" s="7"/>
      <c r="F312" s="7"/>
      <c r="G312" s="7"/>
    </row>
    <row r="313" spans="4:7" x14ac:dyDescent="0.3">
      <c r="D313" s="7"/>
      <c r="E313" s="7"/>
      <c r="F313" s="7"/>
      <c r="G313" s="7"/>
    </row>
    <row r="314" spans="4:7" x14ac:dyDescent="0.3">
      <c r="D314" s="7"/>
      <c r="E314" s="7"/>
      <c r="F314" s="7"/>
      <c r="G314" s="7"/>
    </row>
    <row r="315" spans="4:7" x14ac:dyDescent="0.3">
      <c r="D315" s="7"/>
      <c r="E315" s="7"/>
      <c r="F315" s="7"/>
      <c r="G315" s="7"/>
    </row>
    <row r="316" spans="4:7" x14ac:dyDescent="0.3">
      <c r="D316" s="7"/>
      <c r="E316" s="7"/>
      <c r="F316" s="7"/>
      <c r="G316" s="7"/>
    </row>
    <row r="317" spans="4:7" x14ac:dyDescent="0.3">
      <c r="D317" s="7"/>
      <c r="E317" s="7"/>
      <c r="F317" s="7"/>
      <c r="G317" s="7"/>
    </row>
    <row r="318" spans="4:7" x14ac:dyDescent="0.3">
      <c r="D318" s="7"/>
      <c r="E318" s="7"/>
      <c r="F318" s="7"/>
      <c r="G318" s="7"/>
    </row>
    <row r="319" spans="4:7" x14ac:dyDescent="0.3">
      <c r="D319" s="7"/>
      <c r="E319" s="7"/>
      <c r="F319" s="7"/>
      <c r="G319" s="7"/>
    </row>
    <row r="320" spans="4:7" x14ac:dyDescent="0.3">
      <c r="D320" s="7"/>
      <c r="E320" s="7"/>
      <c r="F320" s="7"/>
      <c r="G320" s="7"/>
    </row>
    <row r="321" spans="4:7" x14ac:dyDescent="0.3">
      <c r="D321" s="7"/>
      <c r="E321" s="7"/>
      <c r="F321" s="7"/>
      <c r="G321" s="7"/>
    </row>
    <row r="322" spans="4:7" x14ac:dyDescent="0.3">
      <c r="D322" s="7"/>
      <c r="E322" s="7"/>
      <c r="F322" s="7"/>
      <c r="G322" s="7"/>
    </row>
    <row r="323" spans="4:7" x14ac:dyDescent="0.3">
      <c r="D323" s="7"/>
      <c r="E323" s="7"/>
      <c r="F323" s="7"/>
      <c r="G323" s="7"/>
    </row>
    <row r="324" spans="4:7" x14ac:dyDescent="0.3">
      <c r="D324" s="7"/>
      <c r="E324" s="7"/>
      <c r="F324" s="7"/>
      <c r="G324" s="7"/>
    </row>
    <row r="325" spans="4:7" x14ac:dyDescent="0.3">
      <c r="D325" s="7"/>
      <c r="E325" s="7"/>
      <c r="F325" s="7"/>
      <c r="G325" s="7"/>
    </row>
    <row r="326" spans="4:7" x14ac:dyDescent="0.3">
      <c r="D326" s="7"/>
      <c r="E326" s="7"/>
      <c r="F326" s="7"/>
      <c r="G326" s="7"/>
    </row>
    <row r="327" spans="4:7" x14ac:dyDescent="0.3">
      <c r="D327" s="7"/>
      <c r="E327" s="7"/>
      <c r="F327" s="7"/>
      <c r="G327" s="7"/>
    </row>
    <row r="328" spans="4:7" x14ac:dyDescent="0.3">
      <c r="D328" s="7"/>
      <c r="E328" s="7"/>
      <c r="F328" s="7"/>
      <c r="G328" s="7"/>
    </row>
    <row r="329" spans="4:7" x14ac:dyDescent="0.3">
      <c r="D329" s="7"/>
      <c r="E329" s="7"/>
      <c r="F329" s="7"/>
      <c r="G329" s="7"/>
    </row>
    <row r="330" spans="4:7" x14ac:dyDescent="0.3">
      <c r="D330" s="7"/>
      <c r="E330" s="7"/>
      <c r="F330" s="7"/>
      <c r="G330" s="7"/>
    </row>
    <row r="331" spans="4:7" x14ac:dyDescent="0.3">
      <c r="D331" s="7"/>
      <c r="E331" s="7"/>
      <c r="F331" s="7"/>
      <c r="G331" s="7"/>
    </row>
    <row r="332" spans="4:7" x14ac:dyDescent="0.3">
      <c r="D332" s="7"/>
      <c r="E332" s="7"/>
      <c r="F332" s="7"/>
      <c r="G332" s="7"/>
    </row>
    <row r="333" spans="4:7" x14ac:dyDescent="0.3">
      <c r="D333" s="7"/>
      <c r="E333" s="7"/>
      <c r="F333" s="7"/>
      <c r="G333" s="7"/>
    </row>
    <row r="334" spans="4:7" x14ac:dyDescent="0.3">
      <c r="D334" s="7"/>
      <c r="E334" s="7"/>
      <c r="F334" s="7"/>
      <c r="G334" s="7"/>
    </row>
    <row r="335" spans="4:7" x14ac:dyDescent="0.3">
      <c r="D335" s="7"/>
      <c r="E335" s="7"/>
      <c r="F335" s="7"/>
      <c r="G335" s="7"/>
    </row>
    <row r="336" spans="4:7" x14ac:dyDescent="0.3">
      <c r="D336" s="7"/>
      <c r="E336" s="7"/>
      <c r="F336" s="7"/>
      <c r="G336" s="7"/>
    </row>
    <row r="337" spans="4:7" x14ac:dyDescent="0.3">
      <c r="D337" s="7"/>
      <c r="E337" s="7"/>
      <c r="F337" s="7"/>
      <c r="G337" s="7"/>
    </row>
    <row r="338" spans="4:7" x14ac:dyDescent="0.3">
      <c r="D338" s="7"/>
      <c r="E338" s="7"/>
      <c r="F338" s="7"/>
      <c r="G338" s="7"/>
    </row>
    <row r="339" spans="4:7" x14ac:dyDescent="0.3">
      <c r="D339" s="7"/>
      <c r="E339" s="7"/>
      <c r="F339" s="7"/>
      <c r="G339" s="7"/>
    </row>
    <row r="340" spans="4:7" x14ac:dyDescent="0.3">
      <c r="D340" s="7"/>
      <c r="E340" s="7"/>
      <c r="F340" s="7"/>
      <c r="G340" s="7"/>
    </row>
    <row r="341" spans="4:7" x14ac:dyDescent="0.3">
      <c r="D341" s="7"/>
      <c r="E341" s="7"/>
      <c r="F341" s="7"/>
      <c r="G341" s="7"/>
    </row>
    <row r="342" spans="4:7" x14ac:dyDescent="0.3">
      <c r="D342" s="7"/>
      <c r="E342" s="7"/>
      <c r="F342" s="7"/>
      <c r="G342" s="7"/>
    </row>
    <row r="343" spans="4:7" x14ac:dyDescent="0.3">
      <c r="D343" s="7"/>
      <c r="E343" s="7"/>
      <c r="F343" s="7"/>
      <c r="G343" s="7"/>
    </row>
    <row r="344" spans="4:7" x14ac:dyDescent="0.3">
      <c r="D344" s="7"/>
      <c r="E344" s="7"/>
      <c r="F344" s="7"/>
      <c r="G344" s="7"/>
    </row>
    <row r="345" spans="4:7" x14ac:dyDescent="0.3">
      <c r="D345" s="7"/>
      <c r="E345" s="7"/>
      <c r="F345" s="7"/>
      <c r="G345" s="7"/>
    </row>
    <row r="346" spans="4:7" x14ac:dyDescent="0.3">
      <c r="D346" s="7"/>
      <c r="E346" s="7"/>
      <c r="F346" s="7"/>
      <c r="G346" s="7"/>
    </row>
    <row r="347" spans="4:7" x14ac:dyDescent="0.3">
      <c r="D347" s="7"/>
      <c r="E347" s="7"/>
      <c r="F347" s="7"/>
      <c r="G347" s="7"/>
    </row>
    <row r="348" spans="4:7" x14ac:dyDescent="0.3">
      <c r="D348" s="7"/>
      <c r="E348" s="7"/>
      <c r="F348" s="7"/>
      <c r="G348" s="7"/>
    </row>
    <row r="349" spans="4:7" x14ac:dyDescent="0.3">
      <c r="D349" s="7"/>
      <c r="E349" s="7"/>
      <c r="F349" s="7"/>
      <c r="G349" s="7"/>
    </row>
    <row r="350" spans="4:7" x14ac:dyDescent="0.3">
      <c r="D350" s="7"/>
      <c r="E350" s="7"/>
      <c r="F350" s="7"/>
      <c r="G350" s="7"/>
    </row>
    <row r="351" spans="4:7" x14ac:dyDescent="0.3">
      <c r="D351" s="7"/>
      <c r="E351" s="7"/>
      <c r="F351" s="7"/>
      <c r="G351" s="7"/>
    </row>
    <row r="352" spans="4:7" x14ac:dyDescent="0.3">
      <c r="D352" s="7"/>
      <c r="E352" s="7"/>
      <c r="F352" s="7"/>
      <c r="G352" s="7"/>
    </row>
    <row r="353" spans="4:7" x14ac:dyDescent="0.3">
      <c r="D353" s="7"/>
      <c r="E353" s="7"/>
      <c r="F353" s="7"/>
      <c r="G353" s="7"/>
    </row>
    <row r="354" spans="4:7" x14ac:dyDescent="0.3">
      <c r="D354" s="7"/>
      <c r="E354" s="7"/>
      <c r="F354" s="7"/>
      <c r="G354" s="7"/>
    </row>
    <row r="355" spans="4:7" x14ac:dyDescent="0.3">
      <c r="D355" s="7"/>
      <c r="E355" s="7"/>
      <c r="F355" s="7"/>
      <c r="G355" s="7"/>
    </row>
    <row r="356" spans="4:7" x14ac:dyDescent="0.3">
      <c r="D356" s="7"/>
      <c r="E356" s="7"/>
      <c r="F356" s="7"/>
      <c r="G356" s="7"/>
    </row>
    <row r="357" spans="4:7" x14ac:dyDescent="0.3">
      <c r="D357" s="7"/>
      <c r="E357" s="7"/>
      <c r="F357" s="7"/>
      <c r="G357" s="7"/>
    </row>
    <row r="358" spans="4:7" x14ac:dyDescent="0.3">
      <c r="D358" s="7"/>
      <c r="E358" s="7"/>
      <c r="F358" s="7"/>
      <c r="G358" s="7"/>
    </row>
    <row r="359" spans="4:7" x14ac:dyDescent="0.3">
      <c r="D359" s="7"/>
      <c r="E359" s="7"/>
      <c r="F359" s="7"/>
      <c r="G359" s="7"/>
    </row>
    <row r="360" spans="4:7" x14ac:dyDescent="0.3">
      <c r="D360" s="7"/>
      <c r="E360" s="7"/>
      <c r="F360" s="7"/>
      <c r="G360" s="7"/>
    </row>
    <row r="361" spans="4:7" x14ac:dyDescent="0.3">
      <c r="D361" s="7"/>
      <c r="E361" s="7"/>
      <c r="F361" s="7"/>
      <c r="G361" s="7"/>
    </row>
    <row r="362" spans="4:7" x14ac:dyDescent="0.3">
      <c r="D362" s="7"/>
      <c r="E362" s="7"/>
      <c r="F362" s="7"/>
      <c r="G362" s="7"/>
    </row>
    <row r="363" spans="4:7" x14ac:dyDescent="0.3">
      <c r="D363" s="7"/>
      <c r="E363" s="7"/>
      <c r="F363" s="7"/>
      <c r="G363" s="7"/>
    </row>
    <row r="364" spans="4:7" x14ac:dyDescent="0.3">
      <c r="D364" s="7"/>
      <c r="E364" s="7"/>
      <c r="F364" s="7"/>
      <c r="G364" s="7"/>
    </row>
    <row r="365" spans="4:7" x14ac:dyDescent="0.3">
      <c r="D365" s="7"/>
      <c r="E365" s="7"/>
      <c r="F365" s="7"/>
      <c r="G365" s="7"/>
    </row>
    <row r="366" spans="4:7" x14ac:dyDescent="0.3">
      <c r="D366" s="7"/>
      <c r="E366" s="7"/>
      <c r="F366" s="7"/>
      <c r="G366" s="7"/>
    </row>
    <row r="367" spans="4:7" x14ac:dyDescent="0.3">
      <c r="D367" s="7"/>
      <c r="E367" s="7"/>
      <c r="F367" s="7"/>
      <c r="G367" s="7"/>
    </row>
    <row r="368" spans="4:7" x14ac:dyDescent="0.3">
      <c r="D368" s="7"/>
      <c r="E368" s="7"/>
      <c r="F368" s="7"/>
      <c r="G368" s="7"/>
    </row>
    <row r="369" spans="4:7" x14ac:dyDescent="0.3">
      <c r="D369" s="7"/>
      <c r="E369" s="7"/>
      <c r="F369" s="7"/>
      <c r="G369" s="7"/>
    </row>
    <row r="370" spans="4:7" x14ac:dyDescent="0.3">
      <c r="D370" s="7"/>
      <c r="E370" s="7"/>
      <c r="F370" s="7"/>
      <c r="G370" s="7"/>
    </row>
    <row r="371" spans="4:7" x14ac:dyDescent="0.3">
      <c r="D371" s="7"/>
      <c r="E371" s="7"/>
      <c r="F371" s="7"/>
      <c r="G371" s="7"/>
    </row>
    <row r="372" spans="4:7" x14ac:dyDescent="0.3">
      <c r="D372" s="7"/>
      <c r="E372" s="7"/>
      <c r="F372" s="7"/>
      <c r="G372" s="7"/>
    </row>
    <row r="373" spans="4:7" x14ac:dyDescent="0.3">
      <c r="D373" s="7"/>
      <c r="E373" s="7"/>
      <c r="F373" s="7"/>
      <c r="G373" s="7"/>
    </row>
    <row r="374" spans="4:7" x14ac:dyDescent="0.3">
      <c r="D374" s="7"/>
      <c r="E374" s="7"/>
      <c r="F374" s="7"/>
      <c r="G374" s="7"/>
    </row>
    <row r="375" spans="4:7" x14ac:dyDescent="0.3">
      <c r="D375" s="7"/>
      <c r="E375" s="7"/>
      <c r="F375" s="7"/>
      <c r="G375" s="7"/>
    </row>
    <row r="376" spans="4:7" x14ac:dyDescent="0.3">
      <c r="D376" s="7"/>
      <c r="E376" s="7"/>
      <c r="F376" s="7"/>
      <c r="G376" s="7"/>
    </row>
    <row r="377" spans="4:7" x14ac:dyDescent="0.3">
      <c r="D377" s="7"/>
      <c r="E377" s="7"/>
      <c r="F377" s="7"/>
      <c r="G377" s="7"/>
    </row>
    <row r="378" spans="4:7" x14ac:dyDescent="0.3">
      <c r="D378" s="7"/>
      <c r="E378" s="7"/>
      <c r="F378" s="7"/>
      <c r="G378" s="7"/>
    </row>
    <row r="379" spans="4:7" x14ac:dyDescent="0.3">
      <c r="D379" s="7"/>
      <c r="E379" s="7"/>
      <c r="F379" s="7"/>
      <c r="G379" s="7"/>
    </row>
    <row r="380" spans="4:7" x14ac:dyDescent="0.3">
      <c r="D380" s="7"/>
      <c r="E380" s="7"/>
      <c r="F380" s="7"/>
      <c r="G380" s="7"/>
    </row>
    <row r="381" spans="4:7" x14ac:dyDescent="0.3">
      <c r="D381" s="7"/>
      <c r="E381" s="7"/>
      <c r="F381" s="7"/>
      <c r="G381" s="7"/>
    </row>
    <row r="382" spans="4:7" x14ac:dyDescent="0.3">
      <c r="D382" s="7"/>
      <c r="E382" s="7"/>
      <c r="F382" s="7"/>
      <c r="G382" s="7"/>
    </row>
    <row r="383" spans="4:7" x14ac:dyDescent="0.3">
      <c r="D383" s="7"/>
      <c r="E383" s="7"/>
      <c r="F383" s="7"/>
      <c r="G383" s="7"/>
    </row>
    <row r="384" spans="4:7" x14ac:dyDescent="0.3">
      <c r="D384" s="7"/>
      <c r="E384" s="7"/>
      <c r="F384" s="7"/>
      <c r="G384" s="7"/>
    </row>
    <row r="385" spans="4:7" x14ac:dyDescent="0.3">
      <c r="D385" s="7"/>
      <c r="E385" s="7"/>
      <c r="F385" s="7"/>
      <c r="G385" s="7"/>
    </row>
    <row r="386" spans="4:7" x14ac:dyDescent="0.3">
      <c r="D386" s="7"/>
      <c r="E386" s="7"/>
      <c r="F386" s="7"/>
      <c r="G386" s="7"/>
    </row>
    <row r="387" spans="4:7" x14ac:dyDescent="0.3">
      <c r="D387" s="7"/>
      <c r="E387" s="7"/>
      <c r="F387" s="7"/>
      <c r="G387" s="7"/>
    </row>
    <row r="388" spans="4:7" x14ac:dyDescent="0.3">
      <c r="D388" s="7"/>
      <c r="E388" s="7"/>
      <c r="F388" s="7"/>
      <c r="G388" s="7"/>
    </row>
    <row r="389" spans="4:7" x14ac:dyDescent="0.3">
      <c r="D389" s="7"/>
      <c r="E389" s="7"/>
      <c r="F389" s="7"/>
      <c r="G389" s="7"/>
    </row>
    <row r="390" spans="4:7" x14ac:dyDescent="0.3">
      <c r="D390" s="7"/>
      <c r="E390" s="7"/>
      <c r="F390" s="7"/>
      <c r="G390" s="7"/>
    </row>
    <row r="391" spans="4:7" x14ac:dyDescent="0.3">
      <c r="D391" s="7"/>
      <c r="E391" s="7"/>
      <c r="F391" s="7"/>
      <c r="G391" s="7"/>
    </row>
    <row r="392" spans="4:7" x14ac:dyDescent="0.3">
      <c r="D392" s="7"/>
      <c r="E392" s="7"/>
      <c r="F392" s="7"/>
      <c r="G392" s="7"/>
    </row>
    <row r="393" spans="4:7" x14ac:dyDescent="0.3">
      <c r="D393" s="7"/>
      <c r="E393" s="7"/>
      <c r="F393" s="7"/>
      <c r="G393" s="7"/>
    </row>
    <row r="394" spans="4:7" x14ac:dyDescent="0.3">
      <c r="D394" s="7"/>
      <c r="E394" s="7"/>
      <c r="F394" s="7"/>
      <c r="G394" s="7"/>
    </row>
    <row r="395" spans="4:7" x14ac:dyDescent="0.3">
      <c r="D395" s="7"/>
      <c r="E395" s="7"/>
      <c r="F395" s="7"/>
      <c r="G395" s="7"/>
    </row>
    <row r="396" spans="4:7" x14ac:dyDescent="0.3">
      <c r="D396" s="7"/>
      <c r="E396" s="7"/>
      <c r="F396" s="7"/>
      <c r="G396" s="7"/>
    </row>
    <row r="397" spans="4:7" x14ac:dyDescent="0.3">
      <c r="D397" s="7"/>
      <c r="E397" s="7"/>
      <c r="F397" s="7"/>
      <c r="G397" s="7"/>
    </row>
    <row r="398" spans="4:7" x14ac:dyDescent="0.3">
      <c r="D398" s="7"/>
      <c r="E398" s="7"/>
      <c r="F398" s="7"/>
      <c r="G398" s="7"/>
    </row>
    <row r="399" spans="4:7" x14ac:dyDescent="0.3">
      <c r="D399" s="7"/>
      <c r="E399" s="7"/>
      <c r="F399" s="7"/>
      <c r="G399" s="7"/>
    </row>
    <row r="400" spans="4:7" x14ac:dyDescent="0.3">
      <c r="D400" s="7"/>
      <c r="E400" s="7"/>
      <c r="F400" s="7"/>
      <c r="G400" s="7"/>
    </row>
    <row r="401" spans="4:7" x14ac:dyDescent="0.3">
      <c r="D401" s="7"/>
      <c r="E401" s="7"/>
      <c r="F401" s="7"/>
      <c r="G401" s="7"/>
    </row>
    <row r="402" spans="4:7" x14ac:dyDescent="0.3">
      <c r="D402" s="7"/>
      <c r="E402" s="7"/>
      <c r="F402" s="7"/>
      <c r="G402" s="7"/>
    </row>
    <row r="403" spans="4:7" x14ac:dyDescent="0.3">
      <c r="D403" s="7"/>
      <c r="E403" s="7"/>
      <c r="F403" s="7"/>
      <c r="G403" s="7"/>
    </row>
    <row r="404" spans="4:7" x14ac:dyDescent="0.3">
      <c r="D404" s="7"/>
      <c r="E404" s="7"/>
      <c r="F404" s="7"/>
      <c r="G404" s="7"/>
    </row>
    <row r="405" spans="4:7" x14ac:dyDescent="0.3">
      <c r="D405" s="7"/>
      <c r="E405" s="7"/>
      <c r="F405" s="7"/>
      <c r="G405" s="7"/>
    </row>
    <row r="406" spans="4:7" x14ac:dyDescent="0.3">
      <c r="D406" s="7"/>
      <c r="E406" s="7"/>
      <c r="F406" s="7"/>
      <c r="G406" s="7"/>
    </row>
    <row r="407" spans="4:7" x14ac:dyDescent="0.3">
      <c r="D407" s="7"/>
      <c r="E407" s="7"/>
      <c r="F407" s="7"/>
      <c r="G407" s="7"/>
    </row>
    <row r="408" spans="4:7" x14ac:dyDescent="0.3">
      <c r="D408" s="7"/>
      <c r="E408" s="7"/>
      <c r="F408" s="7"/>
      <c r="G408" s="7"/>
    </row>
    <row r="409" spans="4:7" x14ac:dyDescent="0.3">
      <c r="D409" s="7"/>
      <c r="E409" s="7"/>
      <c r="F409" s="7"/>
      <c r="G409" s="7"/>
    </row>
    <row r="410" spans="4:7" x14ac:dyDescent="0.3">
      <c r="D410" s="7"/>
      <c r="E410" s="7"/>
      <c r="F410" s="7"/>
      <c r="G410" s="7"/>
    </row>
    <row r="411" spans="4:7" x14ac:dyDescent="0.3">
      <c r="D411" s="7"/>
      <c r="E411" s="7"/>
      <c r="F411" s="7"/>
      <c r="G411" s="7"/>
    </row>
    <row r="412" spans="4:7" x14ac:dyDescent="0.3">
      <c r="D412" s="7"/>
      <c r="E412" s="7"/>
      <c r="F412" s="7"/>
      <c r="G412" s="7"/>
    </row>
    <row r="413" spans="4:7" x14ac:dyDescent="0.3">
      <c r="D413" s="7"/>
      <c r="E413" s="7"/>
      <c r="F413" s="7"/>
      <c r="G413" s="7"/>
    </row>
    <row r="414" spans="4:7" x14ac:dyDescent="0.3">
      <c r="D414" s="7"/>
      <c r="E414" s="7"/>
      <c r="F414" s="7"/>
      <c r="G414" s="7"/>
    </row>
    <row r="415" spans="4:7" x14ac:dyDescent="0.3">
      <c r="D415" s="7"/>
      <c r="E415" s="7"/>
      <c r="F415" s="7"/>
      <c r="G415" s="7"/>
    </row>
    <row r="416" spans="4:7" x14ac:dyDescent="0.3">
      <c r="D416" s="7"/>
      <c r="E416" s="7"/>
      <c r="F416" s="7"/>
      <c r="G416" s="7"/>
    </row>
    <row r="417" spans="4:7" x14ac:dyDescent="0.3">
      <c r="D417" s="7"/>
      <c r="E417" s="7"/>
      <c r="F417" s="7"/>
      <c r="G417" s="7"/>
    </row>
    <row r="418" spans="4:7" x14ac:dyDescent="0.3">
      <c r="D418" s="7"/>
      <c r="E418" s="7"/>
      <c r="F418" s="7"/>
      <c r="G418" s="7"/>
    </row>
    <row r="419" spans="4:7" x14ac:dyDescent="0.3">
      <c r="D419" s="7"/>
      <c r="E419" s="7"/>
      <c r="F419" s="7"/>
      <c r="G419" s="7"/>
    </row>
    <row r="420" spans="4:7" x14ac:dyDescent="0.3">
      <c r="D420" s="7"/>
      <c r="E420" s="7"/>
      <c r="F420" s="7"/>
      <c r="G420" s="7"/>
    </row>
    <row r="421" spans="4:7" x14ac:dyDescent="0.3">
      <c r="D421" s="7"/>
      <c r="E421" s="7"/>
      <c r="F421" s="7"/>
      <c r="G421" s="7"/>
    </row>
    <row r="422" spans="4:7" x14ac:dyDescent="0.3">
      <c r="D422" s="7"/>
      <c r="E422" s="7"/>
      <c r="F422" s="7"/>
      <c r="G422" s="7"/>
    </row>
    <row r="423" spans="4:7" x14ac:dyDescent="0.3">
      <c r="D423" s="7"/>
      <c r="E423" s="7"/>
      <c r="F423" s="7"/>
      <c r="G423" s="7"/>
    </row>
    <row r="424" spans="4:7" x14ac:dyDescent="0.3">
      <c r="D424" s="7"/>
      <c r="E424" s="7"/>
      <c r="F424" s="7"/>
      <c r="G424" s="7"/>
    </row>
    <row r="425" spans="4:7" x14ac:dyDescent="0.3">
      <c r="D425" s="7"/>
      <c r="E425" s="7"/>
      <c r="F425" s="7"/>
      <c r="G425" s="7"/>
    </row>
    <row r="426" spans="4:7" x14ac:dyDescent="0.3">
      <c r="D426" s="7"/>
      <c r="E426" s="7"/>
      <c r="F426" s="7"/>
      <c r="G426" s="7"/>
    </row>
    <row r="427" spans="4:7" x14ac:dyDescent="0.3">
      <c r="D427" s="7"/>
      <c r="E427" s="7"/>
      <c r="F427" s="7"/>
      <c r="G427" s="7"/>
    </row>
    <row r="428" spans="4:7" x14ac:dyDescent="0.3">
      <c r="D428" s="7"/>
      <c r="E428" s="7"/>
      <c r="F428" s="7"/>
      <c r="G428" s="7"/>
    </row>
  </sheetData>
  <mergeCells count="22">
    <mergeCell ref="O29:P29"/>
    <mergeCell ref="O27:P28"/>
    <mergeCell ref="O20:P20"/>
    <mergeCell ref="O23:P24"/>
    <mergeCell ref="L2:L4"/>
    <mergeCell ref="O14:P15"/>
    <mergeCell ref="O16:P16"/>
    <mergeCell ref="O25:P25"/>
    <mergeCell ref="O9:P10"/>
    <mergeCell ref="O21:P21"/>
    <mergeCell ref="O18:P19"/>
    <mergeCell ref="P2:P4"/>
    <mergeCell ref="K2:K4"/>
    <mergeCell ref="H6:H7"/>
    <mergeCell ref="J6:J7"/>
    <mergeCell ref="A6:A7"/>
    <mergeCell ref="D6:E6"/>
    <mergeCell ref="A2:G3"/>
    <mergeCell ref="I2:I4"/>
    <mergeCell ref="I6:I7"/>
    <mergeCell ref="H2:H4"/>
    <mergeCell ref="K6:K7"/>
  </mergeCells>
  <conditionalFormatting sqref="A9:A36">
    <cfRule type="duplicateValues" dxfId="6" priority="5"/>
  </conditionalFormatting>
  <conditionalFormatting sqref="K9:K36">
    <cfRule type="cellIs" dxfId="5" priority="1" operator="equal">
      <formula>"DIREITO"</formula>
    </cfRule>
    <cfRule type="cellIs" dxfId="4" priority="2" operator="equal">
      <formula>"ESQUERDO"</formula>
    </cfRule>
  </conditionalFormatting>
  <dataValidations count="2">
    <dataValidation type="list" allowBlank="1" showInputMessage="1" showErrorMessage="1" sqref="K9:K36" xr:uid="{00000000-0002-0000-0A00-000000000000}">
      <formula1>"DIREITO,ESQUERDO,TRAFO, ,"</formula1>
    </dataValidation>
    <dataValidation type="list" allowBlank="1" showInputMessage="1" showErrorMessage="1" sqref="I2:I5" xr:uid="{00000000-0002-0000-0A00-000001000000}">
      <formula1>",SIM,NÃO"</formula1>
    </dataValidation>
  </dataValidations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C17"/>
  <sheetViews>
    <sheetView zoomScale="110" zoomScaleNormal="110" workbookViewId="0">
      <pane ySplit="7" topLeftCell="A8" activePane="bottomLeft" state="frozen"/>
      <selection pane="bottomLeft" activeCell="B17" sqref="B17"/>
    </sheetView>
  </sheetViews>
  <sheetFormatPr defaultRowHeight="14.4" x14ac:dyDescent="0.3"/>
  <cols>
    <col min="1" max="1" width="11.33203125" bestFit="1" customWidth="1"/>
    <col min="2" max="2" width="12.44140625" bestFit="1" customWidth="1"/>
    <col min="3" max="3" width="14.6640625" bestFit="1" customWidth="1"/>
    <col min="4" max="4" width="10.44140625" bestFit="1" customWidth="1"/>
    <col min="5" max="5" width="11.5546875" bestFit="1" customWidth="1"/>
    <col min="6" max="6" width="9.77734375" customWidth="1"/>
    <col min="7" max="7" width="10.44140625" customWidth="1"/>
    <col min="8" max="8" width="16.109375" bestFit="1" customWidth="1"/>
    <col min="9" max="11" width="11" hidden="1" customWidth="1"/>
    <col min="12" max="12" width="15.109375" hidden="1" customWidth="1"/>
    <col min="13" max="13" width="12.44140625" hidden="1" customWidth="1"/>
    <col min="14" max="14" width="9.44140625" bestFit="1" customWidth="1"/>
    <col min="15" max="15" width="17.33203125" bestFit="1" customWidth="1"/>
    <col min="16" max="16" width="8.77734375" hidden="1" customWidth="1"/>
    <col min="17" max="17" width="27.109375" hidden="1" customWidth="1"/>
    <col min="18" max="18" width="8.77734375" hidden="1" customWidth="1"/>
    <col min="19" max="19" width="7.5546875" customWidth="1"/>
    <col min="20" max="20" width="14" hidden="1" customWidth="1"/>
    <col min="21" max="25" width="8.77734375" hidden="1" customWidth="1"/>
    <col min="26" max="26" width="7.5546875" hidden="1" customWidth="1"/>
    <col min="27" max="27" width="4.33203125" customWidth="1"/>
    <col min="28" max="28" width="10.44140625" bestFit="1" customWidth="1"/>
    <col min="29" max="29" width="11.5546875" bestFit="1" customWidth="1"/>
  </cols>
  <sheetData>
    <row r="2" spans="1:29" x14ac:dyDescent="0.3">
      <c r="A2" s="233" t="s">
        <v>0</v>
      </c>
      <c r="B2" s="231" t="str">
        <f ca="1">SMALL(ESQ_PROJ2[127],1)</f>
        <v/>
      </c>
      <c r="C2" s="234" t="str">
        <f ca="1">LARGE(ESQ_PROJ2[QT %],1)</f>
        <v/>
      </c>
      <c r="D2" s="201"/>
      <c r="E2" s="201"/>
      <c r="F2" s="64"/>
      <c r="H2" s="146" t="s">
        <v>1</v>
      </c>
      <c r="AB2" s="190" t="s">
        <v>2</v>
      </c>
      <c r="AC2" s="191"/>
    </row>
    <row r="3" spans="1:29" x14ac:dyDescent="0.3">
      <c r="A3" s="179"/>
      <c r="B3" s="232"/>
      <c r="C3" s="232"/>
      <c r="D3" s="179"/>
      <c r="E3" s="179"/>
      <c r="F3" s="64"/>
      <c r="AB3" s="192"/>
      <c r="AC3" s="192"/>
    </row>
    <row r="4" spans="1:29" x14ac:dyDescent="0.3">
      <c r="AB4" s="11" t="s">
        <v>3</v>
      </c>
      <c r="AC4" s="13" t="str">
        <f>IFERROR(SUMPRODUCT(G8:G11,D8:D11)/SUM(G8:G11),"INSERIR DADOS")</f>
        <v>INSERIR DADOS</v>
      </c>
    </row>
    <row r="5" spans="1:29" ht="13.8" customHeight="1" x14ac:dyDescent="0.3">
      <c r="A5" s="233" t="s">
        <v>4</v>
      </c>
      <c r="B5" s="180" t="s">
        <v>5</v>
      </c>
      <c r="C5" s="180" t="s">
        <v>6</v>
      </c>
      <c r="D5" s="235" t="s">
        <v>7</v>
      </c>
      <c r="E5" s="182"/>
      <c r="F5" s="176" t="s">
        <v>8</v>
      </c>
      <c r="G5" s="176" t="s">
        <v>9</v>
      </c>
      <c r="H5" s="176" t="s">
        <v>10</v>
      </c>
      <c r="I5" s="176"/>
      <c r="J5" s="50"/>
      <c r="K5" s="50"/>
      <c r="L5" s="176" t="s">
        <v>11</v>
      </c>
      <c r="M5" s="176" t="s">
        <v>12</v>
      </c>
      <c r="N5" s="176" t="s">
        <v>13</v>
      </c>
      <c r="O5" s="176" t="s">
        <v>14</v>
      </c>
      <c r="P5" s="50"/>
      <c r="Q5" s="176" t="s">
        <v>15</v>
      </c>
      <c r="S5" s="176" t="s">
        <v>16</v>
      </c>
      <c r="Z5" s="176" t="s">
        <v>17</v>
      </c>
      <c r="AB5" s="12" t="s">
        <v>18</v>
      </c>
      <c r="AC5" s="13" t="str">
        <f>IFERROR(SUMPRODUCT(G8:G11,E8:E11)/SUM(G8:G11),"INSERIR DADOS")</f>
        <v>INSERIR DADOS</v>
      </c>
    </row>
    <row r="6" spans="1:29" ht="34.200000000000003" customHeight="1" x14ac:dyDescent="0.3">
      <c r="A6" s="179"/>
      <c r="B6" s="179"/>
      <c r="C6" s="179"/>
      <c r="D6" s="8" t="s">
        <v>19</v>
      </c>
      <c r="E6" s="8" t="s">
        <v>20</v>
      </c>
      <c r="F6" s="179"/>
      <c r="G6" s="179"/>
      <c r="H6" s="179"/>
      <c r="I6" s="179"/>
      <c r="J6" s="14"/>
      <c r="K6" s="14"/>
      <c r="L6" s="179"/>
      <c r="M6" s="179"/>
      <c r="N6" s="179"/>
      <c r="O6" s="179"/>
      <c r="P6" s="14"/>
      <c r="Q6" s="179"/>
      <c r="S6" s="179"/>
      <c r="Z6" s="179"/>
    </row>
    <row r="7" spans="1:29" x14ac:dyDescent="0.3">
      <c r="A7" s="53" t="s">
        <v>4</v>
      </c>
      <c r="B7" s="53" t="s">
        <v>21</v>
      </c>
      <c r="C7" s="53" t="s">
        <v>22</v>
      </c>
      <c r="D7" s="53" t="s">
        <v>3</v>
      </c>
      <c r="E7" s="53" t="s">
        <v>18</v>
      </c>
      <c r="F7" s="53" t="s">
        <v>23</v>
      </c>
      <c r="G7" s="53" t="s">
        <v>24</v>
      </c>
      <c r="H7" s="53" t="s">
        <v>10</v>
      </c>
      <c r="I7" s="67" t="s">
        <v>25</v>
      </c>
      <c r="J7" s="67" t="s">
        <v>26</v>
      </c>
      <c r="K7" s="67" t="s">
        <v>27</v>
      </c>
      <c r="L7" s="53" t="s">
        <v>28</v>
      </c>
      <c r="M7" s="53" t="s">
        <v>29</v>
      </c>
      <c r="N7" s="53" t="s">
        <v>13</v>
      </c>
      <c r="O7" s="67" t="s">
        <v>30</v>
      </c>
      <c r="P7" s="67" t="s">
        <v>31</v>
      </c>
      <c r="Q7" s="53" t="s">
        <v>32</v>
      </c>
      <c r="R7" s="75" t="s">
        <v>33</v>
      </c>
      <c r="S7" s="75" t="s">
        <v>34</v>
      </c>
      <c r="T7" s="75" t="s">
        <v>35</v>
      </c>
      <c r="U7" s="75" t="s">
        <v>36</v>
      </c>
      <c r="V7" s="75" t="s">
        <v>37</v>
      </c>
      <c r="W7" s="75" t="s">
        <v>38</v>
      </c>
      <c r="X7" s="75" t="s">
        <v>39</v>
      </c>
      <c r="Y7" s="75" t="s">
        <v>40</v>
      </c>
      <c r="Z7" s="53" t="s">
        <v>41</v>
      </c>
    </row>
    <row r="8" spans="1:29" x14ac:dyDescent="0.3">
      <c r="A8" s="54">
        <f>'GERAL PROJ2'!A16</f>
        <v>0</v>
      </c>
      <c r="B8" s="54">
        <f>IFERROR(IF(ESQ_PROJ2[[#This Row],[PONTO]]="RAMAL",A7,VLOOKUP(ESQ_PROJ2[[#This Row],[PONTO]],GERAL_PROJ2[],2,0)),0)</f>
        <v>0</v>
      </c>
      <c r="C8" s="54">
        <f>IFERROR(IF(ESQ_PROJ2[[#This Row],[PONTO]]="RAMAL",15,VLOOKUP(ESQ_PROJ2[[#This Row],[PONTO]],GERAL_PROJ2[],3,0)),0)</f>
        <v>0</v>
      </c>
      <c r="D8" s="55">
        <f>IFERROR(IF(ESQ_PROJ2[[#This Row],[PONTO]]="RAMAL","",VLOOKUP(ESQ_PROJ2[[#This Row],[PONTO]],GERAL_PROJ2[],4,0)),0)</f>
        <v>0</v>
      </c>
      <c r="E8" s="55">
        <f>IFERROR(IF(ESQ_PROJ2[[#This Row],[PONTO]]="RAMAL","",VLOOKUP(ESQ_PROJ2[[#This Row],[PONTO]],GERAL_PROJ2[],5,0)),0)</f>
        <v>0</v>
      </c>
      <c r="F8" s="55">
        <f>IFERROR(IF(ESQ_PROJ2[[#This Row],[PONTO]]="RAMAL",DMDI,VLOOKUP(ESQ_PROJ2[[#This Row],[PONTO]],GERAL_PROJ2[],8,0)),0)</f>
        <v>0</v>
      </c>
      <c r="G8" s="55">
        <f>IFERROR(IF(ESQ_PROJ2[[#This Row],[PONTO]]="RAMAL",ESQ_PROJ2[[#This Row],[KVA PONTO]],VLOOKUP(ESQ_PROJ2[[#This Row],[PONTO]],GERAL_PROJ2[],9,0)),0)</f>
        <v>0</v>
      </c>
      <c r="H8" s="55">
        <f>IFERROR(VLOOKUP(ESQ_PROJ2[[#This Row],[PONTO]],GERAL_PROJ2[],12,0),0)</f>
        <v>0</v>
      </c>
      <c r="I8" s="61">
        <f>ESQ_PROJ2[[#This Row],[Ib]]</f>
        <v>0</v>
      </c>
      <c r="J8" s="61" t="e">
        <v>#DIV/0!</v>
      </c>
      <c r="K8" s="69">
        <f>IFERROR((VLOOKUP(ESQ_PROJ2[[#This Row],[CONDUTOR]],CABOS[],3,0)/VLOOKUP(ESQ_PROJ2[[#This Row],[CONDUTOR]],CABOS[],6,0))*(1+VLOOKUP(ESQ_PROJ2[[#This Row],[CONDUTOR]],CABOS[],5,0)*(ESQ_PROJ2[[#This Row],[T]]-20)),0)</f>
        <v>0</v>
      </c>
      <c r="L8" s="62">
        <f>IFERROR(IF(ESQ_PROJ2[[#This Row],[FASE]]="MONO",6,IF(ESQ_PROJ2[[#This Row],[FASE]]="BIF",2,1))*ESQ_PROJ2[[#This Row],[ACUMULADA]]*(SQRT(ESQ_PROJ2[[#This Row],[R CORR]]^2+VLOOKUP(ESQ_PROJ2[[#This Row],[CONDUTOR]],CABOS[],4,0)^2)/(($P$7^2)/100))*ESQ_PROJ2[[#This Row],[M]]*127/100+IF(ESQ_PROJ2[[#This Row],[TRECHO]]=0,127*QT_MTTR3,0),0)</f>
        <v>0</v>
      </c>
      <c r="M8" s="143" t="str">
        <f ca="1">IFERROR(SUMIF(ESQ_PROJ2[PONTO],ESQ_PROJ2[[#This Row],[TRECHO]],ESQ_PROJ2[Coluna1])+ESQ_PROJ2[[#This Row],[QT-PONTO]],0)</f>
        <v/>
      </c>
      <c r="N8" s="56" t="str">
        <f ca="1">ESQ_PROJ2[[#This Row],[Coluna1]]/127</f>
        <v/>
      </c>
      <c r="O8" s="55" t="str">
        <f ca="1">127-(127*ESQ_PROJ2[[#This Row],[QT %]])</f>
        <v/>
      </c>
      <c r="P8" s="61" t="str">
        <f ca="1">220-(220*ESQ_PROJ2[[#This Row],[QT %]])</f>
        <v/>
      </c>
      <c r="Q8" s="68" t="str">
        <f>IF(ESQ_PROJ2[[#This Row],[PROTECAO]]="OK","Protecao OK","Ajustar Disj/Condutor")</f>
        <v>Protecao OK</v>
      </c>
      <c r="R8" s="74" t="str">
        <f t="shared" ref="R8:R17" si="0">"TRI"</f>
        <v>TRI</v>
      </c>
      <c r="S8" s="74">
        <v>3</v>
      </c>
      <c r="T8" s="74" t="str">
        <f t="shared" ref="T8:T17" si="1">"AEREO"</f>
        <v>AEREO</v>
      </c>
      <c r="U8" s="74">
        <f>30</f>
        <v>30</v>
      </c>
      <c r="V8" s="74">
        <f>IF(ESQ_PROJ2[[#This Row],[FASE]]="MONO",ESQ_PROJ2[[#This Row],[ACUMULADA]]*1000/(220*ESQ_PROJ2[[#This Row],[ETA]]),ESQ_PROJ2[[#This Row],[ACUMULADA]]*1000/(SQRT(3)*$P$7*ESQ_PROJ2[[#This Row],[ETA]]))</f>
        <v>0</v>
      </c>
      <c r="W8" s="74">
        <f>IFERROR(VLOOKUP(ESQ_PROJ2[[#This Row],[Ib]],TabelaDisjuntores[],2,TRUE),0)</f>
        <v>0</v>
      </c>
      <c r="X8" s="74">
        <f>IFERROR(VLOOKUP(ESQ_PROJ2[[#This Row],[CONDUTOR]],CABOS[],2,0),0)</f>
        <v>0</v>
      </c>
      <c r="Y8" s="74" t="str">
        <f>IF(AND(ESQ_PROJ2[[#This Row],[Ib]]&lt;=ESQ_PROJ2[[#This Row],[In]],ESQ_PROJ2[[#This Row],[In]]&lt;=ESQ_PROJ2[[#This Row],[Iz]]),"OK","VERIFICAR")</f>
        <v>OK</v>
      </c>
      <c r="Z8" s="108">
        <f>IFERROR(SQRT((ESQ_PROJ2[[#This Row],[X]]-$AC$4)^2+(ESQ_PROJ2[[#This Row],[Y]]-$AC$5)^2),0)</f>
        <v>0</v>
      </c>
    </row>
    <row r="9" spans="1:29" x14ac:dyDescent="0.3">
      <c r="A9" s="169"/>
      <c r="B9" s="54">
        <f>IFERROR(IF(ESQ_PROJ2[[#This Row],[PONTO]]="RAMAL",A8,VLOOKUP(ESQ_PROJ2[[#This Row],[PONTO]],GERAL_PROJ2[],2,0)),0)</f>
        <v>0</v>
      </c>
      <c r="C9" s="54">
        <f>IFERROR(IF(ESQ_PROJ2[[#This Row],[PONTO]]="RAMAL",15,VLOOKUP(ESQ_PROJ2[[#This Row],[PONTO]],GERAL_PROJ2[],3,0)),0)</f>
        <v>0</v>
      </c>
      <c r="D9" s="55">
        <f>IFERROR(IF(ESQ_PROJ2[[#This Row],[PONTO]]="RAMAL","",VLOOKUP(ESQ_PROJ2[[#This Row],[PONTO]],GERAL_PROJ2[],4,0)),0)</f>
        <v>0</v>
      </c>
      <c r="E9" s="55">
        <f>IFERROR(IF(ESQ_PROJ2[[#This Row],[PONTO]]="RAMAL","",VLOOKUP(ESQ_PROJ2[[#This Row],[PONTO]],GERAL_PROJ2[],5,0)),0)</f>
        <v>0</v>
      </c>
      <c r="F9" s="55">
        <f>IFERROR(IF(ESQ_PROJ2[[#This Row],[PONTO]]="RAMAL",DMDI,VLOOKUP(ESQ_PROJ2[[#This Row],[PONTO]],GERAL_PROJ2[],8,0)),0)</f>
        <v>0</v>
      </c>
      <c r="G9" s="55">
        <f>IFERROR(IF(ESQ_PROJ2[[#This Row],[PONTO]]="RAMAL",ESQ_PROJ2[[#This Row],[KVA PONTO]],VLOOKUP(ESQ_PROJ2[[#This Row],[PONTO]],GERAL_PROJ2[],9,0)),0)</f>
        <v>0</v>
      </c>
      <c r="H9" s="55">
        <f>IFERROR(VLOOKUP(ESQ_PROJ2[[#This Row],[PONTO]],GERAL_PROJ2[],12,0),0)</f>
        <v>0</v>
      </c>
      <c r="I9" s="61">
        <f>ESQ_PROJ2[[#This Row],[Ib]]</f>
        <v>0</v>
      </c>
      <c r="J9" s="61" t="e">
        <v>#DIV/0!</v>
      </c>
      <c r="K9" s="69">
        <f>IFERROR((VLOOKUP(ESQ_PROJ2[[#This Row],[CONDUTOR]],CABOS[],3,0)/VLOOKUP(ESQ_PROJ2[[#This Row],[CONDUTOR]],CABOS[],6,0))*(1+VLOOKUP(ESQ_PROJ2[[#This Row],[CONDUTOR]],CABOS[],5,0)*(ESQ_PROJ2[[#This Row],[T]]-20)),0)</f>
        <v>0</v>
      </c>
      <c r="L9" s="62">
        <f>IFERROR(IF(ESQ_PROJ2[[#This Row],[FASE]]="MONO",6,IF(ESQ_PROJ2[[#This Row],[FASE]]="BIF",2,1))*ESQ_PROJ2[[#This Row],[ACUMULADA]]*(SQRT(ESQ_PROJ2[[#This Row],[R CORR]]^2+VLOOKUP(ESQ_PROJ2[[#This Row],[CONDUTOR]],CABOS[],4,0)^2)/(($P$7^2)/100))*ESQ_PROJ2[[#This Row],[M]]*127/100+IF(ESQ_PROJ2[[#This Row],[TRECHO]]=0,127*QT_MTTR3,0),0)</f>
        <v>0</v>
      </c>
      <c r="M9" s="143" t="str">
        <f ca="1">IFERROR(SUMIF(ESQ_PROJ2[PONTO],ESQ_PROJ2[[#This Row],[TRECHO]],ESQ_PROJ2[Coluna1])+ESQ_PROJ2[[#This Row],[QT-PONTO]],0)</f>
        <v/>
      </c>
      <c r="N9" s="56" t="str">
        <f ca="1">ESQ_PROJ2[[#This Row],[Coluna1]]/127</f>
        <v/>
      </c>
      <c r="O9" s="55" t="str">
        <f ca="1">127-(127*ESQ_PROJ2[[#This Row],[QT %]])</f>
        <v/>
      </c>
      <c r="P9" s="61" t="str">
        <f ca="1">220-(220*ESQ_PROJ2[[#This Row],[QT %]])</f>
        <v/>
      </c>
      <c r="Q9" s="68" t="str">
        <f>IF(ESQ_PROJ2[[#This Row],[PROTECAO]]="OK","Protecao OK","Ajustar Disj/Condutor")</f>
        <v>Protecao OK</v>
      </c>
      <c r="R9" s="74" t="str">
        <f t="shared" si="0"/>
        <v>TRI</v>
      </c>
      <c r="S9" s="74">
        <v>3</v>
      </c>
      <c r="T9" s="74" t="str">
        <f t="shared" si="1"/>
        <v>AEREO</v>
      </c>
      <c r="U9" s="74">
        <f>30</f>
        <v>30</v>
      </c>
      <c r="V9" s="74">
        <f>IF(ESQ_PROJ2[[#This Row],[FASE]]="MONO",ESQ_PROJ2[[#This Row],[ACUMULADA]]*1000/(220*ESQ_PROJ2[[#This Row],[ETA]]),ESQ_PROJ2[[#This Row],[ACUMULADA]]*1000/(SQRT(3)*$P$7*ESQ_PROJ2[[#This Row],[ETA]]))</f>
        <v>0</v>
      </c>
      <c r="W9" s="74">
        <f>IFERROR(VLOOKUP(ESQ_PROJ2[[#This Row],[Ib]],TabelaDisjuntores[],2,TRUE),0)</f>
        <v>0</v>
      </c>
      <c r="X9" s="74">
        <f>IFERROR(VLOOKUP(ESQ_PROJ2[[#This Row],[CONDUTOR]],CABOS[],2,0),0)</f>
        <v>0</v>
      </c>
      <c r="Y9" s="74" t="str">
        <f>IF(AND(ESQ_PROJ2[[#This Row],[Ib]]&lt;=ESQ_PROJ2[[#This Row],[In]],ESQ_PROJ2[[#This Row],[In]]&lt;=ESQ_PROJ2[[#This Row],[Iz]]),"OK","VERIFICAR")</f>
        <v>OK</v>
      </c>
      <c r="Z9" s="108">
        <f>IFERROR(SQRT((ESQ_PROJ2[[#This Row],[X]]-$AC$4)^2+(ESQ_PROJ2[[#This Row],[Y]]-$AC$5)^2),0)</f>
        <v>0</v>
      </c>
    </row>
    <row r="10" spans="1:29" x14ac:dyDescent="0.3">
      <c r="A10" s="169"/>
      <c r="B10" s="54">
        <f>IFERROR(IF(ESQ_PROJ2[[#This Row],[PONTO]]="RAMAL",A9,VLOOKUP(ESQ_PROJ2[[#This Row],[PONTO]],GERAL_PROJ2[],2,0)),0)</f>
        <v>0</v>
      </c>
      <c r="C10" s="54">
        <f>IFERROR(IF(ESQ_PROJ2[[#This Row],[PONTO]]="RAMAL",15,VLOOKUP(ESQ_PROJ2[[#This Row],[PONTO]],GERAL_PROJ2[],3,0)),0)</f>
        <v>0</v>
      </c>
      <c r="D10" s="55">
        <f>IFERROR(IF(ESQ_PROJ2[[#This Row],[PONTO]]="RAMAL","",VLOOKUP(ESQ_PROJ2[[#This Row],[PONTO]],GERAL_PROJ2[],4,0)),0)</f>
        <v>0</v>
      </c>
      <c r="E10" s="55">
        <f>IFERROR(IF(ESQ_PROJ2[[#This Row],[PONTO]]="RAMAL","",VLOOKUP(ESQ_PROJ2[[#This Row],[PONTO]],GERAL_PROJ2[],5,0)),0)</f>
        <v>0</v>
      </c>
      <c r="F10" s="55">
        <f>IFERROR(IF(ESQ_PROJ2[[#This Row],[PONTO]]="RAMAL",DMDI,VLOOKUP(ESQ_PROJ2[[#This Row],[PONTO]],GERAL_PROJ2[],8,0)),0)</f>
        <v>0</v>
      </c>
      <c r="G10" s="55">
        <f>IFERROR(IF(ESQ_PROJ2[[#This Row],[PONTO]]="RAMAL",ESQ_PROJ2[[#This Row],[KVA PONTO]],VLOOKUP(ESQ_PROJ2[[#This Row],[PONTO]],GERAL_PROJ2[],9,0)),0)</f>
        <v>0</v>
      </c>
      <c r="H10" s="55">
        <f>IFERROR(VLOOKUP(ESQ_PROJ2[[#This Row],[PONTO]],GERAL_PROJ2[],12,0),0)</f>
        <v>0</v>
      </c>
      <c r="I10" s="61">
        <f>ESQ_PROJ2[[#This Row],[Ib]]</f>
        <v>0</v>
      </c>
      <c r="J10" s="61" t="e">
        <v>#DIV/0!</v>
      </c>
      <c r="K10" s="69">
        <f>IFERROR((VLOOKUP(ESQ_PROJ2[[#This Row],[CONDUTOR]],CABOS[],3,0)/VLOOKUP(ESQ_PROJ2[[#This Row],[CONDUTOR]],CABOS[],6,0))*(1+VLOOKUP(ESQ_PROJ2[[#This Row],[CONDUTOR]],CABOS[],5,0)*(ESQ_PROJ2[[#This Row],[T]]-20)),0)</f>
        <v>0</v>
      </c>
      <c r="L10" s="62">
        <f>IFERROR(IF(ESQ_PROJ2[[#This Row],[FASE]]="MONO",6,IF(ESQ_PROJ2[[#This Row],[FASE]]="BIF",2,1))*ESQ_PROJ2[[#This Row],[ACUMULADA]]*(SQRT(ESQ_PROJ2[[#This Row],[R CORR]]^2+VLOOKUP(ESQ_PROJ2[[#This Row],[CONDUTOR]],CABOS[],4,0)^2)/(($P$7^2)/100))*ESQ_PROJ2[[#This Row],[M]]*127/100+IF(ESQ_PROJ2[[#This Row],[TRECHO]]=0,127*QT_MTTR3,0),0)</f>
        <v>0</v>
      </c>
      <c r="M10" s="143" t="str">
        <f ca="1">IFERROR(SUMIF(ESQ_PROJ2[PONTO],ESQ_PROJ2[[#This Row],[TRECHO]],ESQ_PROJ2[Coluna1])+ESQ_PROJ2[[#This Row],[QT-PONTO]],0)</f>
        <v/>
      </c>
      <c r="N10" s="56" t="str">
        <f ca="1">ESQ_PROJ2[[#This Row],[Coluna1]]/127</f>
        <v/>
      </c>
      <c r="O10" s="55" t="str">
        <f ca="1">127-(127*ESQ_PROJ2[[#This Row],[QT %]])</f>
        <v/>
      </c>
      <c r="P10" s="61" t="str">
        <f ca="1">220-(220*ESQ_PROJ2[[#This Row],[QT %]])</f>
        <v/>
      </c>
      <c r="Q10" s="68" t="str">
        <f>IF(ESQ_PROJ2[[#This Row],[PROTECAO]]="OK","Protecao OK","Ajustar Disj/Condutor")</f>
        <v>Protecao OK</v>
      </c>
      <c r="R10" s="74" t="str">
        <f t="shared" si="0"/>
        <v>TRI</v>
      </c>
      <c r="S10" s="74">
        <v>3</v>
      </c>
      <c r="T10" s="74" t="str">
        <f t="shared" si="1"/>
        <v>AEREO</v>
      </c>
      <c r="U10" s="74">
        <f>30</f>
        <v>30</v>
      </c>
      <c r="V10" s="74">
        <f>IF(ESQ_PROJ2[[#This Row],[FASE]]="MONO",ESQ_PROJ2[[#This Row],[ACUMULADA]]*1000/(220*ESQ_PROJ2[[#This Row],[ETA]]),ESQ_PROJ2[[#This Row],[ACUMULADA]]*1000/(SQRT(3)*$P$7*ESQ_PROJ2[[#This Row],[ETA]]))</f>
        <v>0</v>
      </c>
      <c r="W10" s="74">
        <f>IFERROR(VLOOKUP(ESQ_PROJ2[[#This Row],[Ib]],TabelaDisjuntores[],2,TRUE),0)</f>
        <v>0</v>
      </c>
      <c r="X10" s="74">
        <f>IFERROR(VLOOKUP(ESQ_PROJ2[[#This Row],[CONDUTOR]],CABOS[],2,0),0)</f>
        <v>0</v>
      </c>
      <c r="Y10" s="74" t="str">
        <f>IF(AND(ESQ_PROJ2[[#This Row],[Ib]]&lt;=ESQ_PROJ2[[#This Row],[In]],ESQ_PROJ2[[#This Row],[In]]&lt;=ESQ_PROJ2[[#This Row],[Iz]]),"OK","VERIFICAR")</f>
        <v>OK</v>
      </c>
      <c r="Z10" s="108">
        <f>IFERROR(SQRT((ESQ_PROJ2[[#This Row],[X]]-$AC$4)^2+(ESQ_PROJ2[[#This Row],[Y]]-$AC$5)^2),0)</f>
        <v>0</v>
      </c>
    </row>
    <row r="11" spans="1:29" x14ac:dyDescent="0.3">
      <c r="A11" s="169"/>
      <c r="B11" s="54">
        <f>IFERROR(IF(ESQ_PROJ2[[#This Row],[PONTO]]="RAMAL",A10,VLOOKUP(ESQ_PROJ2[[#This Row],[PONTO]],GERAL_PROJ2[],2,0)),0)</f>
        <v>0</v>
      </c>
      <c r="C11" s="54">
        <f>IFERROR(IF(ESQ_PROJ2[[#This Row],[PONTO]]="RAMAL",15,VLOOKUP(ESQ_PROJ2[[#This Row],[PONTO]],GERAL_PROJ2[],3,0)),0)</f>
        <v>0</v>
      </c>
      <c r="D11" s="55">
        <f>IFERROR(IF(ESQ_PROJ2[[#This Row],[PONTO]]="RAMAL","",VLOOKUP(ESQ_PROJ2[[#This Row],[PONTO]],GERAL_PROJ2[],4,0)),0)</f>
        <v>0</v>
      </c>
      <c r="E11" s="55">
        <f>IFERROR(IF(ESQ_PROJ2[[#This Row],[PONTO]]="RAMAL","",VLOOKUP(ESQ_PROJ2[[#This Row],[PONTO]],GERAL_PROJ2[],5,0)),0)</f>
        <v>0</v>
      </c>
      <c r="F11" s="55">
        <f>IFERROR(IF(ESQ_PROJ2[[#This Row],[PONTO]]="RAMAL",DMDI,VLOOKUP(ESQ_PROJ2[[#This Row],[PONTO]],GERAL_PROJ2[],8,0)),0)</f>
        <v>0</v>
      </c>
      <c r="G11" s="55">
        <f>IFERROR(IF(ESQ_PROJ2[[#This Row],[PONTO]]="RAMAL",ESQ_PROJ2[[#This Row],[KVA PONTO]],VLOOKUP(ESQ_PROJ2[[#This Row],[PONTO]],GERAL_PROJ2[],9,0)),0)</f>
        <v>0</v>
      </c>
      <c r="H11" s="55">
        <f>IFERROR(VLOOKUP(ESQ_PROJ2[[#This Row],[PONTO]],GERAL_PROJ2[],12,0),0)</f>
        <v>0</v>
      </c>
      <c r="I11" s="61">
        <f>ESQ_PROJ2[[#This Row],[Ib]]</f>
        <v>0</v>
      </c>
      <c r="J11" s="61" t="e">
        <v>#DIV/0!</v>
      </c>
      <c r="K11" s="69">
        <f>IFERROR((VLOOKUP(ESQ_PROJ2[[#This Row],[CONDUTOR]],CABOS[],3,0)/VLOOKUP(ESQ_PROJ2[[#This Row],[CONDUTOR]],CABOS[],6,0))*(1+VLOOKUP(ESQ_PROJ2[[#This Row],[CONDUTOR]],CABOS[],5,0)*(ESQ_PROJ2[[#This Row],[T]]-20)),0)</f>
        <v>0</v>
      </c>
      <c r="L11" s="62">
        <f>IFERROR(IF(ESQ_PROJ2[[#This Row],[FASE]]="MONO",6,IF(ESQ_PROJ2[[#This Row],[FASE]]="BIF",2,1))*ESQ_PROJ2[[#This Row],[ACUMULADA]]*(SQRT(ESQ_PROJ2[[#This Row],[R CORR]]^2+VLOOKUP(ESQ_PROJ2[[#This Row],[CONDUTOR]],CABOS[],4,0)^2)/(($P$7^2)/100))*ESQ_PROJ2[[#This Row],[M]]*127/100+IF(ESQ_PROJ2[[#This Row],[TRECHO]]=0,127*QT_MTTR3,0),0)</f>
        <v>0</v>
      </c>
      <c r="M11" s="143" t="str">
        <f ca="1">IFERROR(SUMIF(ESQ_PROJ2[PONTO],ESQ_PROJ2[[#This Row],[TRECHO]],ESQ_PROJ2[Coluna1])+ESQ_PROJ2[[#This Row],[QT-PONTO]],0)</f>
        <v/>
      </c>
      <c r="N11" s="56" t="str">
        <f ca="1">ESQ_PROJ2[[#This Row],[Coluna1]]/127</f>
        <v/>
      </c>
      <c r="O11" s="55" t="str">
        <f ca="1">127-(127*ESQ_PROJ2[[#This Row],[QT %]])</f>
        <v/>
      </c>
      <c r="P11" s="61" t="str">
        <f ca="1">220-(220*ESQ_PROJ2[[#This Row],[QT %]])</f>
        <v/>
      </c>
      <c r="Q11" s="68" t="str">
        <f>IF(ESQ_PROJ2[[#This Row],[PROTECAO]]="OK","Protecao OK","Ajustar Disj/Condutor")</f>
        <v>Protecao OK</v>
      </c>
      <c r="R11" s="74" t="str">
        <f t="shared" si="0"/>
        <v>TRI</v>
      </c>
      <c r="S11" s="74">
        <v>3</v>
      </c>
      <c r="T11" s="74" t="str">
        <f t="shared" si="1"/>
        <v>AEREO</v>
      </c>
      <c r="U11" s="74">
        <f>30</f>
        <v>30</v>
      </c>
      <c r="V11" s="74">
        <f>IF(ESQ_PROJ2[[#This Row],[FASE]]="MONO",ESQ_PROJ2[[#This Row],[ACUMULADA]]*1000/(220*ESQ_PROJ2[[#This Row],[ETA]]),ESQ_PROJ2[[#This Row],[ACUMULADA]]*1000/(SQRT(3)*$P$7*ESQ_PROJ2[[#This Row],[ETA]]))</f>
        <v>0</v>
      </c>
      <c r="W11" s="74">
        <f>IFERROR(VLOOKUP(ESQ_PROJ2[[#This Row],[Ib]],TabelaDisjuntores[],2,TRUE),0)</f>
        <v>0</v>
      </c>
      <c r="X11" s="74">
        <f>IFERROR(VLOOKUP(ESQ_PROJ2[[#This Row],[CONDUTOR]],CABOS[],2,0),0)</f>
        <v>0</v>
      </c>
      <c r="Y11" s="74" t="str">
        <f>IF(AND(ESQ_PROJ2[[#This Row],[Ib]]&lt;=ESQ_PROJ2[[#This Row],[In]],ESQ_PROJ2[[#This Row],[In]]&lt;=ESQ_PROJ2[[#This Row],[Iz]]),"OK","VERIFICAR")</f>
        <v>OK</v>
      </c>
      <c r="Z11" s="108">
        <f>IFERROR(SQRT((ESQ_PROJ2[[#This Row],[X]]-$AC$4)^2+(ESQ_PROJ2[[#This Row],[Y]]-$AC$5)^2),0)</f>
        <v>0</v>
      </c>
    </row>
    <row r="12" spans="1:29" x14ac:dyDescent="0.3">
      <c r="A12" s="169"/>
      <c r="B12" s="54">
        <f>IFERROR(IF(ESQ_PROJ2[[#This Row],[PONTO]]="RAMAL",A11,VLOOKUP(ESQ_PROJ2[[#This Row],[PONTO]],GERAL_PROJ2[],2,0)),0)</f>
        <v>0</v>
      </c>
      <c r="C12" s="54">
        <f>IFERROR(IF(ESQ_PROJ2[[#This Row],[PONTO]]="RAMAL",15,VLOOKUP(ESQ_PROJ2[[#This Row],[PONTO]],GERAL_PROJ2[],3,0)),0)</f>
        <v>0</v>
      </c>
      <c r="D12" s="55">
        <f>IFERROR(IF(ESQ_PROJ2[[#This Row],[PONTO]]="RAMAL","",VLOOKUP(ESQ_PROJ2[[#This Row],[PONTO]],GERAL_PROJ2[],4,0)),0)</f>
        <v>0</v>
      </c>
      <c r="E12" s="55">
        <f>IFERROR(IF(ESQ_PROJ2[[#This Row],[PONTO]]="RAMAL","",VLOOKUP(ESQ_PROJ2[[#This Row],[PONTO]],GERAL_PROJ2[],5,0)),0)</f>
        <v>0</v>
      </c>
      <c r="F12" s="55">
        <f>IFERROR(IF(ESQ_PROJ2[[#This Row],[PONTO]]="RAMAL",DMDI,VLOOKUP(ESQ_PROJ2[[#This Row],[PONTO]],GERAL_PROJ2[],8,0)),0)</f>
        <v>0</v>
      </c>
      <c r="G12" s="55">
        <f>IFERROR(IF(ESQ_PROJ2[[#This Row],[PONTO]]="RAMAL",ESQ_PROJ2[[#This Row],[KVA PONTO]],VLOOKUP(ESQ_PROJ2[[#This Row],[PONTO]],GERAL_PROJ2[],9,0)),0)</f>
        <v>0</v>
      </c>
      <c r="H12" s="55">
        <f>IFERROR(VLOOKUP(ESQ_PROJ2[[#This Row],[PONTO]],GERAL_PROJ2[],12,0),0)</f>
        <v>0</v>
      </c>
      <c r="I12" s="61">
        <f>ESQ_PROJ2[[#This Row],[Ib]]</f>
        <v>0</v>
      </c>
      <c r="J12" s="61" t="e">
        <v>#DIV/0!</v>
      </c>
      <c r="K12" s="69">
        <f>IFERROR((VLOOKUP(ESQ_PROJ2[[#This Row],[CONDUTOR]],CABOS[],3,0)/VLOOKUP(ESQ_PROJ2[[#This Row],[CONDUTOR]],CABOS[],6,0))*(1+VLOOKUP(ESQ_PROJ2[[#This Row],[CONDUTOR]],CABOS[],5,0)*(ESQ_PROJ2[[#This Row],[T]]-20)),0)</f>
        <v>0</v>
      </c>
      <c r="L12" s="62">
        <f>IFERROR(IF(ESQ_PROJ2[[#This Row],[FASE]]="MONO",6,IF(ESQ_PROJ2[[#This Row],[FASE]]="BIF",2,1))*ESQ_PROJ2[[#This Row],[ACUMULADA]]*(SQRT(ESQ_PROJ2[[#This Row],[R CORR]]^2+VLOOKUP(ESQ_PROJ2[[#This Row],[CONDUTOR]],CABOS[],4,0)^2)/(($P$7^2)/100))*ESQ_PROJ2[[#This Row],[M]]*127/100+IF(ESQ_PROJ2[[#This Row],[TRECHO]]=0,127*QT_MTTR3,0),0)</f>
        <v>0</v>
      </c>
      <c r="M12" s="143" t="str">
        <f ca="1">IFERROR(SUMIF(ESQ_PROJ2[PONTO],ESQ_PROJ2[[#This Row],[TRECHO]],ESQ_PROJ2[Coluna1])+ESQ_PROJ2[[#This Row],[QT-PONTO]],0)</f>
        <v/>
      </c>
      <c r="N12" s="56" t="str">
        <f ca="1">ESQ_PROJ2[[#This Row],[Coluna1]]/127</f>
        <v/>
      </c>
      <c r="O12" s="55" t="str">
        <f ca="1">127-(127*ESQ_PROJ2[[#This Row],[QT %]])</f>
        <v/>
      </c>
      <c r="P12" s="61" t="str">
        <f ca="1">220-(220*ESQ_PROJ2[[#This Row],[QT %]])</f>
        <v/>
      </c>
      <c r="Q12" s="68" t="str">
        <f>IF(ESQ_PROJ2[[#This Row],[PROTECAO]]="OK","Protecao OK","Ajustar Disj/Condutor")</f>
        <v>Protecao OK</v>
      </c>
      <c r="R12" s="74" t="str">
        <f t="shared" si="0"/>
        <v>TRI</v>
      </c>
      <c r="S12" s="74">
        <v>3</v>
      </c>
      <c r="T12" s="74" t="str">
        <f t="shared" si="1"/>
        <v>AEREO</v>
      </c>
      <c r="U12" s="74">
        <f>30</f>
        <v>30</v>
      </c>
      <c r="V12" s="74">
        <f>IF(ESQ_PROJ2[[#This Row],[FASE]]="MONO",ESQ_PROJ2[[#This Row],[ACUMULADA]]*1000/(220*ESQ_PROJ2[[#This Row],[ETA]]),ESQ_PROJ2[[#This Row],[ACUMULADA]]*1000/(SQRT(3)*$P$7*ESQ_PROJ2[[#This Row],[ETA]]))</f>
        <v>0</v>
      </c>
      <c r="W12" s="74">
        <f>IFERROR(VLOOKUP(ESQ_PROJ2[[#This Row],[Ib]],TabelaDisjuntores[],2,TRUE),0)</f>
        <v>0</v>
      </c>
      <c r="X12" s="74">
        <f>IFERROR(VLOOKUP(ESQ_PROJ2[[#This Row],[CONDUTOR]],CABOS[],2,0),0)</f>
        <v>0</v>
      </c>
      <c r="Y12" s="74" t="str">
        <f>IF(AND(ESQ_PROJ2[[#This Row],[Ib]]&lt;=ESQ_PROJ2[[#This Row],[In]],ESQ_PROJ2[[#This Row],[In]]&lt;=ESQ_PROJ2[[#This Row],[Iz]]),"OK","VERIFICAR")</f>
        <v>OK</v>
      </c>
      <c r="Z12" s="108">
        <f>IFERROR(SQRT((ESQ_PROJ2[[#This Row],[X]]-$AC$4)^2+(ESQ_PROJ2[[#This Row],[Y]]-$AC$5)^2),0)</f>
        <v>0</v>
      </c>
    </row>
    <row r="13" spans="1:29" x14ac:dyDescent="0.3">
      <c r="A13" s="169"/>
      <c r="B13" s="54">
        <f>IFERROR(IF(ESQ_PROJ2[[#This Row],[PONTO]]="RAMAL",A12,VLOOKUP(ESQ_PROJ2[[#This Row],[PONTO]],GERAL_PROJ2[],2,0)),0)</f>
        <v>0</v>
      </c>
      <c r="C13" s="54">
        <f>IFERROR(IF(ESQ_PROJ2[[#This Row],[PONTO]]="RAMAL",15,VLOOKUP(ESQ_PROJ2[[#This Row],[PONTO]],GERAL_PROJ2[],3,0)),0)</f>
        <v>0</v>
      </c>
      <c r="D13" s="55">
        <f>IFERROR(IF(ESQ_PROJ2[[#This Row],[PONTO]]="RAMAL","",VLOOKUP(ESQ_PROJ2[[#This Row],[PONTO]],GERAL_PROJ2[],4,0)),0)</f>
        <v>0</v>
      </c>
      <c r="E13" s="55">
        <f>IFERROR(IF(ESQ_PROJ2[[#This Row],[PONTO]]="RAMAL","",VLOOKUP(ESQ_PROJ2[[#This Row],[PONTO]],GERAL_PROJ2[],5,0)),0)</f>
        <v>0</v>
      </c>
      <c r="F13" s="55">
        <f>IFERROR(IF(ESQ_PROJ2[[#This Row],[PONTO]]="RAMAL",DMDI,VLOOKUP(ESQ_PROJ2[[#This Row],[PONTO]],GERAL_PROJ2[],8,0)),0)</f>
        <v>0</v>
      </c>
      <c r="G13" s="55">
        <f>IFERROR(IF(ESQ_PROJ2[[#This Row],[PONTO]]="RAMAL",ESQ_PROJ2[[#This Row],[KVA PONTO]],VLOOKUP(ESQ_PROJ2[[#This Row],[PONTO]],GERAL_PROJ2[],9,0)),0)</f>
        <v>0</v>
      </c>
      <c r="H13" s="55">
        <f>IFERROR(VLOOKUP(ESQ_PROJ2[[#This Row],[PONTO]],GERAL_PROJ2[],12,0),0)</f>
        <v>0</v>
      </c>
      <c r="I13" s="61">
        <f>ESQ_PROJ2[[#This Row],[Ib]]</f>
        <v>0</v>
      </c>
      <c r="J13" s="61" t="e">
        <v>#DIV/0!</v>
      </c>
      <c r="K13" s="69">
        <f>IFERROR((VLOOKUP(ESQ_PROJ2[[#This Row],[CONDUTOR]],CABOS[],3,0)/VLOOKUP(ESQ_PROJ2[[#This Row],[CONDUTOR]],CABOS[],6,0))*(1+VLOOKUP(ESQ_PROJ2[[#This Row],[CONDUTOR]],CABOS[],5,0)*(ESQ_PROJ2[[#This Row],[T]]-20)),0)</f>
        <v>0</v>
      </c>
      <c r="L13" s="62">
        <f>IFERROR(IF(ESQ_PROJ2[[#This Row],[FASE]]="MONO",6,IF(ESQ_PROJ2[[#This Row],[FASE]]="BIF",2,1))*ESQ_PROJ2[[#This Row],[ACUMULADA]]*(SQRT(ESQ_PROJ2[[#This Row],[R CORR]]^2+VLOOKUP(ESQ_PROJ2[[#This Row],[CONDUTOR]],CABOS[],4,0)^2)/(($P$7^2)/100))*ESQ_PROJ2[[#This Row],[M]]*127/100+IF(ESQ_PROJ2[[#This Row],[TRECHO]]=0,127*QT_MTTR3,0),0)</f>
        <v>0</v>
      </c>
      <c r="M13" s="143" t="str">
        <f ca="1">IFERROR(SUMIF(ESQ_PROJ2[PONTO],ESQ_PROJ2[[#This Row],[TRECHO]],ESQ_PROJ2[Coluna1])+ESQ_PROJ2[[#This Row],[QT-PONTO]],0)</f>
        <v/>
      </c>
      <c r="N13" s="56" t="str">
        <f ca="1">ESQ_PROJ2[[#This Row],[Coluna1]]/127</f>
        <v/>
      </c>
      <c r="O13" s="55" t="str">
        <f ca="1">127-(127*ESQ_PROJ2[[#This Row],[QT %]])</f>
        <v/>
      </c>
      <c r="P13" s="61" t="str">
        <f ca="1">220-(220*ESQ_PROJ2[[#This Row],[QT %]])</f>
        <v/>
      </c>
      <c r="Q13" s="68" t="str">
        <f>IF(ESQ_PROJ2[[#This Row],[PROTECAO]]="OK","Protecao OK","Ajustar Disj/Condutor")</f>
        <v>Protecao OK</v>
      </c>
      <c r="R13" s="74" t="str">
        <f t="shared" si="0"/>
        <v>TRI</v>
      </c>
      <c r="S13" s="74">
        <v>3</v>
      </c>
      <c r="T13" s="74" t="str">
        <f t="shared" si="1"/>
        <v>AEREO</v>
      </c>
      <c r="U13" s="74">
        <f>30</f>
        <v>30</v>
      </c>
      <c r="V13" s="74">
        <f>IF(ESQ_PROJ2[[#This Row],[FASE]]="MONO",ESQ_PROJ2[[#This Row],[ACUMULADA]]*1000/(220*ESQ_PROJ2[[#This Row],[ETA]]),ESQ_PROJ2[[#This Row],[ACUMULADA]]*1000/(SQRT(3)*$P$7*ESQ_PROJ2[[#This Row],[ETA]]))</f>
        <v>0</v>
      </c>
      <c r="W13" s="74">
        <f>IFERROR(VLOOKUP(ESQ_PROJ2[[#This Row],[Ib]],TabelaDisjuntores[],2,TRUE),0)</f>
        <v>0</v>
      </c>
      <c r="X13" s="74">
        <f>IFERROR(VLOOKUP(ESQ_PROJ2[[#This Row],[CONDUTOR]],CABOS[],2,0),0)</f>
        <v>0</v>
      </c>
      <c r="Y13" s="74" t="str">
        <f>IF(AND(ESQ_PROJ2[[#This Row],[Ib]]&lt;=ESQ_PROJ2[[#This Row],[In]],ESQ_PROJ2[[#This Row],[In]]&lt;=ESQ_PROJ2[[#This Row],[Iz]]),"OK","VERIFICAR")</f>
        <v>OK</v>
      </c>
      <c r="Z13" s="108">
        <f>IFERROR(SQRT((ESQ_PROJ2[[#This Row],[X]]-$AC$4)^2+(ESQ_PROJ2[[#This Row],[Y]]-$AC$5)^2),0)</f>
        <v>0</v>
      </c>
    </row>
    <row r="14" spans="1:29" x14ac:dyDescent="0.3">
      <c r="A14" s="169"/>
      <c r="B14" s="54">
        <f>IFERROR(IF(ESQ_PROJ2[[#This Row],[PONTO]]="RAMAL",A13,VLOOKUP(ESQ_PROJ2[[#This Row],[PONTO]],GERAL_PROJ2[],2,0)),0)</f>
        <v>0</v>
      </c>
      <c r="C14" s="54">
        <f>IFERROR(IF(ESQ_PROJ2[[#This Row],[PONTO]]="RAMAL",15,VLOOKUP(ESQ_PROJ2[[#This Row],[PONTO]],GERAL_PROJ2[],3,0)),0)</f>
        <v>0</v>
      </c>
      <c r="D14" s="55">
        <f>IFERROR(IF(ESQ_PROJ2[[#This Row],[PONTO]]="RAMAL","",VLOOKUP(ESQ_PROJ2[[#This Row],[PONTO]],GERAL_PROJ2[],4,0)),0)</f>
        <v>0</v>
      </c>
      <c r="E14" s="55">
        <f>IFERROR(IF(ESQ_PROJ2[[#This Row],[PONTO]]="RAMAL","",VLOOKUP(ESQ_PROJ2[[#This Row],[PONTO]],GERAL_PROJ2[],5,0)),0)</f>
        <v>0</v>
      </c>
      <c r="F14" s="55">
        <f>IFERROR(IF(ESQ_PROJ2[[#This Row],[PONTO]]="RAMAL",DMDI,VLOOKUP(ESQ_PROJ2[[#This Row],[PONTO]],GERAL_PROJ2[],8,0)),0)</f>
        <v>0</v>
      </c>
      <c r="G14" s="55">
        <f>IFERROR(IF(ESQ_PROJ2[[#This Row],[PONTO]]="RAMAL",ESQ_PROJ2[[#This Row],[KVA PONTO]],VLOOKUP(ESQ_PROJ2[[#This Row],[PONTO]],GERAL_PROJ2[],9,0)),0)</f>
        <v>0</v>
      </c>
      <c r="H14" s="55">
        <f>IFERROR(VLOOKUP(ESQ_PROJ2[[#This Row],[PONTO]],GERAL_PROJ2[],12,0),0)</f>
        <v>0</v>
      </c>
      <c r="I14" s="61">
        <f>ESQ_PROJ2[[#This Row],[Ib]]</f>
        <v>0</v>
      </c>
      <c r="J14" s="61" t="e">
        <v>#DIV/0!</v>
      </c>
      <c r="K14" s="69">
        <f>IFERROR((VLOOKUP(ESQ_PROJ2[[#This Row],[CONDUTOR]],CABOS[],3,0)/VLOOKUP(ESQ_PROJ2[[#This Row],[CONDUTOR]],CABOS[],6,0))*(1+VLOOKUP(ESQ_PROJ2[[#This Row],[CONDUTOR]],CABOS[],5,0)*(ESQ_PROJ2[[#This Row],[T]]-20)),0)</f>
        <v>0</v>
      </c>
      <c r="L14" s="62">
        <f>IFERROR(IF(ESQ_PROJ2[[#This Row],[FASE]]="MONO",6,IF(ESQ_PROJ2[[#This Row],[FASE]]="BIF",2,1))*ESQ_PROJ2[[#This Row],[ACUMULADA]]*(SQRT(ESQ_PROJ2[[#This Row],[R CORR]]^2+VLOOKUP(ESQ_PROJ2[[#This Row],[CONDUTOR]],CABOS[],4,0)^2)/(($P$7^2)/100))*ESQ_PROJ2[[#This Row],[M]]*127/100+IF(ESQ_PROJ2[[#This Row],[TRECHO]]=0,127*QT_MTTR3,0),0)</f>
        <v>0</v>
      </c>
      <c r="M14" s="143" t="str">
        <f ca="1">IFERROR(SUMIF(ESQ_PROJ2[PONTO],ESQ_PROJ2[[#This Row],[TRECHO]],ESQ_PROJ2[Coluna1])+ESQ_PROJ2[[#This Row],[QT-PONTO]],0)</f>
        <v/>
      </c>
      <c r="N14" s="56" t="str">
        <f ca="1">ESQ_PROJ2[[#This Row],[Coluna1]]/127</f>
        <v/>
      </c>
      <c r="O14" s="55" t="str">
        <f ca="1">127-(127*ESQ_PROJ2[[#This Row],[QT %]])</f>
        <v/>
      </c>
      <c r="P14" s="61" t="str">
        <f ca="1">220-(220*ESQ_PROJ2[[#This Row],[QT %]])</f>
        <v/>
      </c>
      <c r="Q14" s="68" t="str">
        <f>IF(ESQ_PROJ2[[#This Row],[PROTECAO]]="OK","Protecao OK","Ajustar Disj/Condutor")</f>
        <v>Protecao OK</v>
      </c>
      <c r="R14" s="74" t="str">
        <f t="shared" si="0"/>
        <v>TRI</v>
      </c>
      <c r="S14" s="74">
        <v>3</v>
      </c>
      <c r="T14" s="74" t="str">
        <f t="shared" si="1"/>
        <v>AEREO</v>
      </c>
      <c r="U14" s="74">
        <f>30</f>
        <v>30</v>
      </c>
      <c r="V14" s="74">
        <f>IF(ESQ_PROJ2[[#This Row],[FASE]]="MONO",ESQ_PROJ2[[#This Row],[ACUMULADA]]*1000/(220*ESQ_PROJ2[[#This Row],[ETA]]),ESQ_PROJ2[[#This Row],[ACUMULADA]]*1000/(SQRT(3)*$P$7*ESQ_PROJ2[[#This Row],[ETA]]))</f>
        <v>0</v>
      </c>
      <c r="W14" s="74">
        <f>IFERROR(VLOOKUP(ESQ_PROJ2[[#This Row],[Ib]],TabelaDisjuntores[],2,TRUE),0)</f>
        <v>0</v>
      </c>
      <c r="X14" s="74">
        <f>IFERROR(VLOOKUP(ESQ_PROJ2[[#This Row],[CONDUTOR]],CABOS[],2,0),0)</f>
        <v>0</v>
      </c>
      <c r="Y14" s="74" t="str">
        <f>IF(AND(ESQ_PROJ2[[#This Row],[Ib]]&lt;=ESQ_PROJ2[[#This Row],[In]],ESQ_PROJ2[[#This Row],[In]]&lt;=ESQ_PROJ2[[#This Row],[Iz]]),"OK","VERIFICAR")</f>
        <v>OK</v>
      </c>
      <c r="Z14" s="108">
        <f>IFERROR(SQRT((ESQ_PROJ2[[#This Row],[X]]-$AC$4)^2+(ESQ_PROJ2[[#This Row],[Y]]-$AC$5)^2),0)</f>
        <v>0</v>
      </c>
    </row>
    <row r="15" spans="1:29" x14ac:dyDescent="0.3">
      <c r="A15" s="169"/>
      <c r="B15" s="54">
        <f>IFERROR(IF(ESQ_PROJ2[[#This Row],[PONTO]]="RAMAL",A14,VLOOKUP(ESQ_PROJ2[[#This Row],[PONTO]],GERAL_PROJ2[],2,0)),0)</f>
        <v>0</v>
      </c>
      <c r="C15" s="54">
        <f>IFERROR(IF(ESQ_PROJ2[[#This Row],[PONTO]]="RAMAL",15,VLOOKUP(ESQ_PROJ2[[#This Row],[PONTO]],GERAL_PROJ2[],3,0)),0)</f>
        <v>0</v>
      </c>
      <c r="D15" s="55">
        <f>IFERROR(IF(ESQ_PROJ2[[#This Row],[PONTO]]="RAMAL","",VLOOKUP(ESQ_PROJ2[[#This Row],[PONTO]],GERAL_PROJ2[],4,0)),0)</f>
        <v>0</v>
      </c>
      <c r="E15" s="55">
        <f>IFERROR(IF(ESQ_PROJ2[[#This Row],[PONTO]]="RAMAL","",VLOOKUP(ESQ_PROJ2[[#This Row],[PONTO]],GERAL_PROJ2[],5,0)),0)</f>
        <v>0</v>
      </c>
      <c r="F15" s="55">
        <f>IFERROR(IF(ESQ_PROJ2[[#This Row],[PONTO]]="RAMAL",DMDI,VLOOKUP(ESQ_PROJ2[[#This Row],[PONTO]],GERAL_PROJ2[],8,0)),0)</f>
        <v>0</v>
      </c>
      <c r="G15" s="55">
        <f>IFERROR(IF(ESQ_PROJ2[[#This Row],[PONTO]]="RAMAL",ESQ_PROJ2[[#This Row],[KVA PONTO]],VLOOKUP(ESQ_PROJ2[[#This Row],[PONTO]],GERAL_PROJ2[],9,0)),0)</f>
        <v>0</v>
      </c>
      <c r="H15" s="55">
        <f>IFERROR(VLOOKUP(ESQ_PROJ2[[#This Row],[PONTO]],GERAL_PROJ2[],12,0),0)</f>
        <v>0</v>
      </c>
      <c r="I15" s="61">
        <f>ESQ_PROJ2[[#This Row],[Ib]]</f>
        <v>0</v>
      </c>
      <c r="J15" s="61" t="e">
        <v>#DIV/0!</v>
      </c>
      <c r="K15" s="69">
        <f>IFERROR((VLOOKUP(ESQ_PROJ2[[#This Row],[CONDUTOR]],CABOS[],3,0)/VLOOKUP(ESQ_PROJ2[[#This Row],[CONDUTOR]],CABOS[],6,0))*(1+VLOOKUP(ESQ_PROJ2[[#This Row],[CONDUTOR]],CABOS[],5,0)*(ESQ_PROJ2[[#This Row],[T]]-20)),0)</f>
        <v>0</v>
      </c>
      <c r="L15" s="62">
        <f>IFERROR(IF(ESQ_PROJ2[[#This Row],[FASE]]="MONO",6,IF(ESQ_PROJ2[[#This Row],[FASE]]="BIF",2,1))*ESQ_PROJ2[[#This Row],[ACUMULADA]]*(SQRT(ESQ_PROJ2[[#This Row],[R CORR]]^2+VLOOKUP(ESQ_PROJ2[[#This Row],[CONDUTOR]],CABOS[],4,0)^2)/(($P$7^2)/100))*ESQ_PROJ2[[#This Row],[M]]*127/100+IF(ESQ_PROJ2[[#This Row],[TRECHO]]=0,127*QT_MTTR3,0),0)</f>
        <v>0</v>
      </c>
      <c r="M15" s="143" t="str">
        <f ca="1">IFERROR(SUMIF(ESQ_PROJ2[PONTO],ESQ_PROJ2[[#This Row],[TRECHO]],ESQ_PROJ2[Coluna1])+ESQ_PROJ2[[#This Row],[QT-PONTO]],0)</f>
        <v/>
      </c>
      <c r="N15" s="56" t="str">
        <f ca="1">ESQ_PROJ2[[#This Row],[Coluna1]]/127</f>
        <v/>
      </c>
      <c r="O15" s="55" t="str">
        <f ca="1">127-(127*ESQ_PROJ2[[#This Row],[QT %]])</f>
        <v/>
      </c>
      <c r="P15" s="61" t="str">
        <f ca="1">220-(220*ESQ_PROJ2[[#This Row],[QT %]])</f>
        <v/>
      </c>
      <c r="Q15" s="68" t="str">
        <f>IF(ESQ_PROJ2[[#This Row],[PROTECAO]]="OK","Protecao OK","Ajustar Disj/Condutor")</f>
        <v>Protecao OK</v>
      </c>
      <c r="R15" s="74" t="str">
        <f t="shared" si="0"/>
        <v>TRI</v>
      </c>
      <c r="S15" s="74">
        <v>3</v>
      </c>
      <c r="T15" s="74" t="str">
        <f t="shared" si="1"/>
        <v>AEREO</v>
      </c>
      <c r="U15" s="74">
        <f>30</f>
        <v>30</v>
      </c>
      <c r="V15" s="74">
        <f>IF(ESQ_PROJ2[[#This Row],[FASE]]="MONO",ESQ_PROJ2[[#This Row],[ACUMULADA]]*1000/(220*ESQ_PROJ2[[#This Row],[ETA]]),ESQ_PROJ2[[#This Row],[ACUMULADA]]*1000/(SQRT(3)*$P$7*ESQ_PROJ2[[#This Row],[ETA]]))</f>
        <v>0</v>
      </c>
      <c r="W15" s="74">
        <f>IFERROR(VLOOKUP(ESQ_PROJ2[[#This Row],[Ib]],TabelaDisjuntores[],2,TRUE),0)</f>
        <v>0</v>
      </c>
      <c r="X15" s="74">
        <f>IFERROR(VLOOKUP(ESQ_PROJ2[[#This Row],[CONDUTOR]],CABOS[],2,0),0)</f>
        <v>0</v>
      </c>
      <c r="Y15" s="74" t="str">
        <f>IF(AND(ESQ_PROJ2[[#This Row],[Ib]]&lt;=ESQ_PROJ2[[#This Row],[In]],ESQ_PROJ2[[#This Row],[In]]&lt;=ESQ_PROJ2[[#This Row],[Iz]]),"OK","VERIFICAR")</f>
        <v>OK</v>
      </c>
      <c r="Z15" s="108">
        <f>IFERROR(SQRT((ESQ_PROJ2[[#This Row],[X]]-$AC$4)^2+(ESQ_PROJ2[[#This Row],[Y]]-$AC$5)^2),0)</f>
        <v>0</v>
      </c>
    </row>
    <row r="16" spans="1:29" x14ac:dyDescent="0.3">
      <c r="A16" s="169"/>
      <c r="B16" s="54">
        <f>IFERROR(IF(ESQ_PROJ2[[#This Row],[PONTO]]="RAMAL",A15,VLOOKUP(ESQ_PROJ2[[#This Row],[PONTO]],GERAL_PROJ2[],2,0)),0)</f>
        <v>0</v>
      </c>
      <c r="C16" s="54">
        <f>IFERROR(IF(ESQ_PROJ2[[#This Row],[PONTO]]="RAMAL",15,VLOOKUP(ESQ_PROJ2[[#This Row],[PONTO]],GERAL_PROJ2[],3,0)),0)</f>
        <v>0</v>
      </c>
      <c r="D16" s="55">
        <f>IFERROR(IF(ESQ_PROJ2[[#This Row],[PONTO]]="RAMAL","",VLOOKUP(ESQ_PROJ2[[#This Row],[PONTO]],GERAL_PROJ2[],4,0)),0)</f>
        <v>0</v>
      </c>
      <c r="E16" s="55">
        <f>IFERROR(IF(ESQ_PROJ2[[#This Row],[PONTO]]="RAMAL","",VLOOKUP(ESQ_PROJ2[[#This Row],[PONTO]],GERAL_PROJ2[],5,0)),0)</f>
        <v>0</v>
      </c>
      <c r="F16" s="55">
        <f>IFERROR(IF(ESQ_PROJ2[[#This Row],[PONTO]]="RAMAL",DMDI,VLOOKUP(ESQ_PROJ2[[#This Row],[PONTO]],GERAL_PROJ2[],8,0)),0)</f>
        <v>0</v>
      </c>
      <c r="G16" s="55">
        <f>IFERROR(IF(ESQ_PROJ2[[#This Row],[PONTO]]="RAMAL",ESQ_PROJ2[[#This Row],[KVA PONTO]],VLOOKUP(ESQ_PROJ2[[#This Row],[PONTO]],GERAL_PROJ2[],9,0)),0)</f>
        <v>0</v>
      </c>
      <c r="H16" s="55">
        <f>IFERROR(VLOOKUP(ESQ_PROJ2[[#This Row],[PONTO]],GERAL_PROJ2[],12,0),0)</f>
        <v>0</v>
      </c>
      <c r="I16" s="61">
        <f>ESQ_PROJ2[[#This Row],[Ib]]</f>
        <v>0</v>
      </c>
      <c r="J16" s="61" t="e">
        <v>#DIV/0!</v>
      </c>
      <c r="K16" s="69">
        <f>IFERROR((VLOOKUP(ESQ_PROJ2[[#This Row],[CONDUTOR]],CABOS[],3,0)/VLOOKUP(ESQ_PROJ2[[#This Row],[CONDUTOR]],CABOS[],6,0))*(1+VLOOKUP(ESQ_PROJ2[[#This Row],[CONDUTOR]],CABOS[],5,0)*(ESQ_PROJ2[[#This Row],[T]]-20)),0)</f>
        <v>0</v>
      </c>
      <c r="L16" s="62">
        <f>IFERROR(IF(ESQ_PROJ2[[#This Row],[FASE]]="MONO",6,IF(ESQ_PROJ2[[#This Row],[FASE]]="BIF",2,1))*ESQ_PROJ2[[#This Row],[ACUMULADA]]*(SQRT(ESQ_PROJ2[[#This Row],[R CORR]]^2+VLOOKUP(ESQ_PROJ2[[#This Row],[CONDUTOR]],CABOS[],4,0)^2)/(($P$7^2)/100))*ESQ_PROJ2[[#This Row],[M]]*127/100+IF(ESQ_PROJ2[[#This Row],[TRECHO]]=0,127*QT_MTTR3,0),0)</f>
        <v>0</v>
      </c>
      <c r="M16" s="143" t="str">
        <f ca="1">IFERROR(SUMIF(ESQ_PROJ2[PONTO],ESQ_PROJ2[[#This Row],[TRECHO]],ESQ_PROJ2[Coluna1])+ESQ_PROJ2[[#This Row],[QT-PONTO]],0)</f>
        <v/>
      </c>
      <c r="N16" s="56" t="str">
        <f ca="1">ESQ_PROJ2[[#This Row],[Coluna1]]/127</f>
        <v/>
      </c>
      <c r="O16" s="55" t="str">
        <f ca="1">127-(127*ESQ_PROJ2[[#This Row],[QT %]])</f>
        <v/>
      </c>
      <c r="P16" s="61" t="str">
        <f ca="1">220-(220*ESQ_PROJ2[[#This Row],[QT %]])</f>
        <v/>
      </c>
      <c r="Q16" s="68" t="str">
        <f>IF(ESQ_PROJ2[[#This Row],[PROTECAO]]="OK","Protecao OK","Ajustar Disj/Condutor")</f>
        <v>Protecao OK</v>
      </c>
      <c r="R16" s="74" t="str">
        <f t="shared" si="0"/>
        <v>TRI</v>
      </c>
      <c r="S16" s="74">
        <v>3</v>
      </c>
      <c r="T16" s="74" t="str">
        <f t="shared" si="1"/>
        <v>AEREO</v>
      </c>
      <c r="U16" s="74">
        <f>30</f>
        <v>30</v>
      </c>
      <c r="V16" s="74">
        <f>IF(ESQ_PROJ2[[#This Row],[FASE]]="MONO",ESQ_PROJ2[[#This Row],[ACUMULADA]]*1000/(220*ESQ_PROJ2[[#This Row],[ETA]]),ESQ_PROJ2[[#This Row],[ACUMULADA]]*1000/(SQRT(3)*$P$7*ESQ_PROJ2[[#This Row],[ETA]]))</f>
        <v>0</v>
      </c>
      <c r="W16" s="74">
        <f>IFERROR(VLOOKUP(ESQ_PROJ2[[#This Row],[Ib]],TabelaDisjuntores[],2,TRUE),0)</f>
        <v>0</v>
      </c>
      <c r="X16" s="74">
        <f>IFERROR(VLOOKUP(ESQ_PROJ2[[#This Row],[CONDUTOR]],CABOS[],2,0),0)</f>
        <v>0</v>
      </c>
      <c r="Y16" s="74" t="str">
        <f>IF(AND(ESQ_PROJ2[[#This Row],[Ib]]&lt;=ESQ_PROJ2[[#This Row],[In]],ESQ_PROJ2[[#This Row],[In]]&lt;=ESQ_PROJ2[[#This Row],[Iz]]),"OK","VERIFICAR")</f>
        <v>OK</v>
      </c>
      <c r="Z16" s="108">
        <f>IFERROR(SQRT((ESQ_PROJ2[[#This Row],[X]]-$AC$4)^2+(ESQ_PROJ2[[#This Row],[Y]]-$AC$5)^2),0)</f>
        <v>0</v>
      </c>
    </row>
    <row r="17" spans="1:26" x14ac:dyDescent="0.3">
      <c r="A17" s="71" t="s">
        <v>42</v>
      </c>
      <c r="B17" s="169">
        <f>IFERROR(IF(ESQ_PROJ2[[#This Row],[PONTO]]="RAMAL",A16,VLOOKUP(ESQ_PROJ2[[#This Row],[PONTO]],GERAL_PROJ2[],2,0)),0)</f>
        <v>0</v>
      </c>
      <c r="C17" s="169">
        <f>IFERROR(IF(ESQ_PROJ2[[#This Row],[PONTO]]="RAMAL",15,VLOOKUP(ESQ_PROJ2[[#This Row],[PONTO]],GERAL_PROJ2[],3,0)),0)</f>
        <v>15</v>
      </c>
      <c r="D17" s="55" t="str">
        <f>IFERROR(IF(ESQ_PROJ2[[#This Row],[PONTO]]="RAMAL","",VLOOKUP(ESQ_PROJ2[[#This Row],[PONTO]],GERAL_PROJ2[],4,0)),0)</f>
        <v/>
      </c>
      <c r="E17" s="55" t="str">
        <f>IFERROR(IF(ESQ_PROJ2[[#This Row],[PONTO]]="RAMAL","",VLOOKUP(ESQ_PROJ2[[#This Row],[PONTO]],GERAL_PROJ2[],5,0)),0)</f>
        <v/>
      </c>
      <c r="F17" s="55">
        <f>IFERROR(IF(ESQ_PROJ2[[#This Row],[PONTO]]="RAMAL",DMDI,VLOOKUP(ESQ_PROJ2[[#This Row],[PONTO]],GERAL_PROJ2[],8,0)),0)</f>
        <v>2.84</v>
      </c>
      <c r="G17" s="55">
        <f>IFERROR(IF(ESQ_PROJ2[[#This Row],[PONTO]]="RAMAL",ESQ_PROJ2[[#This Row],[KVA PONTO]],VLOOKUP(ESQ_PROJ2[[#This Row],[PONTO]],GERAL_PROJ2[],9,0)),0)</f>
        <v>2.84</v>
      </c>
      <c r="H17" s="174" t="s">
        <v>1</v>
      </c>
      <c r="I17" s="61">
        <f>ESQ_PROJ2[[#This Row],[Ib]]</f>
        <v>2.4843557037856625</v>
      </c>
      <c r="J17" s="61">
        <v>32.366053051224441</v>
      </c>
      <c r="K17" s="69">
        <f>IFERROR((VLOOKUP(ESQ_PROJ2[[#This Row],[CONDUTOR]],CABOS[],3,0)/VLOOKUP(ESQ_PROJ2[[#This Row],[CONDUTOR]],CABOS[],6,0))*(1+VLOOKUP(ESQ_PROJ2[[#This Row],[CONDUTOR]],CABOS[],5,0)*(ESQ_PROJ2[[#This Row],[T]]-20)),0)</f>
        <v>2.0452993893336977</v>
      </c>
      <c r="L17" s="62">
        <f>IFERROR(IF(ESQ_PROJ2[[#This Row],[FASE]]="MONO",6,IF(ESQ_PROJ2[[#This Row],[FASE]]="BIF",2,1))*ESQ_PROJ2[[#This Row],[ACUMULADA]]*(SQRT(ESQ_PROJ2[[#This Row],[R CORR]]^2+VLOOKUP(ESQ_PROJ2[[#This Row],[CONDUTOR]],CABOS[],4,0)^2)/(($P$7^2)/100))*ESQ_PROJ2[[#This Row],[M]]*127/100+IF(ESQ_PROJ2[[#This Row],[TRECHO]]=0,127*QT_MTTR3,0),0)</f>
        <v>0</v>
      </c>
      <c r="M17" s="143" t="str">
        <f ca="1">IFERROR(SUMIF(ESQ_PROJ2[PONTO],ESQ_PROJ2[[#This Row],[TRECHO]],ESQ_PROJ2[Coluna1])+ESQ_PROJ2[[#This Row],[QT-PONTO]],0)</f>
        <v/>
      </c>
      <c r="N17" s="56" t="str">
        <f ca="1">ESQ_PROJ2[[#This Row],[Coluna1]]/127</f>
        <v/>
      </c>
      <c r="O17" s="55" t="str">
        <f ca="1">127-(127*ESQ_PROJ2[[#This Row],[QT %]])</f>
        <v/>
      </c>
      <c r="P17" s="61" t="str">
        <f ca="1">220-(220*ESQ_PROJ2[[#This Row],[QT %]])</f>
        <v/>
      </c>
      <c r="Q17" s="68" t="str">
        <f>IF(ESQ_PROJ2[[#This Row],[PROTECAO]]="OK","Protecao OK","Ajustar Disj/Condutor")</f>
        <v>Ajustar Disj/Condutor</v>
      </c>
      <c r="R17" s="74" t="str">
        <f t="shared" si="0"/>
        <v>TRI</v>
      </c>
      <c r="S17" s="74">
        <v>3</v>
      </c>
      <c r="T17" s="74" t="str">
        <f t="shared" si="1"/>
        <v>AEREO</v>
      </c>
      <c r="U17" s="74">
        <f>30</f>
        <v>30</v>
      </c>
      <c r="V17" s="74">
        <f>IF(ESQ_PROJ2[[#This Row],[FASE]]="MONO",ESQ_PROJ2[[#This Row],[ACUMULADA]]*1000/(220*ESQ_PROJ2[[#This Row],[ETA]]),ESQ_PROJ2[[#This Row],[ACUMULADA]]*1000/(SQRT(3)*$P$7*ESQ_PROJ2[[#This Row],[ETA]]))</f>
        <v>2.4843557037856625</v>
      </c>
      <c r="W17" s="74">
        <f>IFERROR(VLOOKUP(ESQ_PROJ2[[#This Row],[Ib]],TabelaDisjuntores[],2,TRUE),0)</f>
        <v>0</v>
      </c>
      <c r="X17" s="74">
        <f>IFERROR(VLOOKUP(ESQ_PROJ2[[#This Row],[CONDUTOR]],CABOS[],2,0),0)</f>
        <v>63</v>
      </c>
      <c r="Y17" s="74" t="str">
        <f>IF(AND(ESQ_PROJ2[[#This Row],[Ib]]&lt;=ESQ_PROJ2[[#This Row],[In]],ESQ_PROJ2[[#This Row],[In]]&lt;=ESQ_PROJ2[[#This Row],[Iz]]),"OK","VERIFICAR")</f>
        <v>VERIFICAR</v>
      </c>
      <c r="Z17" s="108">
        <f>IFERROR(SQRT((ESQ_PROJ2[[#This Row],[X]]-$AC$4)^2+(ESQ_PROJ2[[#This Row],[Y]]-$AC$5)^2),0)</f>
        <v>0</v>
      </c>
    </row>
  </sheetData>
  <mergeCells count="21">
    <mergeCell ref="A2:A3"/>
    <mergeCell ref="C2:C3"/>
    <mergeCell ref="E2:E3"/>
    <mergeCell ref="I5:I6"/>
    <mergeCell ref="Z5:Z6"/>
    <mergeCell ref="A5:A6"/>
    <mergeCell ref="G5:G6"/>
    <mergeCell ref="S5:S6"/>
    <mergeCell ref="B5:B6"/>
    <mergeCell ref="H5:H6"/>
    <mergeCell ref="D5:E5"/>
    <mergeCell ref="C5:C6"/>
    <mergeCell ref="M5:M6"/>
    <mergeCell ref="O5:O6"/>
    <mergeCell ref="Q5:Q6"/>
    <mergeCell ref="AB2:AC3"/>
    <mergeCell ref="B2:B3"/>
    <mergeCell ref="F5:F6"/>
    <mergeCell ref="D2:D3"/>
    <mergeCell ref="L5:L6"/>
    <mergeCell ref="N5:N6"/>
  </mergeCells>
  <conditionalFormatting sqref="Q8:Y17">
    <cfRule type="cellIs" dxfId="3" priority="1" operator="equal">
      <formula>"Condutor Suporta Amperagem"</formula>
    </cfRule>
    <cfRule type="cellIs" dxfId="2" priority="2" operator="equal">
      <formula>"Condutor Sobrecarregado"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AC17"/>
  <sheetViews>
    <sheetView zoomScale="110" zoomScaleNormal="110" workbookViewId="0">
      <pane ySplit="7" topLeftCell="A8" activePane="bottomLeft" state="frozen"/>
      <selection pane="bottomLeft" activeCell="H13" activeCellId="3" sqref="A9:A12 B13 C13 H13"/>
    </sheetView>
  </sheetViews>
  <sheetFormatPr defaultRowHeight="14.4" x14ac:dyDescent="0.3"/>
  <cols>
    <col min="1" max="1" width="11.33203125" bestFit="1" customWidth="1"/>
    <col min="2" max="2" width="12.44140625" bestFit="1" customWidth="1"/>
    <col min="3" max="3" width="14.6640625" bestFit="1" customWidth="1"/>
    <col min="4" max="4" width="10.44140625" bestFit="1" customWidth="1"/>
    <col min="5" max="5" width="11.5546875" bestFit="1" customWidth="1"/>
    <col min="6" max="6" width="9.77734375" customWidth="1"/>
    <col min="7" max="7" width="10.44140625" customWidth="1"/>
    <col min="8" max="8" width="16.109375" bestFit="1" customWidth="1"/>
    <col min="9" max="11" width="11" hidden="1" customWidth="1"/>
    <col min="12" max="12" width="15.109375" hidden="1" customWidth="1"/>
    <col min="13" max="13" width="12.44140625" hidden="1" customWidth="1"/>
    <col min="15" max="15" width="10.33203125" customWidth="1"/>
    <col min="16" max="16" width="8.77734375" hidden="1" customWidth="1"/>
    <col min="17" max="17" width="27.109375" hidden="1" customWidth="1"/>
    <col min="18" max="18" width="13" hidden="1" customWidth="1"/>
    <col min="19" max="19" width="7.21875" bestFit="1" customWidth="1"/>
    <col min="20" max="25" width="13" hidden="1" customWidth="1"/>
    <col min="26" max="26" width="9.88671875" hidden="1" customWidth="1"/>
    <col min="27" max="27" width="3.21875" customWidth="1"/>
    <col min="29" max="29" width="16.6640625" bestFit="1" customWidth="1"/>
  </cols>
  <sheetData>
    <row r="2" spans="1:29" x14ac:dyDescent="0.3">
      <c r="A2" s="233" t="s">
        <v>0</v>
      </c>
      <c r="B2" s="231" t="str">
        <f ca="1">SMALL(Tabela71023[127],1)</f>
        <v/>
      </c>
      <c r="C2" s="234" t="str">
        <f ca="1">LARGE(Tabela71023[QT %],1)</f>
        <v/>
      </c>
      <c r="D2" s="201"/>
      <c r="E2" s="201"/>
      <c r="F2" s="64"/>
      <c r="H2" s="145" t="s">
        <v>1</v>
      </c>
      <c r="AB2" s="190" t="s">
        <v>2</v>
      </c>
      <c r="AC2" s="191"/>
    </row>
    <row r="3" spans="1:29" x14ac:dyDescent="0.3">
      <c r="A3" s="179"/>
      <c r="B3" s="232"/>
      <c r="C3" s="232"/>
      <c r="D3" s="179"/>
      <c r="E3" s="179"/>
      <c r="F3" s="64"/>
      <c r="AB3" s="192"/>
      <c r="AC3" s="192"/>
    </row>
    <row r="4" spans="1:29" x14ac:dyDescent="0.3">
      <c r="AB4" s="11" t="s">
        <v>3</v>
      </c>
      <c r="AC4" s="13" t="str">
        <f>IFERROR(SUMPRODUCT(G8:G12,D8:D12)/SUM(G8:G12),"INSERIR DADOS")</f>
        <v>INSERIR DADOS</v>
      </c>
    </row>
    <row r="5" spans="1:29" ht="13.8" customHeight="1" x14ac:dyDescent="0.3">
      <c r="A5" s="233" t="s">
        <v>4</v>
      </c>
      <c r="B5" s="180" t="s">
        <v>5</v>
      </c>
      <c r="C5" s="180" t="s">
        <v>6</v>
      </c>
      <c r="D5" s="235" t="s">
        <v>7</v>
      </c>
      <c r="E5" s="182"/>
      <c r="F5" s="176" t="s">
        <v>8</v>
      </c>
      <c r="G5" s="176" t="s">
        <v>9</v>
      </c>
      <c r="H5" s="176" t="s">
        <v>10</v>
      </c>
      <c r="I5" s="176"/>
      <c r="J5" s="50"/>
      <c r="K5" s="50"/>
      <c r="L5" s="176" t="s">
        <v>11</v>
      </c>
      <c r="M5" s="176" t="s">
        <v>12</v>
      </c>
      <c r="N5" s="176" t="s">
        <v>13</v>
      </c>
      <c r="O5" s="176" t="s">
        <v>14</v>
      </c>
      <c r="P5" s="50"/>
      <c r="Q5" s="176" t="s">
        <v>15</v>
      </c>
      <c r="S5" s="176" t="s">
        <v>16</v>
      </c>
      <c r="Z5" s="176" t="s">
        <v>17</v>
      </c>
      <c r="AB5" s="12" t="s">
        <v>18</v>
      </c>
      <c r="AC5" s="13" t="str">
        <f>IFERROR(SUMPRODUCT(G8:G12,E8:E12)/SUM(G8:G12),"INSERIR DADOS")</f>
        <v>INSERIR DADOS</v>
      </c>
    </row>
    <row r="6" spans="1:29" ht="34.200000000000003" customHeight="1" x14ac:dyDescent="0.3">
      <c r="A6" s="179"/>
      <c r="B6" s="179"/>
      <c r="C6" s="179"/>
      <c r="D6" s="8" t="s">
        <v>19</v>
      </c>
      <c r="E6" s="8" t="s">
        <v>20</v>
      </c>
      <c r="F6" s="179"/>
      <c r="G6" s="179"/>
      <c r="H6" s="179"/>
      <c r="I6" s="179"/>
      <c r="J6" s="14"/>
      <c r="K6" s="14"/>
      <c r="L6" s="179"/>
      <c r="M6" s="179"/>
      <c r="N6" s="179"/>
      <c r="O6" s="179"/>
      <c r="P6" s="14"/>
      <c r="Q6" s="179"/>
      <c r="S6" s="179"/>
      <c r="Z6" s="179"/>
    </row>
    <row r="7" spans="1:29" x14ac:dyDescent="0.3">
      <c r="A7" s="53" t="s">
        <v>4</v>
      </c>
      <c r="B7" s="53" t="s">
        <v>21</v>
      </c>
      <c r="C7" s="53" t="s">
        <v>22</v>
      </c>
      <c r="D7" s="53" t="s">
        <v>3</v>
      </c>
      <c r="E7" s="53" t="s">
        <v>18</v>
      </c>
      <c r="F7" s="53" t="s">
        <v>23</v>
      </c>
      <c r="G7" s="53" t="s">
        <v>24</v>
      </c>
      <c r="H7" s="53" t="s">
        <v>10</v>
      </c>
      <c r="I7" s="67" t="s">
        <v>25</v>
      </c>
      <c r="J7" s="67" t="s">
        <v>26</v>
      </c>
      <c r="K7" s="67" t="s">
        <v>27</v>
      </c>
      <c r="L7" s="53" t="s">
        <v>28</v>
      </c>
      <c r="M7" s="53" t="s">
        <v>29</v>
      </c>
      <c r="N7" s="53" t="s">
        <v>13</v>
      </c>
      <c r="O7" s="67" t="s">
        <v>30</v>
      </c>
      <c r="P7" s="67" t="s">
        <v>31</v>
      </c>
      <c r="Q7" s="53" t="s">
        <v>32</v>
      </c>
      <c r="R7" s="53" t="s">
        <v>33</v>
      </c>
      <c r="S7" s="53" t="s">
        <v>34</v>
      </c>
      <c r="T7" s="53" t="s">
        <v>35</v>
      </c>
      <c r="U7" s="53" t="s">
        <v>36</v>
      </c>
      <c r="V7" s="53" t="s">
        <v>37</v>
      </c>
      <c r="W7" s="53" t="s">
        <v>38</v>
      </c>
      <c r="X7" s="53" t="s">
        <v>39</v>
      </c>
      <c r="Y7" s="53" t="s">
        <v>40</v>
      </c>
      <c r="Z7" s="53" t="s">
        <v>41</v>
      </c>
    </row>
    <row r="8" spans="1:29" x14ac:dyDescent="0.3">
      <c r="A8" s="54">
        <f>'GERAL PROJ2'!A16</f>
        <v>0</v>
      </c>
      <c r="B8" s="54">
        <f>IFERROR(IF(Tabela71023[[#This Row],[PONTO]]="RAMAL",A7,VLOOKUP(Tabela71023[[#This Row],[PONTO]],GERAL_PROJ2[],2,0)),0)</f>
        <v>0</v>
      </c>
      <c r="C8" s="54">
        <f>IFERROR(IF(Tabela71023[[#This Row],[PONTO]]="RAMAL",15,VLOOKUP(Tabela71023[[#This Row],[PONTO]],GERAL_PROJ2[],3,0)),0)</f>
        <v>0</v>
      </c>
      <c r="D8" s="55">
        <f>IFERROR(IF(Tabela71023[[#This Row],[PONTO]]="RAMAL","",VLOOKUP(Tabela71023[[#This Row],[PONTO]],GERAL_PROJ2[],4,0)),0)</f>
        <v>0</v>
      </c>
      <c r="E8" s="55">
        <f>IFERROR(IF(Tabela71023[[#This Row],[PONTO]]="RAMAL","",VLOOKUP(Tabela71023[[#This Row],[PONTO]],GERAL_PROJ2[],5,0)),0)</f>
        <v>0</v>
      </c>
      <c r="F8" s="55">
        <f>IFERROR(IF(Tabela71023[[#This Row],[PONTO]]="RAMAL",DMDI,VLOOKUP(Tabela71023[[#This Row],[PONTO]],GERAL_PROJ2[],8,0)),0)</f>
        <v>0</v>
      </c>
      <c r="G8" s="55">
        <f>IFERROR(IF(Tabela71023[[#This Row],[PONTO]]="RAMAL",Tabela71023[[#This Row],[KVA PONTO]],VLOOKUP(Tabela71023[[#This Row],[PONTO]],GERAL_PROJ2[],9,0)),0)</f>
        <v>0</v>
      </c>
      <c r="H8" s="55">
        <f>IFERROR(VLOOKUP(Tabela71023[[#This Row],[PONTO]],GERAL_PROJ2[],12,0),0)</f>
        <v>0</v>
      </c>
      <c r="I8" s="55">
        <f>Tabela71023[[#This Row],[Ib]]</f>
        <v>0</v>
      </c>
      <c r="J8" s="55" t="e">
        <v>#DIV/0!</v>
      </c>
      <c r="K8" s="131">
        <f>IFERROR((VLOOKUP(Tabela71023[[#This Row],[CONDUTOR]],CABOS[],3,0)/VLOOKUP(Tabela71023[[#This Row],[CONDUTOR]],CABOS[],6,0))*(1+VLOOKUP(Tabela71023[[#This Row],[CONDUTOR]],CABOS[],5,0)*(Tabela71023[[#This Row],[T]]-20)),0)</f>
        <v>0</v>
      </c>
      <c r="L8" s="148">
        <f>IFERROR(IF(Tabela71023[[#This Row],[FASE]]="MONO",6,IF(Tabela71023[[#This Row],[FASE]]="BIF",2,1))*Tabela71023[[#This Row],[ACUMULADA]]*(SQRT(Tabela71023[[#This Row],[R CORR]]^2+VLOOKUP(Tabela71023[[#This Row],[CONDUTOR]],CABOS[],4,0)^2)/(($P$7^2)/100))*Tabela71023[[#This Row],[M]]*127/100+IF(Tabela71023[[#This Row],[TRECHO]]=0,127*QT_MTTR3,0),0)</f>
        <v>0</v>
      </c>
      <c r="M8" s="132" t="str">
        <f ca="1">IFERROR(SUMIF(Tabela71023[PONTO],Tabela71023[[#This Row],[TRECHO]],Tabela71023[Coluna1])+Tabela71023[[#This Row],[QT-PONTO]],0)</f>
        <v/>
      </c>
      <c r="N8" s="56" t="str">
        <f ca="1">Tabela71023[[#This Row],[Coluna1]]/127</f>
        <v/>
      </c>
      <c r="O8" s="55" t="str">
        <f ca="1">127-(127*Tabela71023[[#This Row],[QT %]])</f>
        <v/>
      </c>
      <c r="P8" s="55" t="str">
        <f ca="1">220-(220*Tabela71023[[#This Row],[QT %]])</f>
        <v/>
      </c>
      <c r="Q8" s="68" t="str">
        <f>IF(Tabela71023[[#This Row],[PROTECAO]]="OK","Protecao OK","Ajustar Disj/Condutor")</f>
        <v>Protecao OK</v>
      </c>
      <c r="R8" s="74" t="str">
        <f t="shared" ref="R8:R13" si="0">"TRI"</f>
        <v>TRI</v>
      </c>
      <c r="S8" s="74">
        <v>3</v>
      </c>
      <c r="T8" s="74" t="str">
        <f t="shared" ref="T8:T13" si="1">"AEREO"</f>
        <v>AEREO</v>
      </c>
      <c r="U8" s="74">
        <f>30</f>
        <v>30</v>
      </c>
      <c r="V8" s="74">
        <f>IF(Tabela71023[[#This Row],[FASE]]="MONO",Tabela71023[[#This Row],[ACUMULADA]]*1000/(220*Tabela71023[[#This Row],[ETA]]),Tabela71023[[#This Row],[ACUMULADA]]*1000/(SQRT(3)*$P$7*Tabela71023[[#This Row],[ETA]]))</f>
        <v>0</v>
      </c>
      <c r="W8" s="74">
        <f>IFERROR(VLOOKUP(Tabela71023[[#This Row],[Ib]],TabelaDisjuntores[],2,TRUE),0)</f>
        <v>0</v>
      </c>
      <c r="X8" s="74">
        <f>IFERROR(VLOOKUP(Tabela71023[[#This Row],[CONDUTOR]],CABOS[],2,0),0)</f>
        <v>0</v>
      </c>
      <c r="Y8" s="74" t="str">
        <f>IF(AND(Tabela71023[[#This Row],[Ib]]&lt;=Tabela71023[[#This Row],[In]],Tabela71023[[#This Row],[In]]&lt;=Tabela71023[[#This Row],[Iz]]),"OK","VERIFICAR")</f>
        <v>OK</v>
      </c>
      <c r="Z8" s="109">
        <f>IFERROR(SQRT((Tabela71023[[#This Row],[X]]-$AC$4)^2+(Tabela71023[[#This Row],[Y]]-$AC$5)^2),0)</f>
        <v>0</v>
      </c>
    </row>
    <row r="9" spans="1:29" x14ac:dyDescent="0.3">
      <c r="A9" s="169"/>
      <c r="B9" s="54">
        <f>IFERROR(IF(Tabela71023[[#This Row],[PONTO]]="RAMAL",A8,VLOOKUP(Tabela71023[[#This Row],[PONTO]],GERAL_PROJ2[],2,0)),0)</f>
        <v>0</v>
      </c>
      <c r="C9" s="54">
        <f>IFERROR(IF(Tabela71023[[#This Row],[PONTO]]="RAMAL",15,VLOOKUP(Tabela71023[[#This Row],[PONTO]],GERAL_PROJ2[],3,0)),0)</f>
        <v>0</v>
      </c>
      <c r="D9" s="55">
        <f>IFERROR(IF(Tabela71023[[#This Row],[PONTO]]="RAMAL","",VLOOKUP(Tabela71023[[#This Row],[PONTO]],GERAL_PROJ2[],4,0)),0)</f>
        <v>0</v>
      </c>
      <c r="E9" s="55">
        <f>IFERROR(IF(Tabela71023[[#This Row],[PONTO]]="RAMAL","",VLOOKUP(Tabela71023[[#This Row],[PONTO]],GERAL_PROJ2[],5,0)),0)</f>
        <v>0</v>
      </c>
      <c r="F9" s="55">
        <f>IFERROR(IF(Tabela71023[[#This Row],[PONTO]]="RAMAL",DMDI,VLOOKUP(Tabela71023[[#This Row],[PONTO]],GERAL_PROJ2[],8,0)),0)</f>
        <v>0</v>
      </c>
      <c r="G9" s="55">
        <f>IFERROR(IF(Tabela71023[[#This Row],[PONTO]]="RAMAL",Tabela71023[[#This Row],[KVA PONTO]],VLOOKUP(Tabela71023[[#This Row],[PONTO]],GERAL_PROJ2[],9,0)),0)</f>
        <v>0</v>
      </c>
      <c r="H9" s="55">
        <f>IFERROR(VLOOKUP(Tabela71023[[#This Row],[PONTO]],GERAL_PROJ2[],12,0),0)</f>
        <v>0</v>
      </c>
      <c r="I9" s="55">
        <f>Tabela71023[[#This Row],[Ib]]</f>
        <v>0</v>
      </c>
      <c r="J9" s="55" t="e">
        <f>Tabela71023[[#This Row],[TEMP_AMB]]+60*(Tabela71023[[#This Row],[Ib]]/Tabela71023[[#This Row],[Iz]])</f>
        <v>#N/A</v>
      </c>
      <c r="K9" s="131" t="e">
        <f>(VLOOKUP(Tabela71023[[#This Row],[CONDUTOR]],CABOS[],3,0)/VLOOKUP(Tabela71023[[#This Row],[CONDUTOR]],CABOS[],6,0))*(1+VLOOKUP(Tabela71023[[#This Row],[CONDUTOR]],CABOS[],5,0)*(Tabela71023[[#This Row],[T]]-20))</f>
        <v>#N/A</v>
      </c>
      <c r="L9" s="148">
        <f>IFERROR(IF(Tabela71023[[#This Row],[FASE]]="MONO",6,IF(Tabela71023[[#This Row],[FASE]]="BIF",2,1))*Tabela71023[[#This Row],[ACUMULADA]]*(SQRT(Tabela71023[[#This Row],[R CORR]]^2+VLOOKUP(Tabela71023[[#This Row],[CONDUTOR]],CABOS[],4,0)^2)/(($P$7^2)/100))*Tabela71023[[#This Row],[M]]*127/100+IF(Tabela71023[[#This Row],[TRECHO]]=0,127*QT_MTTR3,0),0)</f>
        <v>0</v>
      </c>
      <c r="M9" s="132">
        <f ca="1">SUMIF(Tabela71023[PONTO],Tabela71023[[#This Row],[TRECHO]],Tabela71023[Coluna1])+Tabela71023[[#This Row],[QT-PONTO]]</f>
        <v>0</v>
      </c>
      <c r="N9" s="56">
        <f ca="1">Tabela71023[[#This Row],[Coluna1]]/127</f>
        <v>0</v>
      </c>
      <c r="O9" s="55">
        <f ca="1">127-(127*Tabela71023[[#This Row],[QT %]])</f>
        <v>0</v>
      </c>
      <c r="P9" s="55">
        <f ca="1">220-(220*Tabela71023[[#This Row],[QT %]])</f>
        <v>0</v>
      </c>
      <c r="Q9" s="68" t="e">
        <f>IF(Tabela71023[[#This Row],[PROTECAO]]="OK","Protecao OK","Ajustar Disj/Condutor")</f>
        <v>#N/A</v>
      </c>
      <c r="R9" s="74" t="str">
        <f t="shared" si="0"/>
        <v>TRI</v>
      </c>
      <c r="S9" s="74">
        <f>1</f>
        <v>1</v>
      </c>
      <c r="T9" s="74" t="str">
        <f t="shared" si="1"/>
        <v>AEREO</v>
      </c>
      <c r="U9" s="74">
        <f>30</f>
        <v>30</v>
      </c>
      <c r="V9" s="74">
        <f>IF(Tabela71023[[#This Row],[FASE]]="MONO",Tabela71023[[#This Row],[ACUMULADA]]*1000/(220*Tabela71023[[#This Row],[ETA]]),Tabela71023[[#This Row],[ACUMULADA]]*1000/(SQRT(3)*$P$7*Tabela71023[[#This Row],[ETA]]))</f>
        <v>0</v>
      </c>
      <c r="W9" s="74">
        <f>VLOOKUP(Tabela71023[[#This Row],[Ib]],TabelaDisjuntores[],2,TRUE)</f>
        <v>0</v>
      </c>
      <c r="X9" s="74" t="e">
        <f>VLOOKUP(Tabela71023[[#This Row],[CONDUTOR]],CABOS[],2,0)</f>
        <v>#N/A</v>
      </c>
      <c r="Y9" s="74" t="e">
        <f>IF(AND(Tabela71023[[#This Row],[Ib]]&lt;=Tabela71023[[#This Row],[In]],Tabela71023[[#This Row],[In]]&lt;=Tabela71023[[#This Row],[Iz]]),"OK","VERIFICAR")</f>
        <v>#N/A</v>
      </c>
      <c r="Z9" s="109">
        <f>IFERROR(SQRT((Tabela71023[[#This Row],[X]]-$AC$4)^2+(Tabela71023[[#This Row],[Y]]-$AC$5)^2),0)</f>
        <v>0</v>
      </c>
    </row>
    <row r="10" spans="1:29" x14ac:dyDescent="0.3">
      <c r="A10" s="169"/>
      <c r="B10" s="54">
        <f>IFERROR(IF(Tabela71023[[#This Row],[PONTO]]="RAMAL",A8,VLOOKUP(Tabela71023[[#This Row],[PONTO]],GERAL_PROJ2[],2,0)),0)</f>
        <v>0</v>
      </c>
      <c r="C10" s="54">
        <f>IFERROR(IF(Tabela71023[[#This Row],[PONTO]]="RAMAL",15,VLOOKUP(Tabela71023[[#This Row],[PONTO]],GERAL_PROJ2[],3,0)),0)</f>
        <v>0</v>
      </c>
      <c r="D10" s="55">
        <f>IFERROR(IF(Tabela71023[[#This Row],[PONTO]]="RAMAL","",VLOOKUP(Tabela71023[[#This Row],[PONTO]],GERAL_PROJ2[],4,0)),0)</f>
        <v>0</v>
      </c>
      <c r="E10" s="55">
        <f>IFERROR(IF(Tabela71023[[#This Row],[PONTO]]="RAMAL","",VLOOKUP(Tabela71023[[#This Row],[PONTO]],GERAL_PROJ2[],5,0)),0)</f>
        <v>0</v>
      </c>
      <c r="F10" s="55">
        <f>IFERROR(IF(Tabela71023[[#This Row],[PONTO]]="RAMAL",DMDI,VLOOKUP(Tabela71023[[#This Row],[PONTO]],GERAL_PROJ2[],8,0)),0)</f>
        <v>0</v>
      </c>
      <c r="G10" s="55">
        <f>IFERROR(IF(Tabela71023[[#This Row],[PONTO]]="RAMAL",Tabela71023[[#This Row],[KVA PONTO]],VLOOKUP(Tabela71023[[#This Row],[PONTO]],GERAL_PROJ2[],9,0)),0)</f>
        <v>0</v>
      </c>
      <c r="H10" s="55">
        <f>IFERROR(VLOOKUP(Tabela71023[[#This Row],[PONTO]],GERAL_PROJ2[],12,0),0)</f>
        <v>0</v>
      </c>
      <c r="I10" s="55">
        <f>Tabela71023[[#This Row],[Ib]]</f>
        <v>0</v>
      </c>
      <c r="J10" s="55" t="e">
        <f>Tabela71023[[#This Row],[TEMP_AMB]]+60*(Tabela71023[[#This Row],[Ib]]/Tabela71023[[#This Row],[Iz]])</f>
        <v>#N/A</v>
      </c>
      <c r="K10" s="131" t="e">
        <f>(VLOOKUP(Tabela71023[[#This Row],[CONDUTOR]],CABOS[],3,0)/VLOOKUP(Tabela71023[[#This Row],[CONDUTOR]],CABOS[],6,0))*(1+VLOOKUP(Tabela71023[[#This Row],[CONDUTOR]],CABOS[],5,0)*(Tabela71023[[#This Row],[T]]-20))</f>
        <v>#N/A</v>
      </c>
      <c r="L10" s="148">
        <f>IFERROR(IF(Tabela71023[[#This Row],[FASE]]="MONO",6,IF(Tabela71023[[#This Row],[FASE]]="BIF",2,1))*Tabela71023[[#This Row],[ACUMULADA]]*(SQRT(Tabela71023[[#This Row],[R CORR]]^2+VLOOKUP(Tabela71023[[#This Row],[CONDUTOR]],CABOS[],4,0)^2)/(($P$7^2)/100))*Tabela71023[[#This Row],[M]]*127/100+IF(Tabela71023[[#This Row],[TRECHO]]=0,127*QT_MTTR3,0),0)</f>
        <v>0</v>
      </c>
      <c r="M10" s="132">
        <f ca="1">SUMIF(Tabela71023[PONTO],Tabela71023[[#This Row],[TRECHO]],Tabela71023[Coluna1])+Tabela71023[[#This Row],[QT-PONTO]]</f>
        <v>0</v>
      </c>
      <c r="N10" s="56">
        <f ca="1">Tabela71023[[#This Row],[Coluna1]]/127</f>
        <v>0</v>
      </c>
      <c r="O10" s="55">
        <f ca="1">127-(127*Tabela71023[[#This Row],[QT %]])</f>
        <v>0</v>
      </c>
      <c r="P10" s="55">
        <f ca="1">220-(220*Tabela71023[[#This Row],[QT %]])</f>
        <v>0</v>
      </c>
      <c r="Q10" s="68" t="e">
        <f>IF(Tabela71023[[#This Row],[PROTECAO]]="OK","Protecao OK","Ajustar Disj/Condutor")</f>
        <v>#N/A</v>
      </c>
      <c r="R10" s="74" t="str">
        <f t="shared" si="0"/>
        <v>TRI</v>
      </c>
      <c r="S10" s="74">
        <f>1</f>
        <v>1</v>
      </c>
      <c r="T10" s="74" t="str">
        <f t="shared" si="1"/>
        <v>AEREO</v>
      </c>
      <c r="U10" s="74">
        <f>30</f>
        <v>30</v>
      </c>
      <c r="V10" s="74">
        <f>IF(Tabela71023[[#This Row],[FASE]]="MONO",Tabela71023[[#This Row],[ACUMULADA]]*1000/(220*Tabela71023[[#This Row],[ETA]]),Tabela71023[[#This Row],[ACUMULADA]]*1000/(SQRT(3)*$P$7*Tabela71023[[#This Row],[ETA]]))</f>
        <v>0</v>
      </c>
      <c r="W10" s="74">
        <f>VLOOKUP(Tabela71023[[#This Row],[Ib]],TabelaDisjuntores[],2,TRUE)</f>
        <v>0</v>
      </c>
      <c r="X10" s="74" t="e">
        <f>VLOOKUP(Tabela71023[[#This Row],[CONDUTOR]],CABOS[],2,0)</f>
        <v>#N/A</v>
      </c>
      <c r="Y10" s="74" t="e">
        <f>IF(AND(Tabela71023[[#This Row],[Ib]]&lt;=Tabela71023[[#This Row],[In]],Tabela71023[[#This Row],[In]]&lt;=Tabela71023[[#This Row],[Iz]]),"OK","VERIFICAR")</f>
        <v>#N/A</v>
      </c>
      <c r="Z10" s="109">
        <f>IFERROR(SQRT((Tabela71023[[#This Row],[X]]-$AC$4)^2+(Tabela71023[[#This Row],[Y]]-$AC$5)^2),0)</f>
        <v>0</v>
      </c>
    </row>
    <row r="11" spans="1:29" x14ac:dyDescent="0.3">
      <c r="A11" s="169"/>
      <c r="B11" s="54">
        <f>IFERROR(IF(Tabela71023[[#This Row],[PONTO]]="RAMAL",A8,VLOOKUP(Tabela71023[[#This Row],[PONTO]],GERAL_PROJ2[],2,0)),0)</f>
        <v>0</v>
      </c>
      <c r="C11" s="54">
        <f>IFERROR(IF(Tabela71023[[#This Row],[PONTO]]="RAMAL",15,VLOOKUP(Tabela71023[[#This Row],[PONTO]],GERAL_PROJ2[],3,0)),0)</f>
        <v>0</v>
      </c>
      <c r="D11" s="55">
        <f>IFERROR(IF(Tabela71023[[#This Row],[PONTO]]="RAMAL","",VLOOKUP(Tabela71023[[#This Row],[PONTO]],GERAL_PROJ2[],4,0)),0)</f>
        <v>0</v>
      </c>
      <c r="E11" s="55">
        <f>IFERROR(IF(Tabela71023[[#This Row],[PONTO]]="RAMAL","",VLOOKUP(Tabela71023[[#This Row],[PONTO]],GERAL_PROJ2[],5,0)),0)</f>
        <v>0</v>
      </c>
      <c r="F11" s="55">
        <f>IFERROR(IF(Tabela71023[[#This Row],[PONTO]]="RAMAL",DMDI,VLOOKUP(Tabela71023[[#This Row],[PONTO]],GERAL_PROJ2[],8,0)),0)</f>
        <v>0</v>
      </c>
      <c r="G11" s="55">
        <f>IFERROR(IF(Tabela71023[[#This Row],[PONTO]]="RAMAL",Tabela71023[[#This Row],[KVA PONTO]],VLOOKUP(Tabela71023[[#This Row],[PONTO]],GERAL_PROJ2[],9,0)),0)</f>
        <v>0</v>
      </c>
      <c r="H11" s="55">
        <f>IFERROR(VLOOKUP(Tabela71023[[#This Row],[PONTO]],GERAL_PROJ2[],12,0),0)</f>
        <v>0</v>
      </c>
      <c r="I11" s="55">
        <f>Tabela71023[[#This Row],[Ib]]</f>
        <v>0</v>
      </c>
      <c r="J11" s="55" t="e">
        <f>Tabela71023[[#This Row],[TEMP_AMB]]+60*(Tabela71023[[#This Row],[Ib]]/Tabela71023[[#This Row],[Iz]])</f>
        <v>#N/A</v>
      </c>
      <c r="K11" s="131" t="e">
        <f>(VLOOKUP(Tabela71023[[#This Row],[CONDUTOR]],CABOS[],3,0)/VLOOKUP(Tabela71023[[#This Row],[CONDUTOR]],CABOS[],6,0))*(1+VLOOKUP(Tabela71023[[#This Row],[CONDUTOR]],CABOS[],5,0)*(Tabela71023[[#This Row],[T]]-20))</f>
        <v>#N/A</v>
      </c>
      <c r="L11" s="148">
        <f>IFERROR(IF(Tabela71023[[#This Row],[FASE]]="MONO",6,IF(Tabela71023[[#This Row],[FASE]]="BIF",2,1))*Tabela71023[[#This Row],[ACUMULADA]]*(SQRT(Tabela71023[[#This Row],[R CORR]]^2+VLOOKUP(Tabela71023[[#This Row],[CONDUTOR]],CABOS[],4,0)^2)/(($P$7^2)/100))*Tabela71023[[#This Row],[M]]*127/100+IF(Tabela71023[[#This Row],[TRECHO]]=0,127*QT_MTTR3,0),0)</f>
        <v>0</v>
      </c>
      <c r="M11" s="132">
        <f ca="1">SUMIF(Tabela71023[PONTO],Tabela71023[[#This Row],[TRECHO]],Tabela71023[Coluna1])+Tabela71023[[#This Row],[QT-PONTO]]</f>
        <v>0</v>
      </c>
      <c r="N11" s="56">
        <f ca="1">Tabela71023[[#This Row],[Coluna1]]/127</f>
        <v>0</v>
      </c>
      <c r="O11" s="55">
        <f ca="1">127-(127*Tabela71023[[#This Row],[QT %]])</f>
        <v>0</v>
      </c>
      <c r="P11" s="55">
        <f ca="1">220-(220*Tabela71023[[#This Row],[QT %]])</f>
        <v>0</v>
      </c>
      <c r="Q11" s="68" t="e">
        <f>IF(Tabela71023[[#This Row],[PROTECAO]]="OK","Protecao OK","Ajustar Disj/Condutor")</f>
        <v>#N/A</v>
      </c>
      <c r="R11" s="74" t="str">
        <f t="shared" si="0"/>
        <v>TRI</v>
      </c>
      <c r="S11" s="74">
        <f>1</f>
        <v>1</v>
      </c>
      <c r="T11" s="74" t="str">
        <f t="shared" si="1"/>
        <v>AEREO</v>
      </c>
      <c r="U11" s="74">
        <f>30</f>
        <v>30</v>
      </c>
      <c r="V11" s="74">
        <f>IF(Tabela71023[[#This Row],[FASE]]="MONO",Tabela71023[[#This Row],[ACUMULADA]]*1000/(220*Tabela71023[[#This Row],[ETA]]),Tabela71023[[#This Row],[ACUMULADA]]*1000/(SQRT(3)*$P$7*Tabela71023[[#This Row],[ETA]]))</f>
        <v>0</v>
      </c>
      <c r="W11" s="74">
        <f>VLOOKUP(Tabela71023[[#This Row],[Ib]],TabelaDisjuntores[],2,TRUE)</f>
        <v>0</v>
      </c>
      <c r="X11" s="74" t="e">
        <f>VLOOKUP(Tabela71023[[#This Row],[CONDUTOR]],CABOS[],2,0)</f>
        <v>#N/A</v>
      </c>
      <c r="Y11" s="74" t="e">
        <f>IF(AND(Tabela71023[[#This Row],[Ib]]&lt;=Tabela71023[[#This Row],[In]],Tabela71023[[#This Row],[In]]&lt;=Tabela71023[[#This Row],[Iz]]),"OK","VERIFICAR")</f>
        <v>#N/A</v>
      </c>
      <c r="Z11" s="109">
        <f>IFERROR(SQRT((Tabela71023[[#This Row],[X]]-$AC$4)^2+(Tabela71023[[#This Row],[Y]]-$AC$5)^2),0)</f>
        <v>0</v>
      </c>
    </row>
    <row r="12" spans="1:29" x14ac:dyDescent="0.3">
      <c r="A12" s="169"/>
      <c r="B12" s="54">
        <f>IFERROR(IF(Tabela71023[[#This Row],[PONTO]]="RAMAL",A8,VLOOKUP(Tabela71023[[#This Row],[PONTO]],GERAL_PROJ2[],2,0)),0)</f>
        <v>0</v>
      </c>
      <c r="C12" s="54">
        <f>IFERROR(IF(Tabela71023[[#This Row],[PONTO]]="RAMAL",15,VLOOKUP(Tabela71023[[#This Row],[PONTO]],GERAL_PROJ2[],3,0)),0)</f>
        <v>0</v>
      </c>
      <c r="D12" s="55">
        <f>IFERROR(IF(Tabela71023[[#This Row],[PONTO]]="RAMAL","",VLOOKUP(Tabela71023[[#This Row],[PONTO]],GERAL_PROJ2[],4,0)),0)</f>
        <v>0</v>
      </c>
      <c r="E12" s="55">
        <f>IFERROR(IF(Tabela71023[[#This Row],[PONTO]]="RAMAL","",VLOOKUP(Tabela71023[[#This Row],[PONTO]],GERAL_PROJ2[],5,0)),0)</f>
        <v>0</v>
      </c>
      <c r="F12" s="55">
        <f>IFERROR(IF(Tabela71023[[#This Row],[PONTO]]="RAMAL",DMDI,VLOOKUP(Tabela71023[[#This Row],[PONTO]],GERAL_PROJ2[],8,0)),0)</f>
        <v>0</v>
      </c>
      <c r="G12" s="55">
        <f>IFERROR(IF(Tabela71023[[#This Row],[PONTO]]="RAMAL",Tabela71023[[#This Row],[KVA PONTO]],VLOOKUP(Tabela71023[[#This Row],[PONTO]],GERAL_PROJ2[],9,0)),0)</f>
        <v>0</v>
      </c>
      <c r="H12" s="55">
        <f>IFERROR(VLOOKUP(Tabela71023[[#This Row],[PONTO]],GERAL_PROJ2[],12,0),0)</f>
        <v>0</v>
      </c>
      <c r="I12" s="55">
        <f>Tabela71023[[#This Row],[Ib]]</f>
        <v>0</v>
      </c>
      <c r="J12" s="55" t="e">
        <v>#DIV/0!</v>
      </c>
      <c r="K12" s="131">
        <f>IFERROR((VLOOKUP(Tabela71023[[#This Row],[CONDUTOR]],CABOS[],3,0)/VLOOKUP(Tabela71023[[#This Row],[CONDUTOR]],CABOS[],6,0))*(1+VLOOKUP(Tabela71023[[#This Row],[CONDUTOR]],CABOS[],5,0)*(Tabela71023[[#This Row],[T]]-20)),0)</f>
        <v>0</v>
      </c>
      <c r="L12" s="148">
        <f>IFERROR(IF(Tabela71023[[#This Row],[FASE]]="MONO",6,IF(Tabela71023[[#This Row],[FASE]]="BIF",2,1))*Tabela71023[[#This Row],[ACUMULADA]]*(SQRT(Tabela71023[[#This Row],[R CORR]]^2+VLOOKUP(Tabela71023[[#This Row],[CONDUTOR]],CABOS[],4,0)^2)/(($P$7^2)/100))*Tabela71023[[#This Row],[M]]*127/100+IF(Tabela71023[[#This Row],[TRECHO]]=0,127*QT_MTTR3,0),0)</f>
        <v>0</v>
      </c>
      <c r="M12" s="132" t="str">
        <f ca="1">IFERROR(SUMIF(Tabela71023[PONTO],Tabela71023[[#This Row],[TRECHO]],Tabela71023[Coluna1])+Tabela71023[[#This Row],[QT-PONTO]],0)</f>
        <v/>
      </c>
      <c r="N12" s="56" t="str">
        <f ca="1">Tabela71023[[#This Row],[Coluna1]]/127</f>
        <v/>
      </c>
      <c r="O12" s="55" t="str">
        <f ca="1">127-(127*Tabela71023[[#This Row],[QT %]])</f>
        <v/>
      </c>
      <c r="P12" s="55" t="str">
        <f ca="1">220-(220*Tabela71023[[#This Row],[QT %]])</f>
        <v/>
      </c>
      <c r="Q12" s="68" t="str">
        <f>IF(Tabela71023[[#This Row],[PROTECAO]]="OK","Protecao OK","Ajustar Disj/Condutor")</f>
        <v>Protecao OK</v>
      </c>
      <c r="R12" s="74" t="str">
        <f t="shared" si="0"/>
        <v>TRI</v>
      </c>
      <c r="S12" s="74">
        <v>3</v>
      </c>
      <c r="T12" s="74" t="str">
        <f t="shared" si="1"/>
        <v>AEREO</v>
      </c>
      <c r="U12" s="74">
        <f>30</f>
        <v>30</v>
      </c>
      <c r="V12" s="74">
        <f>IF(Tabela71023[[#This Row],[FASE]]="MONO",Tabela71023[[#This Row],[ACUMULADA]]*1000/(220*Tabela71023[[#This Row],[ETA]]),Tabela71023[[#This Row],[ACUMULADA]]*1000/(SQRT(3)*$P$7*Tabela71023[[#This Row],[ETA]]))</f>
        <v>0</v>
      </c>
      <c r="W12" s="74">
        <f>IFERROR(VLOOKUP(Tabela71023[[#This Row],[Ib]],TabelaDisjuntores[],2,TRUE),0)</f>
        <v>0</v>
      </c>
      <c r="X12" s="74">
        <f>IFERROR(VLOOKUP(Tabela71023[[#This Row],[CONDUTOR]],CABOS[],2,0),0)</f>
        <v>0</v>
      </c>
      <c r="Y12" s="74" t="str">
        <f>IF(AND(Tabela71023[[#This Row],[Ib]]&lt;=Tabela71023[[#This Row],[In]],Tabela71023[[#This Row],[In]]&lt;=Tabela71023[[#This Row],[Iz]]),"OK","VERIFICAR")</f>
        <v>OK</v>
      </c>
      <c r="Z12" s="109">
        <f>IFERROR(SQRT((Tabela71023[[#This Row],[X]]-$AC$4)^2+(Tabela71023[[#This Row],[Y]]-$AC$5)^2),0)</f>
        <v>0</v>
      </c>
    </row>
    <row r="13" spans="1:29" x14ac:dyDescent="0.3">
      <c r="A13" s="71" t="s">
        <v>42</v>
      </c>
      <c r="B13" s="169">
        <f>IFERROR(IF(Tabela71023[[#This Row],[PONTO]]="RAMAL",A12,VLOOKUP(Tabela71023[[#This Row],[PONTO]],GERAL_PROJ2[],2,0)),0)</f>
        <v>0</v>
      </c>
      <c r="C13" s="169">
        <f>IFERROR(IF(Tabela71023[[#This Row],[PONTO]]="RAMAL",15,VLOOKUP(Tabela71023[[#This Row],[PONTO]],GERAL_PROJ2[],3,0)),0)</f>
        <v>15</v>
      </c>
      <c r="D13" s="55" t="str">
        <f>IFERROR(IF(Tabela71023[[#This Row],[PONTO]]="RAMAL","",VLOOKUP(Tabela71023[[#This Row],[PONTO]],GERAL_PROJ2[],4,0)),0)</f>
        <v/>
      </c>
      <c r="E13" s="55" t="str">
        <f>IFERROR(IF(Tabela71023[[#This Row],[PONTO]]="RAMAL","",VLOOKUP(Tabela71023[[#This Row],[PONTO]],GERAL_PROJ2[],5,0)),0)</f>
        <v/>
      </c>
      <c r="F13" s="55">
        <f>IFERROR(IF(Tabela71023[[#This Row],[PONTO]]="RAMAL",DMDI,VLOOKUP(Tabela71023[[#This Row],[PONTO]],GERAL_PROJ2[],8,0)),0)</f>
        <v>2.84</v>
      </c>
      <c r="G13" s="55">
        <f>IFERROR(IF(Tabela71023[[#This Row],[PONTO]]="RAMAL",Tabela71023[[#This Row],[KVA PONTO]],VLOOKUP(Tabela71023[[#This Row],[PONTO]],GERAL_PROJ2[],9,0)),0)</f>
        <v>2.84</v>
      </c>
      <c r="H13" s="174" t="s">
        <v>1</v>
      </c>
      <c r="I13" s="55">
        <f>Tabela71023[[#This Row],[Ib]]</f>
        <v>2.4843557037856625</v>
      </c>
      <c r="J13" s="55">
        <v>32.366053051224441</v>
      </c>
      <c r="K13" s="131">
        <f>IFERROR((VLOOKUP(Tabela71023[[#This Row],[CONDUTOR]],CABOS[],3,0)/VLOOKUP(Tabela71023[[#This Row],[CONDUTOR]],CABOS[],6,0))*(1+VLOOKUP(Tabela71023[[#This Row],[CONDUTOR]],CABOS[],5,0)*(Tabela71023[[#This Row],[T]]-20)),0)</f>
        <v>2.0452993893336977</v>
      </c>
      <c r="L13" s="148">
        <f>IFERROR(IF(Tabela71023[[#This Row],[FASE]]="MONO",6,IF(Tabela71023[[#This Row],[FASE]]="BIF",2,1))*Tabela71023[[#This Row],[ACUMULADA]]*(SQRT(Tabela71023[[#This Row],[R CORR]]^2+VLOOKUP(Tabela71023[[#This Row],[CONDUTOR]],CABOS[],4,0)^2)/(($P$7^2)/100))*Tabela71023[[#This Row],[M]]*127/100+IF(Tabela71023[[#This Row],[TRECHO]]=0,127*QT_MTTR3,0),0)</f>
        <v>0</v>
      </c>
      <c r="M13" s="132" t="str">
        <f ca="1">IFERROR(SUMIF(Tabela71023[PONTO],Tabela71023[[#This Row],[TRECHO]],Tabela71023[Coluna1])+Tabela71023[[#This Row],[QT-PONTO]],0)</f>
        <v/>
      </c>
      <c r="N13" s="56" t="str">
        <f ca="1">Tabela71023[[#This Row],[Coluna1]]/127</f>
        <v/>
      </c>
      <c r="O13" s="55" t="str">
        <f ca="1">127-(127*Tabela71023[[#This Row],[QT %]])</f>
        <v/>
      </c>
      <c r="P13" s="55" t="str">
        <f ca="1">220-(220*Tabela71023[[#This Row],[QT %]])</f>
        <v/>
      </c>
      <c r="Q13" s="68" t="str">
        <f>IF(Tabela71023[[#This Row],[PROTECAO]]="OK","Protecao OK","Ajustar Disj/Condutor")</f>
        <v>Ajustar Disj/Condutor</v>
      </c>
      <c r="R13" s="74" t="str">
        <f t="shared" si="0"/>
        <v>TRI</v>
      </c>
      <c r="S13" s="74">
        <v>3</v>
      </c>
      <c r="T13" s="74" t="str">
        <f t="shared" si="1"/>
        <v>AEREO</v>
      </c>
      <c r="U13" s="74">
        <f>30</f>
        <v>30</v>
      </c>
      <c r="V13" s="74">
        <f>IF(Tabela71023[[#This Row],[FASE]]="MONO",Tabela71023[[#This Row],[ACUMULADA]]*1000/(220*Tabela71023[[#This Row],[ETA]]),Tabela71023[[#This Row],[ACUMULADA]]*1000/(SQRT(3)*$P$7*Tabela71023[[#This Row],[ETA]]))</f>
        <v>2.4843557037856625</v>
      </c>
      <c r="W13" s="74">
        <f>IFERROR(VLOOKUP(Tabela71023[[#This Row],[Ib]],TabelaDisjuntores[],2,TRUE),0)</f>
        <v>0</v>
      </c>
      <c r="X13" s="74">
        <f>IFERROR(VLOOKUP(Tabela71023[[#This Row],[CONDUTOR]],CABOS[],2,0),0)</f>
        <v>63</v>
      </c>
      <c r="Y13" s="74" t="str">
        <f>IF(AND(Tabela71023[[#This Row],[Ib]]&lt;=Tabela71023[[#This Row],[In]],Tabela71023[[#This Row],[In]]&lt;=Tabela71023[[#This Row],[Iz]]),"OK","VERIFICAR")</f>
        <v>VERIFICAR</v>
      </c>
      <c r="Z13" s="109">
        <f>IFERROR(SQRT((Tabela71023[[#This Row],[X]]-$AC$4)^2+(Tabela71023[[#This Row],[Y]]-$AC$5)^2),0)</f>
        <v>0</v>
      </c>
    </row>
    <row r="17" spans="29:29" x14ac:dyDescent="0.3">
      <c r="AC17" s="137"/>
    </row>
  </sheetData>
  <mergeCells count="21">
    <mergeCell ref="A2:A3"/>
    <mergeCell ref="C2:C3"/>
    <mergeCell ref="E2:E3"/>
    <mergeCell ref="I5:I6"/>
    <mergeCell ref="Z5:Z6"/>
    <mergeCell ref="A5:A6"/>
    <mergeCell ref="G5:G6"/>
    <mergeCell ref="S5:S6"/>
    <mergeCell ref="B5:B6"/>
    <mergeCell ref="H5:H6"/>
    <mergeCell ref="D5:E5"/>
    <mergeCell ref="C5:C6"/>
    <mergeCell ref="M5:M6"/>
    <mergeCell ref="O5:O6"/>
    <mergeCell ref="Q5:Q6"/>
    <mergeCell ref="AB2:AC3"/>
    <mergeCell ref="B2:B3"/>
    <mergeCell ref="F5:F6"/>
    <mergeCell ref="D2:D3"/>
    <mergeCell ref="L5:L6"/>
    <mergeCell ref="N5:N6"/>
  </mergeCells>
  <conditionalFormatting sqref="Q8:Y13">
    <cfRule type="cellIs" dxfId="1" priority="1" operator="equal">
      <formula>"Condutor Suporta Amperagem"</formula>
    </cfRule>
    <cfRule type="cellIs" dxfId="0" priority="2" operator="equal">
      <formula>"Condutor Sobrecarregado"</formula>
    </cfRule>
  </conditionalFormatting>
  <pageMargins left="0.511811024" right="0.511811024" top="0.78740157499999996" bottom="0.78740157499999996" header="0.31496062000000002" footer="0.31496062000000002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13</vt:i4>
      </vt:variant>
      <vt:variant>
        <vt:lpstr>Intervalos Nomeados</vt:lpstr>
      </vt:variant>
      <vt:variant>
        <vt:i4>29</vt:i4>
      </vt:variant>
    </vt:vector>
  </HeadingPairs>
  <TitlesOfParts>
    <vt:vector size="42" baseType="lpstr">
      <vt:lpstr>DB</vt:lpstr>
      <vt:lpstr>COORDENADAS</vt:lpstr>
      <vt:lpstr>SUGESTAO_CORTES</vt:lpstr>
      <vt:lpstr>RAMAL</vt:lpstr>
      <vt:lpstr>GERAL</vt:lpstr>
      <vt:lpstr>ESQ ATUAL</vt:lpstr>
      <vt:lpstr>DIR ATUAL</vt:lpstr>
      <vt:lpstr>GERAL PROJ</vt:lpstr>
      <vt:lpstr>ESQ PROJ1</vt:lpstr>
      <vt:lpstr>DIR PROJ1</vt:lpstr>
      <vt:lpstr>GERAL PROJ2</vt:lpstr>
      <vt:lpstr>ESQ PROJ2</vt:lpstr>
      <vt:lpstr>DIR PROJ2</vt:lpstr>
      <vt:lpstr>ATUAL_CARGA_TOTAL</vt:lpstr>
      <vt:lpstr>ATUAL_CORRENTE_MAXIMA</vt:lpstr>
      <vt:lpstr>ATUAL_DEMANDA_MAXIMA</vt:lpstr>
      <vt:lpstr>ATUAL_DMDI_MEDIO</vt:lpstr>
      <vt:lpstr>ATUAL_ENTRADAS_RAMAIS</vt:lpstr>
      <vt:lpstr>ATUAL_FATOR_LEITURA_TRAFO</vt:lpstr>
      <vt:lpstr>AUX_CLAN</vt:lpstr>
      <vt:lpstr>'DIR ATUAL'!CONDUTORES</vt:lpstr>
      <vt:lpstr>'DIR PROJ1'!CONDUTORES</vt:lpstr>
      <vt:lpstr>'DIR PROJ2'!CONDUTORES</vt:lpstr>
      <vt:lpstr>'ESQ PROJ1'!CONDUTORES</vt:lpstr>
      <vt:lpstr>'ESQ PROJ2'!CONDUTORES</vt:lpstr>
      <vt:lpstr>'GERAL PROJ'!CONDUTORES</vt:lpstr>
      <vt:lpstr>'GERAL PROJ2'!CONDUTORES</vt:lpstr>
      <vt:lpstr>CONDUTORES</vt:lpstr>
      <vt:lpstr>COORD</vt:lpstr>
      <vt:lpstr>DEM_ATUAL</vt:lpstr>
      <vt:lpstr>DMDI</vt:lpstr>
      <vt:lpstr>fator_potencia</vt:lpstr>
      <vt:lpstr>QT_MT</vt:lpstr>
      <vt:lpstr>QT_MTTR</vt:lpstr>
      <vt:lpstr>QT_MTTR2</vt:lpstr>
      <vt:lpstr>QT_MTTR3</vt:lpstr>
      <vt:lpstr>QT_TR</vt:lpstr>
      <vt:lpstr>RAMAIS_ATUAL</vt:lpstr>
      <vt:lpstr>T_LINHA_MONO</vt:lpstr>
      <vt:lpstr>T_LINHA_TRF</vt:lpstr>
      <vt:lpstr>TAB_CLAN_DMDI</vt:lpstr>
      <vt:lpstr>TR_ATUAL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jairo marques</dc:creator>
  <cp:lastModifiedBy>Jonatas da Rocha Lampa</cp:lastModifiedBy>
  <cp:revision>9</cp:revision>
  <cp:lastPrinted>2025-12-22T20:05:19Z</cp:lastPrinted>
  <dcterms:created xsi:type="dcterms:W3CDTF">2025-12-22T19:46:06Z</dcterms:created>
  <dcterms:modified xsi:type="dcterms:W3CDTF">2026-04-05T19:19:00Z</dcterms:modified>
  <dc:language>pt-BR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ContentTypeId">
    <vt:lpwstr>0x0101009B5E8751ED0A0040A15EEFF443F7E8C0</vt:lpwstr>
  </property>
</Properties>
</file>