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08" yWindow="-108" windowWidth="23256" windowHeight="12456" tabRatio="843" firstSheet="1" activeTab="3" autoFilterDateGrouping="1"/>
  </bookViews>
  <sheets>
    <sheet name="DB" sheetId="1" state="hidden" r:id="rId1"/>
    <sheet name="COORDENADAS" sheetId="2" state="visible" r:id="rId2"/>
    <sheet name="SUGESTAO_CORTES" sheetId="3" state="hidden" r:id="rId3"/>
    <sheet name="RAMAL" sheetId="4" state="visible" r:id="rId4"/>
    <sheet name="GERAL" sheetId="5" state="visible" r:id="rId5"/>
    <sheet name="ESQ ATUAL" sheetId="6" state="visible" r:id="rId6"/>
    <sheet name="DIR ATUAL" sheetId="7" state="visible" r:id="rId7"/>
    <sheet name="GERAL PROJ" sheetId="8" state="visible" r:id="rId8"/>
    <sheet name="ESQ PROJ1" sheetId="9" state="visible" r:id="rId9"/>
    <sheet name="DIR PROJ1" sheetId="10" state="visible" r:id="rId10"/>
    <sheet name="GERAL PROJ2" sheetId="11" state="visible" r:id="rId11"/>
    <sheet name="ESQ PROJ2" sheetId="12" state="visible" r:id="rId12"/>
    <sheet name="DIR PROJ2" sheetId="13" state="visible" r:id="rId13"/>
  </sheets>
  <definedNames>
    <definedName name="ATUAL_CARGA_TOTAL">RAMAL!$AB$12</definedName>
    <definedName name="ATUAL_CORRENTE_MAXIMA">RAMAL!$AB$6</definedName>
    <definedName name="ATUAL_DEMANDA_MAXIMA">RAMAL!$AB$8</definedName>
    <definedName name="ATUAL_DMDI_MEDIO">RAMAL!$AB$18</definedName>
    <definedName name="ATUAL_ENTRADAS_RAMAIS">RAMAL!$A$18:$U$77</definedName>
    <definedName name="ATUAL_FATOR_LEITURA_TRAFO">RAMAL!$AB$14</definedName>
    <definedName name="AUX_CLAN">DB!$C$30:$F$330</definedName>
    <definedName name="CONDUTORES">CABOS[]</definedName>
    <definedName name="COORD">COORDENADAS!$C$2:$E$63</definedName>
    <definedName name="DEM_ATUAL">DB!$K$7</definedName>
    <definedName name="DMDI">RAMAL!$AA$30</definedName>
    <definedName name="fator_potencia">DB!$K$2</definedName>
    <definedName name="QT_MT">DB!$K$4</definedName>
    <definedName name="QT_MTTR">DB!$K$10</definedName>
    <definedName name="QT_MTTR2">DB!$K$19</definedName>
    <definedName name="QT_MTTR3">DB!$K$26</definedName>
    <definedName name="QT_TR">DB!$K$8</definedName>
    <definedName name="RAMA_PROJ1">#REF!</definedName>
    <definedName name="RAMA_PROJ2">#REF!</definedName>
    <definedName name="RAMAIS_ATUAL">RAMAL!$A$18:$Y$77</definedName>
    <definedName name="RAMAIS_PROJ1">#REF!</definedName>
    <definedName name="T_LINHA_MONO">DB!$M$14</definedName>
    <definedName name="T_LINHA_TRF">DB!$M$13</definedName>
    <definedName name="TAB_CLAN_DMDI">DB!$A$30:$B$411</definedName>
    <definedName name="TR_ATUAL">DB!$K$6</definedName>
    <definedName name="solver_adj" localSheetId="3" hidden="1">RAMAL!$AA$18</definedName>
    <definedName name="solver_eng" localSheetId="3" hidden="1">0</definedName>
    <definedName name="solver_lhs1" localSheetId="3" hidden="1">RAMAL!$AA$30</definedName>
    <definedName name="solver_neg" localSheetId="3" hidden="1">1</definedName>
    <definedName name="solver_num" localSheetId="3" hidden="1">1</definedName>
    <definedName name="solver_opt" localSheetId="3" hidden="1">RAMAL!$AA$24</definedName>
    <definedName name="solver_rel1" localSheetId="3" hidden="1">2</definedName>
    <definedName name="solver_rhs1" localSheetId="3" hidden="1">1.63</definedName>
    <definedName name="solver_rxv" localSheetId="3" hidden="1">1</definedName>
    <definedName name="solver_typ" localSheetId="3" hidden="1">3</definedName>
    <definedName name="solver_val" localSheetId="3" hidden="1">82.62</definedName>
    <definedName name="CONDUTORES" localSheetId="6">CABOS[]</definedName>
    <definedName name="CONDUTORES" localSheetId="7">CABOS[]</definedName>
    <definedName name="CONDUTORES" localSheetId="8">CABOS[]</definedName>
    <definedName name="CONDUTORES" localSheetId="9">CABOS[]</definedName>
    <definedName name="CONDUTORES" localSheetId="10">CABOS[]</definedName>
    <definedName name="CONDUTORES" localSheetId="11">CABOS[]</definedName>
    <definedName name="CONDUTORES" localSheetId="12">CABOS[]</definedName>
  </definedNames>
  <calcPr calcId="18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0.000"/>
    <numFmt numFmtId="166" formatCode="0.0%"/>
    <numFmt numFmtId="167" formatCode="0.0000"/>
    <numFmt numFmtId="168" formatCode="General\ &quot;m²&quot;"/>
    <numFmt numFmtId="169" formatCode="_-&quot;R$&quot;\ * #,##0.00_-;\-&quot;R$&quot;\ * #,##0.00_-;_-&quot;R$&quot;\ * &quot;-&quot;??_-;_-@_-"/>
    <numFmt numFmtId="170" formatCode="0.00\ &quot;V&quot;"/>
    <numFmt numFmtId="171" formatCode="_-* #,##0.00_-;\-* #,##0.00_-;_-* &quot;-&quot;??_-;_-@_-"/>
    <numFmt numFmtId="172" formatCode="0.0"/>
    <numFmt numFmtId="173" formatCode="0\ &quot;m&quot;"/>
  </numFmts>
  <fonts count="31">
    <font>
      <name val="Aptos Narrow"/>
      <charset val="1"/>
      <family val="2"/>
      <color rgb="FF000000"/>
      <sz val="11"/>
    </font>
    <font>
      <name val="Arial"/>
      <charset val="1"/>
      <family val="2"/>
      <color rgb="FF000000"/>
      <sz val="11"/>
    </font>
    <font>
      <name val="Arial"/>
      <charset val="1"/>
      <family val="2"/>
      <b val="1"/>
      <color rgb="FF000000"/>
      <sz val="11"/>
    </font>
    <font>
      <name val="Arial"/>
      <charset val="1"/>
      <family val="2"/>
      <b val="1"/>
      <color rgb="FFFFFFFF"/>
      <sz val="11"/>
    </font>
    <font>
      <name val="Aptos Narrow"/>
      <charset val="1"/>
      <family val="2"/>
      <sz val="11"/>
    </font>
    <font>
      <name val="Aptos Narrow"/>
      <charset val="1"/>
      <family val="2"/>
      <color rgb="FF000000"/>
      <sz val="11"/>
    </font>
    <font>
      <name val="Arial"/>
      <family val="2"/>
      <sz val="11"/>
    </font>
    <font>
      <name val="Arial"/>
      <charset val="1"/>
      <family val="2"/>
      <b val="1"/>
      <color theme="0"/>
      <sz val="11"/>
    </font>
    <font>
      <name val="Arial"/>
      <family val="2"/>
      <b val="1"/>
      <color theme="0"/>
      <sz val="12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color theme="0"/>
      <sz val="10"/>
    </font>
    <font>
      <name val="Arial"/>
      <charset val="1"/>
      <family val="2"/>
      <b val="1"/>
      <sz val="8"/>
    </font>
    <font>
      <name val="Arial"/>
      <charset val="1"/>
      <family val="2"/>
      <b val="1"/>
      <color theme="0"/>
      <sz val="8"/>
    </font>
    <font>
      <name val="Calibri"/>
      <family val="2"/>
      <color rgb="FF000000"/>
      <sz val="11"/>
    </font>
    <font>
      <name val="Arial"/>
      <charset val="1"/>
      <family val="2"/>
      <b val="1"/>
      <color rgb="FFFF0000"/>
      <sz val="8"/>
    </font>
    <font>
      <name val="Arial"/>
      <family val="2"/>
      <b val="1"/>
      <i val="1"/>
      <sz val="12"/>
    </font>
    <font>
      <name val="Arial"/>
      <family val="2"/>
      <sz val="12"/>
    </font>
    <font>
      <name val="Aptos Narrow"/>
      <family val="2"/>
      <b val="1"/>
      <color theme="1"/>
      <sz val="14"/>
      <scheme val="minor"/>
    </font>
    <font>
      <name val="Aptos Narrow"/>
      <charset val="1"/>
      <family val="2"/>
      <color rgb="FFFF0000"/>
      <sz val="11"/>
    </font>
    <font>
      <name val="Arial"/>
      <family val="2"/>
      <b val="1"/>
      <color rgb="FF000000"/>
      <sz val="11"/>
    </font>
    <font>
      <name val="Arial"/>
      <family val="2"/>
      <color rgb="FFFF0000"/>
      <sz val="11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charset val="1"/>
      <family val="2"/>
      <sz val="8"/>
    </font>
  </fonts>
  <fills count="20">
    <fill>
      <patternFill/>
    </fill>
    <fill>
      <patternFill patternType="gray125"/>
    </fill>
    <fill>
      <patternFill patternType="solid">
        <fgColor rgb="FF4E95D9"/>
        <bgColor rgb="FF46B1E1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1E5F5"/>
        <bgColor rgb="FFCCFFFF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4" tint="0.7999816888943144"/>
        <bgColor theme="4" tint="0.7999816888943144"/>
      </patternFill>
    </fill>
  </fills>
  <borders count="60">
    <border>
      <left/>
      <right/>
      <top/>
      <bottom/>
      <diagonal/>
    </border>
    <border>
      <left/>
      <right/>
      <top style="thin">
        <color rgb="FF46B1E1"/>
      </top>
      <bottom/>
      <diagonal/>
    </border>
    <border>
      <left/>
      <right/>
      <top style="thin">
        <color rgb="FF46B1E1"/>
      </top>
      <bottom style="thin">
        <color rgb="FF46B1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46B1E1"/>
      </top>
      <bottom style="thin">
        <color theme="4" tint="0.399975585192419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</borders>
  <cellStyleXfs count="5">
    <xf numFmtId="0" fontId="5" fillId="0" borderId="0"/>
    <xf numFmtId="9" fontId="5" fillId="0" borderId="0"/>
    <xf numFmtId="0" fontId="10" fillId="0" borderId="0"/>
    <xf numFmtId="44" fontId="5" fillId="0" borderId="0"/>
    <xf numFmtId="43" fontId="5" fillId="0" borderId="0"/>
  </cellStyleXfs>
  <cellXfs count="250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4" borderId="0" pivotButton="0" quotePrefix="0" xfId="0"/>
    <xf numFmtId="49" fontId="1" fillId="0" borderId="0" applyAlignment="1" pivotButton="0" quotePrefix="0" xfId="0">
      <alignment horizontal="right" vertical="center"/>
    </xf>
    <xf numFmtId="49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/>
    </xf>
    <xf numFmtId="0" fontId="6" fillId="4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2" fontId="6" fillId="4" borderId="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0" fontId="9" fillId="0" borderId="13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0" borderId="15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9" fillId="0" borderId="18" applyAlignment="1" pivotButton="0" quotePrefix="0" xfId="0">
      <alignment horizontal="center"/>
    </xf>
    <xf numFmtId="0" fontId="9" fillId="0" borderId="19" applyAlignment="1" pivotButton="0" quotePrefix="0" xfId="0">
      <alignment horizontal="center"/>
    </xf>
    <xf numFmtId="0" fontId="9" fillId="0" borderId="20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0" fontId="10" fillId="0" borderId="22" applyAlignment="1" pivotButton="0" quotePrefix="0" xfId="0">
      <alignment horizontal="center"/>
    </xf>
    <xf numFmtId="0" fontId="10" fillId="0" borderId="23" applyAlignment="1" pivotButton="0" quotePrefix="0" xfId="0">
      <alignment horizontal="center"/>
    </xf>
    <xf numFmtId="0" fontId="10" fillId="0" borderId="24" applyAlignment="1" pivotButton="0" quotePrefix="0" xfId="0">
      <alignment horizontal="center"/>
    </xf>
    <xf numFmtId="0" fontId="11" fillId="6" borderId="13" applyAlignment="1" pivotButton="0" quotePrefix="0" xfId="0">
      <alignment horizontal="center"/>
    </xf>
    <xf numFmtId="0" fontId="11" fillId="6" borderId="14" applyAlignment="1" pivotButton="0" quotePrefix="0" xfId="0">
      <alignment horizontal="center"/>
    </xf>
    <xf numFmtId="0" fontId="11" fillId="6" borderId="26" applyAlignment="1" pivotButton="0" quotePrefix="0" xfId="0">
      <alignment horizontal="center"/>
    </xf>
    <xf numFmtId="0" fontId="11" fillId="6" borderId="27" applyAlignment="1" pivotButton="0" quotePrefix="0" xfId="0">
      <alignment horizontal="center"/>
    </xf>
    <xf numFmtId="164" fontId="10" fillId="0" borderId="17" applyAlignment="1" pivotButton="0" quotePrefix="0" xfId="0">
      <alignment horizontal="center"/>
    </xf>
    <xf numFmtId="164" fontId="10" fillId="0" borderId="18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164" fontId="10" fillId="0" borderId="3" applyAlignment="1" pivotButton="0" quotePrefix="0" xfId="0">
      <alignment horizontal="center"/>
    </xf>
    <xf numFmtId="164" fontId="10" fillId="0" borderId="29" applyAlignment="1" pivotButton="0" quotePrefix="0" xfId="0">
      <alignment horizontal="center"/>
    </xf>
    <xf numFmtId="0" fontId="9" fillId="0" borderId="21" applyAlignment="1" pivotButton="0" quotePrefix="0" xfId="0">
      <alignment horizontal="center"/>
    </xf>
    <xf numFmtId="164" fontId="10" fillId="0" borderId="22" applyAlignment="1" pivotButton="0" quotePrefix="0" xfId="0">
      <alignment horizontal="center"/>
    </xf>
    <xf numFmtId="164" fontId="10" fillId="0" borderId="23" applyAlignment="1" pivotButton="0" quotePrefix="0" xfId="0">
      <alignment horizontal="center"/>
    </xf>
    <xf numFmtId="0" fontId="11" fillId="6" borderId="12" applyAlignment="1" pivotButton="0" quotePrefix="0" xfId="0">
      <alignment horizontal="center"/>
    </xf>
    <xf numFmtId="0" fontId="11" fillId="6" borderId="31" applyAlignment="1" pivotButton="0" quotePrefix="0" xfId="0">
      <alignment horizontal="center"/>
    </xf>
    <xf numFmtId="0" fontId="12" fillId="0" borderId="3" applyAlignment="1" applyProtection="1" pivotButton="0" quotePrefix="0" xfId="0">
      <alignment horizontal="center"/>
      <protection locked="0" hidden="0"/>
    </xf>
    <xf numFmtId="0" fontId="11" fillId="6" borderId="32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1" fillId="6" borderId="36" applyAlignment="1" pivotButton="0" quotePrefix="0" xfId="0">
      <alignment horizontal="center"/>
    </xf>
    <xf numFmtId="0" fontId="11" fillId="6" borderId="37" applyAlignment="1" pivotButton="0" quotePrefix="0" xfId="0">
      <alignment horizontal="center"/>
    </xf>
    <xf numFmtId="0" fontId="11" fillId="6" borderId="38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2" fillId="7" borderId="3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2">
      <alignment horizontal="center" vertical="center"/>
      <protection locked="1" hidden="1"/>
    </xf>
    <xf numFmtId="0" fontId="14" fillId="3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2" fontId="6" fillId="0" borderId="3" applyAlignment="1" pivotButton="0" quotePrefix="0" xfId="0">
      <alignment horizontal="center" vertical="center"/>
    </xf>
    <xf numFmtId="10" fontId="6" fillId="0" borderId="3" applyAlignment="1" pivotButton="0" quotePrefix="0" xfId="1">
      <alignment horizontal="center" vertical="center"/>
    </xf>
    <xf numFmtId="10" fontId="6" fillId="0" borderId="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0" borderId="0" applyAlignment="1" pivotButton="0" quotePrefix="0" xfId="0">
      <alignment wrapText="1"/>
    </xf>
    <xf numFmtId="2" fontId="6" fillId="8" borderId="3" applyAlignment="1" pivotButton="0" quotePrefix="0" xfId="0">
      <alignment horizontal="center" vertical="center"/>
    </xf>
    <xf numFmtId="165" fontId="6" fillId="8" borderId="3" applyAlignment="1" pivotButton="0" quotePrefix="0" xfId="0">
      <alignment horizontal="center" vertical="center"/>
    </xf>
    <xf numFmtId="165" fontId="6" fillId="8" borderId="3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166" fontId="0" fillId="0" borderId="0" pivotButton="0" quotePrefix="0" xfId="1"/>
    <xf numFmtId="10" fontId="0" fillId="0" borderId="0" pivotButton="0" quotePrefix="0" xfId="1"/>
    <xf numFmtId="0" fontId="15" fillId="3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167" fontId="6" fillId="8" borderId="3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2" fontId="6" fillId="0" borderId="40" applyAlignment="1" pivotButton="0" quotePrefix="0" xfId="0">
      <alignment horizontal="center" vertical="center"/>
    </xf>
    <xf numFmtId="0" fontId="6" fillId="0" borderId="40" applyAlignment="1" pivotButton="0" quotePrefix="0" xfId="0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applyAlignment="1" pivotButton="0" quotePrefix="0" xfId="0">
      <alignment horizontal="center"/>
    </xf>
    <xf numFmtId="49" fontId="3" fillId="2" borderId="0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center"/>
    </xf>
    <xf numFmtId="169" fontId="0" fillId="0" borderId="0" pivotButton="0" quotePrefix="0" xfId="3"/>
    <xf numFmtId="0" fontId="19" fillId="9" borderId="47" applyAlignment="1" pivotButton="0" quotePrefix="0" xfId="0">
      <alignment horizontal="left"/>
    </xf>
    <xf numFmtId="0" fontId="18" fillId="9" borderId="46" applyAlignment="1" pivotButton="0" quotePrefix="0" xfId="0">
      <alignment horizontal="left"/>
    </xf>
    <xf numFmtId="0" fontId="19" fillId="9" borderId="49" applyAlignment="1" pivotButton="0" quotePrefix="0" xfId="0">
      <alignment horizontal="left"/>
    </xf>
    <xf numFmtId="0" fontId="18" fillId="8" borderId="46" applyAlignment="1" pivotButton="0" quotePrefix="0" xfId="0">
      <alignment horizontal="left"/>
    </xf>
    <xf numFmtId="169" fontId="0" fillId="8" borderId="0" pivotButton="0" quotePrefix="0" xfId="3"/>
    <xf numFmtId="0" fontId="0" fillId="8" borderId="0" pivotButton="0" quotePrefix="0" xfId="0"/>
    <xf numFmtId="0" fontId="19" fillId="10" borderId="48" applyAlignment="1" pivotButton="0" quotePrefix="0" xfId="0">
      <alignment horizontal="left"/>
    </xf>
    <xf numFmtId="169" fontId="0" fillId="0" borderId="0" pivotButton="0" quotePrefix="0" xfId="0"/>
    <xf numFmtId="0" fontId="20" fillId="11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12" borderId="3" applyAlignment="1" pivotButton="0" quotePrefix="0" xfId="0">
      <alignment horizontal="center"/>
    </xf>
    <xf numFmtId="2" fontId="0" fillId="0" borderId="3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6" fillId="13" borderId="40" applyAlignment="1" pivotButton="0" quotePrefix="0" xfId="0">
      <alignment horizontal="center" vertical="center"/>
    </xf>
    <xf numFmtId="0" fontId="6" fillId="14" borderId="40" applyAlignment="1" pivotButton="0" quotePrefix="0" xfId="0">
      <alignment horizontal="center" vertical="center"/>
    </xf>
    <xf numFmtId="49" fontId="15" fillId="3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70" fontId="21" fillId="0" borderId="0" pivotButton="0" quotePrefix="0" xfId="0"/>
    <xf numFmtId="0" fontId="22" fillId="0" borderId="0" applyAlignment="1" pivotButton="0" quotePrefix="0" xfId="0">
      <alignment horizontal="left" vertical="center"/>
    </xf>
    <xf numFmtId="0" fontId="25" fillId="0" borderId="3" applyAlignment="1" applyProtection="1" pivotButton="0" quotePrefix="0" xfId="0">
      <alignment horizontal="center"/>
      <protection locked="0" hidden="0"/>
    </xf>
    <xf numFmtId="0" fontId="25" fillId="7" borderId="3" applyAlignment="1" applyProtection="1" pivotButton="0" quotePrefix="0" xfId="0">
      <alignment horizontal="center"/>
      <protection locked="0" hidden="0"/>
    </xf>
    <xf numFmtId="0" fontId="25" fillId="0" borderId="3" applyAlignment="1" pivotButton="0" quotePrefix="0" xfId="0">
      <alignment horizontal="center" vertical="center"/>
    </xf>
    <xf numFmtId="0" fontId="21" fillId="0" borderId="0" pivotButton="0" quotePrefix="0" xfId="0"/>
    <xf numFmtId="2" fontId="6" fillId="13" borderId="3" applyAlignment="1" pivotButton="0" quotePrefix="0" xfId="0">
      <alignment horizontal="center" vertical="center"/>
    </xf>
    <xf numFmtId="2" fontId="6" fillId="13" borderId="40" applyAlignment="1" pivotButton="0" quotePrefix="0" xfId="0">
      <alignment horizontal="center" vertical="center"/>
    </xf>
    <xf numFmtId="0" fontId="6" fillId="14" borderId="37" applyAlignment="1" pivotButton="0" quotePrefix="0" xfId="0">
      <alignment horizontal="center" vertical="center"/>
    </xf>
    <xf numFmtId="2" fontId="6" fillId="13" borderId="17" applyAlignment="1" pivotButton="0" quotePrefix="0" xfId="0">
      <alignment horizontal="center" vertical="center"/>
    </xf>
    <xf numFmtId="2" fontId="6" fillId="14" borderId="17" applyAlignment="1" pivotButton="0" quotePrefix="0" xfId="0">
      <alignment horizontal="center" vertical="center"/>
    </xf>
    <xf numFmtId="2" fontId="6" fillId="14" borderId="3" applyAlignment="1" pivotButton="0" quotePrefix="0" xfId="0">
      <alignment horizontal="center" vertical="center"/>
    </xf>
    <xf numFmtId="0" fontId="26" fillId="15" borderId="0" pivotButton="0" quotePrefix="0" xfId="0"/>
    <xf numFmtId="0" fontId="27" fillId="0" borderId="0" pivotButton="0" quotePrefix="0" xfId="0"/>
    <xf numFmtId="0" fontId="27" fillId="16" borderId="0" applyAlignment="1" pivotButton="0" quotePrefix="0" xfId="0">
      <alignment horizontal="center"/>
    </xf>
    <xf numFmtId="171" fontId="0" fillId="0" borderId="0" pivotButton="0" quotePrefix="0" xfId="4"/>
    <xf numFmtId="10" fontId="5" fillId="0" borderId="0" pivotButton="0" quotePrefix="0" xfId="1"/>
    <xf numFmtId="165" fontId="0" fillId="0" borderId="0" applyAlignment="1" pivotButton="0" quotePrefix="0" xfId="4">
      <alignment horizontal="center"/>
    </xf>
    <xf numFmtId="10" fontId="5" fillId="0" borderId="0" applyAlignment="1" pivotButton="0" quotePrefix="0" xfId="1">
      <alignment horizontal="center"/>
    </xf>
    <xf numFmtId="0" fontId="28" fillId="17" borderId="0" pivotButton="0" quotePrefix="0" xfId="0"/>
    <xf numFmtId="0" fontId="29" fillId="0" borderId="0" applyAlignment="1" pivotButton="0" quotePrefix="0" xfId="0">
      <alignment horizontal="left"/>
    </xf>
    <xf numFmtId="172" fontId="0" fillId="0" borderId="0" applyAlignment="1" pivotButton="0" quotePrefix="0" xfId="0">
      <alignment horizontal="center"/>
    </xf>
    <xf numFmtId="0" fontId="6" fillId="13" borderId="37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/>
    </xf>
    <xf numFmtId="0" fontId="23" fillId="0" borderId="3" applyAlignment="1" pivotButton="0" quotePrefix="0" xfId="0">
      <alignment horizontal="center" vertical="center"/>
    </xf>
    <xf numFmtId="2" fontId="23" fillId="0" borderId="3" applyAlignment="1" pivotButton="0" quotePrefix="0" xfId="0">
      <alignment horizontal="center"/>
    </xf>
    <xf numFmtId="1" fontId="23" fillId="0" borderId="3" applyAlignment="1" pivotButton="0" quotePrefix="0" xfId="0">
      <alignment horizontal="center"/>
    </xf>
    <xf numFmtId="2" fontId="23" fillId="0" borderId="3" applyAlignment="1" pivotButton="0" quotePrefix="0" xfId="0">
      <alignment horizontal="center" vertical="center"/>
    </xf>
    <xf numFmtId="2" fontId="6" fillId="0" borderId="3" applyAlignment="1" pivotButton="0" quotePrefix="0" xfId="0">
      <alignment horizontal="center"/>
    </xf>
    <xf numFmtId="1" fontId="6" fillId="0" borderId="3" applyAlignment="1" pivotButton="0" quotePrefix="0" xfId="0">
      <alignment horizontal="center"/>
    </xf>
    <xf numFmtId="172" fontId="6" fillId="0" borderId="3" applyAlignment="1" pivotButton="0" quotePrefix="0" xfId="0">
      <alignment horizontal="center" vertical="center"/>
    </xf>
    <xf numFmtId="167" fontId="6" fillId="0" borderId="3" applyAlignment="1" pivotButton="0" quotePrefix="0" xfId="0">
      <alignment horizontal="center" vertical="center"/>
    </xf>
    <xf numFmtId="2" fontId="6" fillId="0" borderId="3" applyAlignment="1" pivotButton="0" quotePrefix="0" xfId="1">
      <alignment horizontal="center" vertical="center"/>
    </xf>
    <xf numFmtId="172" fontId="6" fillId="0" borderId="40" applyAlignment="1" pivotButton="0" quotePrefix="0" xfId="0">
      <alignment horizontal="center" vertical="center"/>
    </xf>
    <xf numFmtId="167" fontId="6" fillId="0" borderId="40" applyAlignment="1" pivotButton="0" quotePrefix="0" xfId="0">
      <alignment horizontal="center" vertical="center"/>
    </xf>
    <xf numFmtId="2" fontId="6" fillId="0" borderId="40" applyAlignment="1" pivotButton="0" quotePrefix="0" xfId="1">
      <alignment horizontal="center" vertical="center"/>
    </xf>
    <xf numFmtId="10" fontId="6" fillId="0" borderId="40" applyAlignment="1" pivotButton="0" quotePrefix="0" xfId="0">
      <alignment horizontal="center" vertical="center"/>
    </xf>
    <xf numFmtId="9" fontId="5" fillId="0" borderId="0" pivotButton="0" quotePrefix="0" xfId="1"/>
    <xf numFmtId="2" fontId="6" fillId="0" borderId="40" applyAlignment="1" pivotButton="0" quotePrefix="0" xfId="0">
      <alignment horizontal="center"/>
    </xf>
    <xf numFmtId="1" fontId="6" fillId="0" borderId="40" applyAlignment="1" pivotButton="0" quotePrefix="0" xfId="0">
      <alignment horizontal="center"/>
    </xf>
    <xf numFmtId="2" fontId="6" fillId="0" borderId="40" applyAlignment="1" pivotButton="0" quotePrefix="0" xfId="1">
      <alignment horizontal="center"/>
    </xf>
    <xf numFmtId="2" fontId="0" fillId="0" borderId="0" applyAlignment="1" pivotButton="0" quotePrefix="0" xfId="0">
      <alignment horizontal="center" vertical="center"/>
    </xf>
    <xf numFmtId="2" fontId="6" fillId="0" borderId="17" applyAlignment="1" pivotButton="0" quotePrefix="0" xfId="0">
      <alignment horizontal="center" vertical="center"/>
    </xf>
    <xf numFmtId="2" fontId="6" fillId="8" borderId="3" applyAlignment="1" pivotButton="0" quotePrefix="0" xfId="1">
      <alignment horizontal="center" vertical="center"/>
    </xf>
    <xf numFmtId="172" fontId="6" fillId="8" borderId="3" applyAlignment="1" pivotButton="0" quotePrefix="0" xfId="0">
      <alignment horizontal="center" vertical="center"/>
    </xf>
    <xf numFmtId="2" fontId="6" fillId="18" borderId="51" applyAlignment="1" pivotButton="0" quotePrefix="0" xfId="0">
      <alignment horizontal="center" vertical="center"/>
    </xf>
    <xf numFmtId="2" fontId="6" fillId="0" borderId="51" applyAlignment="1" pivotButton="0" quotePrefix="0" xfId="0">
      <alignment horizontal="center" vertical="center"/>
    </xf>
    <xf numFmtId="2" fontId="6" fillId="19" borderId="52" applyAlignment="1" pivotButton="0" quotePrefix="0" xfId="0">
      <alignment horizontal="center" vertical="center"/>
    </xf>
    <xf numFmtId="165" fontId="6" fillId="0" borderId="3" applyAlignment="1" pivotButton="0" quotePrefix="0" xfId="0">
      <alignment horizontal="center" vertical="center"/>
    </xf>
    <xf numFmtId="165" fontId="6" fillId="0" borderId="3" applyAlignment="1" pivotButton="0" quotePrefix="0" xfId="1">
      <alignment horizontal="center" vertical="center"/>
    </xf>
    <xf numFmtId="165" fontId="6" fillId="0" borderId="40" applyAlignment="1" pivotButton="0" quotePrefix="0" xfId="0">
      <alignment horizontal="center" vertical="center"/>
    </xf>
    <xf numFmtId="165" fontId="6" fillId="0" borderId="40" applyAlignment="1" pivotButton="0" quotePrefix="0" xfId="1">
      <alignment horizontal="center" vertical="center"/>
    </xf>
    <xf numFmtId="10" fontId="6" fillId="0" borderId="40" applyAlignment="1" pivotButton="0" quotePrefix="0" xfId="1">
      <alignment horizontal="center" vertical="center"/>
    </xf>
    <xf numFmtId="2" fontId="6" fillId="18" borderId="3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/>
    </xf>
    <xf numFmtId="0" fontId="11" fillId="6" borderId="30" applyAlignment="1" pivotButton="0" quotePrefix="0" xfId="0">
      <alignment vertical="center" wrapText="1"/>
    </xf>
    <xf numFmtId="0" fontId="11" fillId="6" borderId="0" applyAlignment="1" pivotButton="0" quotePrefix="0" xfId="0">
      <alignment vertical="center" wrapText="1"/>
    </xf>
    <xf numFmtId="0" fontId="9" fillId="0" borderId="3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2" fontId="21" fillId="0" borderId="3" applyAlignment="1" pivotButton="0" quotePrefix="0" xfId="0">
      <alignment horizontal="center"/>
    </xf>
    <xf numFmtId="0" fontId="21" fillId="0" borderId="3" applyAlignment="1" pivotButton="0" quotePrefix="0" xfId="0">
      <alignment horizontal="center"/>
    </xf>
    <xf numFmtId="0" fontId="11" fillId="6" borderId="54" applyAlignment="1" pivotButton="0" quotePrefix="0" xfId="0">
      <alignment horizontal="center"/>
    </xf>
    <xf numFmtId="0" fontId="12" fillId="7" borderId="3" applyAlignment="1" applyProtection="1" pivotButton="0" quotePrefix="0" xfId="0">
      <alignment horizontal="center" vertical="center"/>
      <protection locked="0" hidden="0"/>
    </xf>
    <xf numFmtId="0" fontId="12" fillId="7" borderId="3" applyProtection="1" pivotButton="0" quotePrefix="0" xfId="0">
      <protection locked="0" hidden="0"/>
    </xf>
    <xf numFmtId="0" fontId="25" fillId="7" borderId="3" applyAlignment="1" applyProtection="1" pivotButton="0" quotePrefix="0" xfId="0">
      <alignment horizontal="center" vertical="center"/>
      <protection locked="0" hidden="0"/>
    </xf>
    <xf numFmtId="0" fontId="25" fillId="7" borderId="3" applyProtection="1" pivotButton="0" quotePrefix="0" xfId="0">
      <protection locked="0" hidden="0"/>
    </xf>
    <xf numFmtId="0" fontId="0" fillId="7" borderId="3" applyAlignment="1" pivotButton="0" quotePrefix="0" xfId="0">
      <alignment horizontal="center"/>
    </xf>
    <xf numFmtId="0" fontId="0" fillId="7" borderId="3" pivotButton="0" quotePrefix="0" xfId="0"/>
    <xf numFmtId="0" fontId="23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2" fontId="23" fillId="7" borderId="3" applyAlignment="1" pivotButton="0" quotePrefix="0" xfId="0">
      <alignment horizontal="center"/>
    </xf>
    <xf numFmtId="2" fontId="6" fillId="7" borderId="3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6" fillId="7" borderId="40" applyAlignment="1" pivotButton="0" quotePrefix="0" xfId="0">
      <alignment horizontal="center" vertical="center"/>
    </xf>
    <xf numFmtId="2" fontId="6" fillId="7" borderId="40" applyAlignment="1" pivotButton="0" quotePrefix="0" xfId="0">
      <alignment horizontal="center" vertical="center"/>
    </xf>
    <xf numFmtId="2" fontId="6" fillId="7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3" fillId="2" borderId="1" applyAlignment="1" pivotButton="0" quotePrefix="0" xfId="0">
      <alignment horizontal="center" vertical="center" wrapText="1"/>
    </xf>
    <xf numFmtId="49" fontId="3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2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2" fontId="6" fillId="4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4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" pivotButton="0" quotePrefix="0" xfId="0"/>
    <xf numFmtId="1" fontId="6" fillId="4" borderId="4" applyAlignment="1" pivotButton="0" quotePrefix="0" xfId="0">
      <alignment horizontal="center" vertical="center"/>
    </xf>
    <xf numFmtId="168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4" borderId="4" applyAlignment="1" pivotButton="0" quotePrefix="0" xfId="0">
      <alignment horizontal="center" vertical="center"/>
    </xf>
    <xf numFmtId="173" fontId="6" fillId="4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3" fillId="2" borderId="4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21" applyAlignment="1" applyProtection="1" pivotButton="0" quotePrefix="0" xfId="0">
      <alignment horizontal="center"/>
      <protection locked="0" hidden="0"/>
    </xf>
    <xf numFmtId="0" fontId="0" fillId="0" borderId="24" applyProtection="1" pivotButton="0" quotePrefix="0" xfId="0">
      <protection locked="0" hidden="0"/>
    </xf>
    <xf numFmtId="2" fontId="0" fillId="0" borderId="21" applyAlignment="1" applyProtection="1" pivotButton="0" quotePrefix="0" xfId="0">
      <alignment horizontal="center"/>
      <protection locked="1" hidden="1"/>
    </xf>
    <xf numFmtId="0" fontId="0" fillId="0" borderId="24" applyProtection="1" pivotButton="0" quotePrefix="0" xfId="0">
      <protection locked="1" hidden="1"/>
    </xf>
    <xf numFmtId="0" fontId="13" fillId="6" borderId="45" applyAlignment="1" pivotButton="0" quotePrefix="0" xfId="0">
      <alignment horizontal="center"/>
    </xf>
    <xf numFmtId="0" fontId="0" fillId="0" borderId="34" pivotButton="0" quotePrefix="0" xfId="0"/>
    <xf numFmtId="0" fontId="11" fillId="6" borderId="14" applyAlignment="1" pivotButton="0" quotePrefix="0" xfId="0">
      <alignment horizontal="center" wrapText="1"/>
    </xf>
    <xf numFmtId="0" fontId="11" fillId="6" borderId="38" applyAlignment="1" pivotButton="0" quotePrefix="0" xfId="0">
      <alignment horizontal="center" wrapText="1"/>
    </xf>
    <xf numFmtId="0" fontId="13" fillId="6" borderId="4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5" pivotButton="0" quotePrefix="0" xfId="0"/>
    <xf numFmtId="2" fontId="0" fillId="0" borderId="21" applyAlignment="1" applyProtection="1" pivotButton="0" quotePrefix="0" xfId="1">
      <alignment horizontal="center"/>
      <protection locked="1" hidden="1"/>
    </xf>
    <xf numFmtId="10" fontId="0" fillId="0" borderId="21" applyAlignment="1" applyProtection="1" pivotButton="0" quotePrefix="0" xfId="1">
      <alignment horizontal="center"/>
      <protection locked="1" hidden="1"/>
    </xf>
    <xf numFmtId="0" fontId="13" fillId="6" borderId="53" applyAlignment="1" pivotButton="0" quotePrefix="0" xfId="0">
      <alignment horizontal="center"/>
    </xf>
    <xf numFmtId="0" fontId="0" fillId="0" borderId="50" pivotButton="0" quotePrefix="0" xfId="0"/>
    <xf numFmtId="2" fontId="0" fillId="7" borderId="21" applyAlignment="1" applyProtection="1" pivotButton="0" quotePrefix="0" xfId="0">
      <alignment horizontal="center"/>
      <protection locked="0" hidden="0"/>
    </xf>
    <xf numFmtId="0" fontId="0" fillId="7" borderId="24" applyProtection="1" pivotButton="0" quotePrefix="0" xfId="0">
      <protection locked="0" hidden="0"/>
    </xf>
    <xf numFmtId="0" fontId="8" fillId="6" borderId="4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30" pivotButton="0" quotePrefix="0" xfId="0"/>
    <xf numFmtId="0" fontId="8" fillId="6" borderId="10" applyAlignment="1" pivotButton="0" quotePrefix="0" xfId="0">
      <alignment horizontal="center"/>
    </xf>
    <xf numFmtId="0" fontId="0" fillId="0" borderId="42" pivotButton="0" quotePrefix="0" xfId="0"/>
    <xf numFmtId="0" fontId="11" fillId="6" borderId="25" applyAlignment="1" pivotButton="0" quotePrefix="0" xfId="0">
      <alignment horizontal="center" vertical="center" wrapText="1"/>
    </xf>
    <xf numFmtId="0" fontId="0" fillId="0" borderId="16" pivotButton="0" quotePrefix="0" xfId="0"/>
    <xf numFmtId="0" fontId="8" fillId="6" borderId="8" applyAlignment="1" pivotButton="0" quotePrefix="0" xfId="0">
      <alignment horizontal="center"/>
    </xf>
    <xf numFmtId="0" fontId="8" fillId="6" borderId="33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170" fontId="7" fillId="3" borderId="44" applyAlignment="1" pivotButton="0" quotePrefix="0" xfId="0">
      <alignment horizontal="center" vertical="center"/>
    </xf>
    <xf numFmtId="0" fontId="0" fillId="0" borderId="39" pivotButton="0" quotePrefix="0" xfId="0"/>
    <xf numFmtId="49" fontId="3" fillId="2" borderId="1" applyAlignment="1" pivotButton="0" quotePrefix="0" xfId="0">
      <alignment horizontal="center" vertical="center"/>
    </xf>
    <xf numFmtId="10" fontId="7" fillId="3" borderId="44" applyAlignment="1" pivotButton="0" quotePrefix="0" xfId="1">
      <alignment horizontal="center" vertical="center"/>
    </xf>
    <xf numFmtId="49" fontId="3" fillId="2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9" fontId="0" fillId="8" borderId="0" pivotButton="0" quotePrefix="0" xfId="3"/>
    <xf numFmtId="169" fontId="0" fillId="0" borderId="0" pivotButton="0" quotePrefix="0" xfId="3"/>
    <xf numFmtId="169" fontId="0" fillId="0" borderId="0" pivotButton="0" quotePrefix="0" xfId="0"/>
    <xf numFmtId="171" fontId="0" fillId="0" borderId="0" pivotButton="0" quotePrefix="0" xfId="4"/>
    <xf numFmtId="172" fontId="0" fillId="0" borderId="0" applyAlignment="1" pivotButton="0" quotePrefix="0" xfId="0">
      <alignment horizontal="center"/>
    </xf>
    <xf numFmtId="0" fontId="0" fillId="0" borderId="38" pivotButton="0" quotePrefix="0" xfId="0"/>
    <xf numFmtId="170" fontId="0" fillId="0" borderId="0" applyAlignment="1" pivotButton="0" quotePrefix="0" xfId="0">
      <alignment horizontal="center"/>
    </xf>
    <xf numFmtId="173" fontId="6" fillId="4" borderId="4" applyAlignment="1" pivotButton="0" quotePrefix="0" xfId="0">
      <alignment horizontal="center" vertical="center"/>
    </xf>
    <xf numFmtId="170" fontId="21" fillId="0" borderId="0" pivotButton="0" quotePrefix="0" xfId="0"/>
    <xf numFmtId="170" fontId="7" fillId="3" borderId="44" applyAlignment="1" pivotButton="0" quotePrefix="0" xfId="0">
      <alignment horizontal="center" vertical="center"/>
    </xf>
    <xf numFmtId="172" fontId="6" fillId="8" borderId="3" applyAlignment="1" pivotButton="0" quotePrefix="0" xfId="0">
      <alignment horizontal="center" vertical="center"/>
    </xf>
    <xf numFmtId="172" fontId="6" fillId="0" borderId="3" applyAlignment="1" pivotButton="0" quotePrefix="0" xfId="0">
      <alignment horizontal="center" vertical="center"/>
    </xf>
    <xf numFmtId="172" fontId="6" fillId="0" borderId="40" applyAlignment="1" pivotButton="0" quotePrefix="0" xfId="0">
      <alignment horizontal="center" vertical="center"/>
    </xf>
  </cellXfs>
  <cellStyles count="5">
    <cellStyle name="Normal" xfId="0" builtinId="0"/>
    <cellStyle name="Porcentagem" xfId="1" builtinId="5"/>
    <cellStyle name="Normal 5" xfId="2"/>
    <cellStyle name="Moeda" xfId="3" builtinId="4"/>
    <cellStyle name="Vírgula" xfId="4" builtinId="3"/>
  </cellStyles>
  <dxfs count="27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4" formatCode="0.00%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65" formatCode="0.0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67" formatCode="0.00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charset val="1"/>
        <family val="2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rgb="FF003300"/>
          <bgColor rgb="FF000000"/>
        </patternFill>
      </fill>
      <alignment horizontal="center" vertical="center"/>
    </dxf>
    <dxf>
      <font>
        <name val="Arial"/>
        <family val="2"/>
        <color auto="1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4" formatCode="0.00%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67" formatCode="0.0000"/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charset val="1"/>
        <family val="2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rgb="FF003300"/>
          <bgColor rgb="FF000000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alignment horizontal="center" vertical="center" wrapText="1"/>
    </dxf>
    <dxf>
      <font>
        <name val="Arial"/>
        <family val="2"/>
        <color auto="1"/>
      </font>
      <numFmt numFmtId="0" formatCode="General"/>
      <fill>
        <patternFill>
          <fgColor rgb="FF000000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4" formatCode="0.00%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65" formatCode="0.0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65" formatCode="0.0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67" formatCode="0.00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fill>
        <patternFill>
          <fgColor rgb="FF000000"/>
          <bgColor auto="1"/>
        </patternFill>
      </fill>
      <alignment horizontal="center" vertical="center"/>
    </dxf>
    <dxf>
      <font>
        <name val="Arial"/>
        <charset val="1"/>
        <family val="2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rgb="FF003300"/>
          <bgColor rgb="FF000000"/>
        </patternFill>
      </fill>
      <alignment horizontal="center" vertical="center"/>
    </dxf>
    <dxf>
      <font>
        <name val="Arial"/>
        <family val="2"/>
        <color auto="1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4" formatCode="0.00%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67" formatCode="0.00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70" formatCode="0.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charset val="1"/>
        <family val="2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rgb="FF003300"/>
          <bgColor rgb="FF000000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 patternType="solid">
          <fgColor indexed="64"/>
          <bgColor theme="9" tint="0.599993896298104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alignment horizontal="center" vertical="center" wrapText="1"/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rgb="FFFFFFFF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0" formatCode="General"/>
      <fill>
        <patternFill>
          <fgColor rgb="FF000000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14" formatCode="0.00%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67" formatCode="0.0000"/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numFmt numFmtId="0" formatCode="General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color auto="1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charset val="1"/>
        <family val="2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rgb="FF003300"/>
          <bgColor rgb="FF000000"/>
        </patternFill>
      </fill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indexed="64"/>
        </left>
      </border>
    </dxf>
    <dxf>
      <fill>
        <patternFill>
          <bgColor auto="1"/>
        </patternFill>
      </fill>
      <border outline="0">
        <left style="thin">
          <color indexed="64"/>
        </left>
      </border>
    </dxf>
    <dxf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0" formatCode="General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14" formatCode="0.00%"/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2" formatCode="0.0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numFmt numFmtId="165" formatCode="0.00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numFmt numFmtId="167" formatCode="0.000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numFmt numFmtId="170" formatCode="0.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0" formatCode="General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fill>
        <patternFill>
          <bgColor auto="1"/>
        </patternFill>
      </fill>
      <border outline="0">
        <right style="thin">
          <color indexed="64"/>
        </right>
      </border>
    </dxf>
    <dxf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theme="9" tint="0.5999938962981048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theme="9" tint="0.599993896298104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theme="9" tint="0.599993896298104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theme="9" tint="0.599993896298104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theme="9" tint="0.599993896298104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indexed="64"/>
          <bgColor theme="4"/>
        </patternFill>
      </fill>
      <alignment horizontal="center" vertical="bottom"/>
    </dxf>
    <dxf>
      <fill>
        <patternFill patternType="solid">
          <fgColor indexed="64"/>
          <bgColor theme="9" tint="0.5999938962981048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numFmt numFmtId="14" formatCode="0.00%"/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6" formatCode="0.0%"/>
    </dxf>
    <dxf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center"/>
      <protection locked="1" hidden="1"/>
    </dxf>
    <dxf>
      <numFmt numFmtId="164" formatCode="#,##0.0000"/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center"/>
      <protection locked="1" hidden="1"/>
    </dxf>
    <dxf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 patternType="solid">
          <fgColor indexed="64"/>
          <bgColor theme="9" tint="0.5999938962981048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color auto="1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1" formatCode="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0" formatCode="General"/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alignment horizontal="center" vertical="center" wrapText="1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467886"/>
      <rgbColor rgb="FF969696"/>
      <rgbColor rgb="FF003366"/>
      <rgbColor rgb="FF4E95D9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Copilot</author>
  </authors>
  <commentList>
    <comment ref="P1" authorId="0" shapeId="0">
      <text>
        <t>I_MIN: Mostra medida em metros do trecho para referencia de extensao.</t>
      </text>
    </comment>
    <comment ref="Q1" authorId="0" shapeId="0">
      <text>
        <t>IN_PADRAO: identifica este campo e serve para facilitar a leitura e conferencia dos dados desta aba.</t>
      </text>
    </comment>
    <comment ref="S1" authorId="0" shapeId="0">
      <text>
        <t>PARAMETRO: Mostra medida em metros do trecho para referencia de extensao.</t>
      </text>
    </comment>
    <comment ref="T1" authorId="0" shapeId="0">
      <text>
        <t>VALOR: identifica este campo e serve para facilitar a leitura e conferencia dos dados desta aba.</t>
      </text>
    </comment>
    <comment ref="U1" authorId="0" shapeId="0">
      <text>
        <t>UNIDADE: identifica este campo e serve para facilitar a leitura e conferencia dos dados desta aba.</t>
      </text>
    </comment>
    <comment ref="W1" authorId="0" shapeId="0">
      <text>
        <t>CONDUTOR: Informa o condutor vinculado ao ponto para identificacao do trecho.</t>
      </text>
    </comment>
    <comment ref="X1" authorId="0" shapeId="0">
      <text>
        <t>MATERIAL: Mostra medida em metros do trecho para referencia de extensao.</t>
      </text>
    </comment>
    <comment ref="Y1" authorId="0" shapeId="0">
      <text>
        <t>COD_CONDUTOR: Informa o condutor vinculado ao ponto para identificacao do trecho.</t>
      </text>
    </comment>
    <comment ref="M3" authorId="0" shapeId="0">
      <text>
        <t>TRAFO: Mostra o transformador atual/sugerido para o cenario analisado.</t>
      </text>
    </comment>
    <comment ref="N3" authorId="0" shapeId="0">
      <text>
        <t>Z%: identifica este campo e serve para facilitar a leitura e conferencia dos dados desta aba.</t>
      </text>
    </comment>
    <comment ref="N28" authorId="0" shapeId="0">
      <text>
        <t>Rede Com Estrutura: Mostra medida em metros do trecho para referencia de extensao.</t>
      </text>
    </comment>
    <comment ref="O28" authorId="0" shapeId="0">
      <text>
        <t>BT: identifica este campo e serve para facilitar a leitura e conferencia dos dados desta aba.</t>
      </text>
    </comment>
    <comment ref="N29" authorId="0" shapeId="0">
      <text>
        <t>Cabo 53 mm² CA – Nu e PVC: Mostra medida em metros do trecho para referencia de extensao.</t>
      </text>
    </comment>
    <comment ref="C30" authorId="0" shapeId="0">
      <text>
        <t>QTD Clientes: Mostra o percentual de QT do ponto para apoiar a priorizacao.</t>
      </text>
    </comment>
    <comment ref="D30" authorId="0" shapeId="0">
      <text>
        <t>Fator por área: identifica este campo e serve para facilitar a leitura e conferencia dos dados desta aba.</t>
      </text>
    </comment>
    <comment ref="E30" authorId="0" shapeId="0">
      <text>
        <t>Fator Diversificação: identifica este campo e serve para facilitar a leitura e conferencia dos dados desta aba.</t>
      </text>
    </comment>
    <comment ref="F30" authorId="0" shapeId="0">
      <text>
        <t>Demanda (KVA): Mostra a carga em kVA usada para analise e dimensionamento geral.</t>
      </text>
    </comment>
    <comment ref="N30" authorId="0" shapeId="0">
      <text>
        <t>Cabo 201 mm² CA - Nu e PVC: Mostra medida em metros do trecho para referencia de extensao.</t>
      </text>
    </comment>
    <comment ref="N31" authorId="0" shapeId="0">
      <text>
        <t>Cabo 70 mm² CA MMX: Mostra coordenada X para localizar o ponto no eixo horizontal.</t>
      </text>
    </comment>
    <comment ref="N32" authorId="0" shapeId="0">
      <text>
        <t>Cabo 185 mm² CA MMX: Mostra coordenada X para localizar o ponto no eixo horizontal.</t>
      </text>
    </comment>
    <comment ref="N33" authorId="0" shapeId="0">
      <text>
        <t>Cabo 240 mm² CA MMX: Mostra coordenada X para localizar o ponto no eixo horizontal.</t>
      </text>
    </comment>
    <comment ref="N35" authorId="0" shapeId="0">
      <text>
        <t>Rede Cabo Armado: Mostra medida em metros do trecho para referencia de extensao.</t>
      </text>
    </comment>
    <comment ref="N36" authorId="0" shapeId="0">
      <text>
        <t>Cabo armado 3X1X50 mm²+35 mm²: Mostra coordenada X para localizar o ponto no eixo horizontal.</t>
      </text>
    </comment>
    <comment ref="N37" authorId="0" shapeId="0">
      <text>
        <t>Cabo armado 3X1X95 mm²+50 mm²: Mostra coordenada X para localizar o ponto no eixo horizontal.</t>
      </text>
    </comment>
    <comment ref="N38" authorId="0" shapeId="0">
      <text>
        <t>Cabo armado 3X1X240 mm²+120 mm²: Mostra coordenada X para localizar o ponto no eixo horizontal.</t>
      </text>
    </comment>
    <comment ref="O39" authorId="0" shapeId="0">
      <text>
        <t>TRAFO: Mostra o transformador atual/sugerido para o cenario analisado.</t>
      </text>
    </comment>
    <comment ref="O49" authorId="0" shapeId="0">
      <text>
        <t>MT: Mostra medida em metros do trecho para referencia de extensao.</t>
      </text>
    </comment>
  </commentList>
</comments>
</file>

<file path=xl/comments/comment2.xml><?xml version="1.0" encoding="utf-8"?>
<comments xmlns="http://schemas.openxmlformats.org/spreadsheetml/2006/main">
  <authors>
    <author>Copilot</author>
  </authors>
  <commentList>
    <comment ref="K1" authorId="0" shapeId="0">
      <text>
        <t>PARAMETROS SCORE: Mostra a nota final da sugestao para apoiar a comparacao entre opcoes.</t>
      </text>
    </comment>
    <comment ref="K2" authorId="0" shapeId="0">
      <text>
        <t>Peso carga acumulada: Mostra o acumulado ate este ponto para acompanhar a evolucao dos valores.</t>
      </text>
    </comment>
    <comment ref="D3" authorId="0" shapeId="0">
      <text>
        <t>Cenario 2 trafos: Mostra o transformador atual/sugerido para o cenario analisado.</t>
      </text>
    </comment>
    <comment ref="K3" authorId="0" shapeId="0">
      <text>
        <t>Peso QT: Mostra o percentual de QT do ponto para apoiar a priorizacao.</t>
      </text>
    </comment>
    <comment ref="D4" authorId="0" shapeId="0">
      <text>
        <t>ESQ: identifica este campo e serve para facilitar a leitura e conferencia dos dados desta aba.</t>
      </text>
    </comment>
    <comment ref="K4" authorId="0" shapeId="0">
      <text>
        <t>Peso balanceamento: Mostra um indicador de equilibrio entre os lados apos a sugestao de corte.</t>
      </text>
    </comment>
    <comment ref="D5" authorId="0" shapeId="0">
      <text>
        <t>DIR: identifica este campo e serve para facilitar a leitura e conferencia dos dados desta aba.</t>
      </text>
    </comment>
    <comment ref="K5" authorId="0" shapeId="0">
      <text>
        <t>Penalidade distancia: Mostra indicador de distancia/posicao para comparar a distribuicao dos pontos.</t>
      </text>
    </comment>
    <comment ref="D6" authorId="0" shapeId="0">
      <text>
        <t>Status: Mostra o resultado geral da verificacao para leitura rapida.</t>
      </text>
    </comment>
    <comment ref="K6" authorId="0" shapeId="0">
      <text>
        <t>Penalidade saturacao: Mostra o nivel de saturacao para avaliar folga ou sobrecarga.</t>
      </text>
    </comment>
    <comment ref="K7" authorId="0" shapeId="0">
      <text>
        <t>Limite sat pos-corte: Mostra o nivel de saturacao para avaliar folga ou sobrecarga.</t>
      </text>
    </comment>
    <comment ref="K8" authorId="0" shapeId="0">
      <text>
        <t>Soma pesos (ideal 1,00): Mostra medida em metros do trecho para referencia de extensao.</t>
      </text>
    </comment>
    <comment ref="A10" authorId="0" shapeId="0">
      <text>
        <t>LADO ESQUERDO - TOP CORTES: Mostra o lado do circuito (ex.: esquerdo/direito) para separar a analise.</t>
      </text>
    </comment>
    <comment ref="A13" authorId="0" shapeId="0">
      <text>
        <t>RANK: Mostra a posicao no ranking, onde 1 representa a melhor sugestao.</t>
      </text>
    </comment>
    <comment ref="B13" authorId="0" shapeId="0">
      <text>
        <t>PONTO: Identifica o ponto de referencia deste registro e ajuda na localizacao dos dados.</t>
      </text>
    </comment>
    <comment ref="C13" authorId="0" shapeId="0">
      <text>
        <t>SUB_KVA: Mostra a carga em kVA usada para analise e dimensionamento geral.</t>
      </text>
    </comment>
    <comment ref="D13" authorId="0" shapeId="0">
      <text>
        <t>REM_KVA: Mostra a carga em kVA usada para analise e dimensionamento geral.</t>
      </text>
    </comment>
    <comment ref="E13" authorId="0" shapeId="0">
      <text>
        <t>CAP_SUG: Mostra a capacidade sugerida/considerada para atender a carga do ponto.</t>
      </text>
    </comment>
    <comment ref="F13" authorId="0" shapeId="0">
      <text>
        <t>SAT_NOVA: Mostra o nivel de saturacao para avaliar folga ou sobrecarga.</t>
      </text>
    </comment>
    <comment ref="G13" authorId="0" shapeId="0">
      <text>
        <t>QT_PONTO: Identifica o ponto de referencia deste registro e ajuda na localizacao dos dados.</t>
      </text>
    </comment>
    <comment ref="H13" authorId="0" shapeId="0">
      <text>
        <t>BAL: Mostra um indicador de equilibrio entre os lados apos a sugestao de corte.</t>
      </text>
    </comment>
    <comment ref="I13" authorId="0" shapeId="0">
      <text>
        <t>DIST_NORM: Mostra indicador de distancia/posicao para comparar a distribuicao dos pontos.</t>
      </text>
    </comment>
    <comment ref="J13" authorId="0" shapeId="0">
      <text>
        <t>SCORE: Mostra a nota final da sugestao para apoiar a comparacao entre opcoes.</t>
      </text>
    </comment>
    <comment ref="A30" authorId="0" shapeId="0">
      <text>
        <t>LADO DIREITO - TOP CORTES: Mostra o lado do circuito (ex.: esquerdo/direito) para separar a analise.</t>
      </text>
    </comment>
    <comment ref="A33" authorId="0" shapeId="0">
      <text>
        <t>RANK: Mostra a posicao no ranking, onde 1 representa a melhor sugestao.</t>
      </text>
    </comment>
    <comment ref="B33" authorId="0" shapeId="0">
      <text>
        <t>PONTO: Identifica o ponto de referencia deste registro e ajuda na localizacao dos dados.</t>
      </text>
    </comment>
    <comment ref="C33" authorId="0" shapeId="0">
      <text>
        <t>SUB_KVA: Mostra a carga em kVA usada para analise e dimensionamento geral.</t>
      </text>
    </comment>
    <comment ref="D33" authorId="0" shapeId="0">
      <text>
        <t>REM_KVA: Mostra a carga em kVA usada para analise e dimensionamento geral.</t>
      </text>
    </comment>
    <comment ref="E33" authorId="0" shapeId="0">
      <text>
        <t>CAP_SUG: Mostra a capacidade sugerida/considerada para atender a carga do ponto.</t>
      </text>
    </comment>
    <comment ref="F33" authorId="0" shapeId="0">
      <text>
        <t>SAT_NOVA: Mostra o nivel de saturacao para avaliar folga ou sobrecarga.</t>
      </text>
    </comment>
    <comment ref="G33" authorId="0" shapeId="0">
      <text>
        <t>QT_PONTO: Identifica o ponto de referencia deste registro e ajuda na localizacao dos dados.</t>
      </text>
    </comment>
    <comment ref="H33" authorId="0" shapeId="0">
      <text>
        <t>BAL: Mostra um indicador de equilibrio entre os lados apos a sugestao de corte.</t>
      </text>
    </comment>
    <comment ref="I33" authorId="0" shapeId="0">
      <text>
        <t>DIST_NORM: Mostra indicador de distancia/posicao para comparar a distribuicao dos pontos.</t>
      </text>
    </comment>
    <comment ref="J33" authorId="0" shapeId="0">
      <text>
        <t>SCORE: Mostra a nota final da sugestao para apoiar a comparacao entre opcoes.</t>
      </text>
    </comment>
  </commentList>
</comments>
</file>

<file path=xl/comments/comment3.xml><?xml version="1.0" encoding="utf-8"?>
<comments xmlns="http://schemas.openxmlformats.org/spreadsheetml/2006/main">
  <authors>
    <author>Copilot</author>
  </authors>
  <commentList>
    <comment ref="A1" authorId="0" shapeId="0">
      <text>
        <t>Ampacidade dos Condutores de Ramais de BT (A): Informa o condutor vinculado ao ponto para identificacao do trecho.</t>
      </text>
    </comment>
    <comment ref="A2" authorId="0" shapeId="0">
      <text>
        <t>Item: Mostra medida em metros do trecho para referencia de extensao.</t>
      </text>
    </comment>
    <comment ref="B2" authorId="0" shapeId="0">
      <text>
        <t>Condutores Fora de Padrão: Informa o condutor vinculado ao ponto para identificacao do trecho.</t>
      </text>
    </comment>
    <comment ref="M2" authorId="0" shapeId="0">
      <text>
        <t>Condutores Padrão: Informa o condutor vinculado ao ponto para identificacao do trecho.</t>
      </text>
    </comment>
    <comment ref="A3" authorId="0" shapeId="0">
      <text>
        <t>Condutor: Informa o condutor vinculado ao ponto para identificacao do trecho.</t>
      </text>
    </comment>
    <comment ref="M3" authorId="0" shapeId="0">
      <text>
        <t>13 DX: Mostra coordenada X para localizar o ponto no eixo horizontal.</t>
      </text>
    </comment>
    <comment ref="N3" authorId="0" shapeId="0">
      <text>
        <t>13 TX: Mostra coordenada X para localizar o ponto no eixo horizontal.</t>
      </text>
    </comment>
    <comment ref="O3" authorId="0" shapeId="0">
      <text>
        <t>13 QX: Mostra coordenada X para localizar o ponto no eixo horizontal.</t>
      </text>
    </comment>
    <comment ref="P3" authorId="0" shapeId="0">
      <text>
        <t>21 QX: Mostra coordenada X para localizar o ponto no eixo horizontal.</t>
      </text>
    </comment>
    <comment ref="Q3" authorId="0" shapeId="0">
      <text>
        <t>53 QX: Mostra coordenada X para localizar o ponto no eixo horizontal.</t>
      </text>
    </comment>
    <comment ref="R3" authorId="0" shapeId="0">
      <text>
        <t>85 QX: Mostra coordenada X para localizar o ponto no eixo horizontal.</t>
      </text>
    </comment>
    <comment ref="S3" authorId="0" shapeId="0">
      <text>
        <t>107 QX: Mostra coordenada X para localizar o ponto no eixo horizontal.</t>
      </text>
    </comment>
    <comment ref="B4" authorId="0" shapeId="0">
      <text>
        <t>CC: identifica este campo e serve para facilitar a leitura e conferencia dos dados desta aba.</t>
      </text>
    </comment>
    <comment ref="C4" authorId="0" shapeId="0">
      <text>
        <t>CC: identifica este campo e serve para facilitar a leitura e conferencia dos dados desta aba.</t>
      </text>
    </comment>
    <comment ref="D4" authorId="0" shapeId="0">
      <text>
        <t>CC: identifica este campo e serve para facilitar a leitura e conferencia dos dados desta aba.</t>
      </text>
    </comment>
    <comment ref="E4" authorId="0" shapeId="0">
      <text>
        <t>CC: identifica este campo e serve para facilitar a leitura e conferencia dos dados desta aba.</t>
      </text>
    </comment>
    <comment ref="F4" authorId="0" shapeId="0">
      <text>
        <t>CC: identifica este campo e serve para facilitar a leitura e conferencia dos dados desta aba.</t>
      </text>
    </comment>
    <comment ref="G4" authorId="0" shapeId="0">
      <text>
        <t>CC: identifica este campo e serve para facilitar a leitura e conferencia dos dados desta aba.</t>
      </text>
    </comment>
    <comment ref="H4" authorId="0" shapeId="0">
      <text>
        <t>CC: identifica este campo e serve para facilitar a leitura e conferencia dos dados desta aba.</t>
      </text>
    </comment>
    <comment ref="I4" authorId="0" shapeId="0">
      <text>
        <t>CC: identifica este campo e serve para facilitar a leitura e conferencia dos dados desta aba.</t>
      </text>
    </comment>
    <comment ref="J4" authorId="0" shapeId="0">
      <text>
        <t>CC: identifica este campo e serve para facilitar a leitura e conferencia dos dados desta aba.</t>
      </text>
    </comment>
    <comment ref="K4" authorId="0" shapeId="0">
      <text>
        <t>CC: identifica este campo e serve para facilitar a leitura e conferencia dos dados desta aba.</t>
      </text>
    </comment>
    <comment ref="L4" authorId="0" shapeId="0">
      <text>
        <t>CC: identifica este campo e serve para facilitar a leitura e conferencia dos dados desta aba.</t>
      </text>
    </comment>
    <comment ref="M4" authorId="0" shapeId="0">
      <text>
        <t>6 AWG: identifica este campo e serve para facilitar a leitura e conferencia dos dados desta aba.</t>
      </text>
    </comment>
    <comment ref="N4" authorId="0" shapeId="0">
      <text>
        <t>6 AWG: identifica este campo e serve para facilitar a leitura e conferencia dos dados desta aba.</t>
      </text>
    </comment>
    <comment ref="O4" authorId="0" shapeId="0">
      <text>
        <t>6 AWG: identifica este campo e serve para facilitar a leitura e conferencia dos dados desta aba.</t>
      </text>
    </comment>
    <comment ref="P4" authorId="0" shapeId="0">
      <text>
        <t>4 AWG: identifica este campo e serve para facilitar a leitura e conferencia dos dados desta aba.</t>
      </text>
    </comment>
    <comment ref="Q4" authorId="0" shapeId="0">
      <text>
        <t>1/0: identifica este campo e serve para facilitar a leitura e conferencia dos dados desta aba.</t>
      </text>
    </comment>
    <comment ref="R4" authorId="0" shapeId="0">
      <text>
        <t>3/0: identifica este campo e serve para facilitar a leitura e conferencia dos dados desta aba.</t>
      </text>
    </comment>
    <comment ref="S4" authorId="0" shapeId="0">
      <text>
        <t>4/0: identifica este campo e serve para facilitar a leitura e conferencia dos dados desta aba.</t>
      </text>
    </comment>
    <comment ref="T4" authorId="0" shapeId="0">
      <text>
        <t>MMX: Mostra coordenada X para localizar o ponto no eixo horizontal.</t>
      </text>
    </comment>
    <comment ref="U4" authorId="0" shapeId="0">
      <text>
        <t>MMX: Mostra coordenada X para localizar o ponto no eixo horizontal.</t>
      </text>
    </comment>
    <comment ref="A5" authorId="0" shapeId="0">
      <text>
        <t>Carregamento: Mostra medida em metros do trecho para referencia de extensao.</t>
      </text>
    </comment>
    <comment ref="A7" authorId="0" shapeId="0">
      <text>
        <t>Cabo de Rede: identifica este campo e serve para facilitar a leitura e conferencia dos dados desta aba.</t>
      </text>
    </comment>
    <comment ref="J7" authorId="0" shapeId="0">
      <text>
        <t>53 QX: Mostra coordenada X para localizar o ponto no eixo horizontal.</t>
      </text>
    </comment>
    <comment ref="K7" authorId="0" shapeId="0">
      <text>
        <t>85 QX: Mostra coordenada X para localizar o ponto no eixo horizontal.</t>
      </text>
    </comment>
    <comment ref="L7" authorId="0" shapeId="0">
      <text>
        <t>107 QX: Mostra coordenada X para localizar o ponto no eixo horizontal.</t>
      </text>
    </comment>
    <comment ref="B8" authorId="0" shapeId="0">
      <text>
        <t>AA: identifica este campo e serve para facilitar a leitura e conferencia dos dados desta aba.</t>
      </text>
    </comment>
    <comment ref="C8" authorId="0" shapeId="0">
      <text>
        <t>AC: identifica este campo e serve para facilitar a leitura e conferencia dos dados desta aba.</t>
      </text>
    </comment>
    <comment ref="D8" authorId="0" shapeId="0">
      <text>
        <t>AA: identifica este campo e serve para facilitar a leitura e conferencia dos dados desta aba.</t>
      </text>
    </comment>
    <comment ref="E8" authorId="0" shapeId="0">
      <text>
        <t>AC: identifica este campo e serve para facilitar a leitura e conferencia dos dados desta aba.</t>
      </text>
    </comment>
    <comment ref="F8" authorId="0" shapeId="0">
      <text>
        <t>A: identifica este campo e serve para facilitar a leitura e conferencia dos dados desta aba.</t>
      </text>
    </comment>
    <comment ref="G8" authorId="0" shapeId="0">
      <text>
        <t>AC: identifica este campo e serve para facilitar a leitura e conferencia dos dados desta aba.</t>
      </text>
    </comment>
    <comment ref="H8" authorId="0" shapeId="0">
      <text>
        <t>A: identifica este campo e serve para facilitar a leitura e conferencia dos dados desta aba.</t>
      </text>
    </comment>
    <comment ref="I8" authorId="0" shapeId="0">
      <text>
        <t>AC: identifica este campo e serve para facilitar a leitura e conferencia dos dados desta aba.</t>
      </text>
    </comment>
    <comment ref="J8" authorId="0" shapeId="0">
      <text>
        <t>1/0: identifica este campo e serve para facilitar a leitura e conferencia dos dados desta aba.</t>
      </text>
    </comment>
    <comment ref="K8" authorId="0" shapeId="0">
      <text>
        <t>3/0: identifica este campo e serve para facilitar a leitura e conferencia dos dados desta aba.</t>
      </text>
    </comment>
    <comment ref="L8" authorId="0" shapeId="0">
      <text>
        <t>4/0: identifica este campo e serve para facilitar a leitura e conferencia dos dados desta aba.</t>
      </text>
    </comment>
    <comment ref="M8" authorId="0" shapeId="0">
      <text>
        <t>MMX: Mostra coordenada X para localizar o ponto no eixo horizontal.</t>
      </text>
    </comment>
    <comment ref="N8" authorId="0" shapeId="0">
      <text>
        <t>MMX: Mostra coordenada X para localizar o ponto no eixo horizontal.</t>
      </text>
    </comment>
    <comment ref="A9" authorId="0" shapeId="0">
      <text>
        <t>R (Ohms): Mostra medida em metros do trecho para referencia de extensao.</t>
      </text>
    </comment>
    <comment ref="A10" authorId="0" shapeId="0">
      <text>
        <t>X (Ohms): Mostra coordenada X para localizar o ponto no eixo horizontal.</t>
      </text>
    </comment>
    <comment ref="A11" authorId="0" shapeId="0">
      <text>
        <t>Comercial: Mostra medida em metros do trecho para referencia de extensao.</t>
      </text>
    </comment>
    <comment ref="A12" authorId="0" shapeId="0">
      <text>
        <t>Residencial: identifica este campo e serve para facilitar a leitura e conferencia dos dados desta aba.</t>
      </text>
    </comment>
    <comment ref="A13" authorId="0" shapeId="0">
      <text>
        <t>Misto: Mostra medida em metros do trecho para referencia de extensao.</t>
      </text>
    </comment>
  </commentList>
</comments>
</file>

<file path=xl/comments/comment4.xml><?xml version="1.0" encoding="utf-8"?>
<comments xmlns="http://schemas.openxmlformats.org/spreadsheetml/2006/main">
  <authors>
    <author>Copilot</author>
  </authors>
  <commentList>
    <comment ref="A2" authorId="0" shapeId="0">
      <text>
        <t>CQT FINAL: Mostra o percentual de QT do ponto para apoiar a priorizacao.</t>
      </text>
    </comment>
  </commentList>
</comments>
</file>

<file path=xl/tables/table1.xml><?xml version="1.0" encoding="utf-8"?>
<table xmlns="http://schemas.openxmlformats.org/spreadsheetml/2006/main" id="1" name="CABOS" displayName="CABOS" ref="A1:I26" headerRowCount="1" totalsRowShown="0" headerRowDxfId="256">
  <autoFilter ref="A1:I26"/>
  <tableColumns count="9">
    <tableColumn id="1" name="CONDUTORES" dataDxfId="255" dataCellStyle="Normal 5"/>
    <tableColumn id="2" name="(A)" dataDxfId="254"/>
    <tableColumn id="3" name="Resistência" dataDxfId="253"/>
    <tableColumn id="4" name="Reatância" dataDxfId="252"/>
    <tableColumn id="5" name="α" dataDxfId="251"/>
    <tableColumn id="6" name="DIVISOR_R" dataDxfId="250"/>
    <tableColumn id="7" name="TEMP_LIM" dataDxfId="249" dataCellStyle="Normal 5"/>
    <tableColumn id="8" name="DELTA_TEMP_30" dataDxfId="248"/>
    <tableColumn id="9" name="K_TERM_30" dataDxfId="24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RAFOS_Z" displayName="TRAFOS_Z" ref="M3:N10" headerRowCount="1" totalsRowShown="0">
  <autoFilter ref="M3:N10"/>
  <tableColumns count="2">
    <tableColumn id="1" name="TRAFO" dataDxfId="246"/>
    <tableColumn id="2" name="Z%" dataDxfId="245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Disjuntores" displayName="TabelaDisjuntores" ref="P1:Q21" headerRowCount="1" totalsRowShown="0">
  <autoFilter ref="P1:Q21"/>
  <tableColumns count="2">
    <tableColumn id="1" name="I_MIN"/>
    <tableColumn id="2" name="IN_PADR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Parametros" displayName="TabelaParametros" ref="S1:U7" headerRowCount="1" totalsRowShown="0">
  <autoFilter ref="S1:U7"/>
  <tableColumns count="3">
    <tableColumn id="1" name="PARAMETRO"/>
    <tableColumn id="2" name="VALOR" dataDxfId="244"/>
    <tableColumn id="3" name="UNID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CondutoresMeta" displayName="TabelaCondutoresMeta" ref="W1:Y26" headerRowCount="1" totalsRowShown="0">
  <autoFilter ref="W1:Y26"/>
  <tableColumns count="3">
    <tableColumn id="1" name="CONDUTOR"/>
    <tableColumn id="2" name="MATERIAL">
      <calculatedColumnFormula>IF(ISNUMBER(FIND(" Cu",W2)),"CU",IF(ISNUMBER(FIND(" Al",W2)),"AL",IF(ISNUMBER(FIND(" AA",W2)),"AA","OUTRO")))</calculatedColumnFormula>
    </tableColumn>
    <tableColumn id="3" name="COD_CONDUTOR">
      <calculatedColumnFormula>UPPER(SUBSTITUTE(SUBSTITUTE(SUBSTITUTE(SUBSTITUTE(W2," - ","_")," ","_"),"-","_"),".",""))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a13" displayName="Tabela13" ref="C2:E63" headerRowCount="1" totalsRowShown="0" headerRowDxfId="243" dataDxfId="242">
  <autoFilter ref="C2:E63"/>
  <sortState ref="C3:E56">
    <sortCondition ref="C2:C56"/>
  </sortState>
  <tableColumns count="3">
    <tableColumn id="1" name="PONTO" dataDxfId="241"/>
    <tableColumn id="2" name="X" dataDxfId="240"/>
    <tableColumn id="3" name="Y" dataDxfId="2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a17" displayName="Tabela17" ref="A17:Y77" headerRowCount="1" totalsRowShown="0" headerRowDxfId="238" tableBorderDxfId="237">
  <autoFilter ref="A17:Y77"/>
  <tableColumns count="25">
    <tableColumn id="1" name="N° do Poste" dataDxfId="236"/>
    <tableColumn id="2" name="CC" dataDxfId="235"/>
    <tableColumn id="3" name="CC2" dataDxfId="234"/>
    <tableColumn id="4" name="CC3" dataDxfId="233"/>
    <tableColumn id="5" name="CC4" dataDxfId="232"/>
    <tableColumn id="6" name="CC5" dataDxfId="231"/>
    <tableColumn id="7" name="CC6" dataDxfId="230"/>
    <tableColumn id="8" name="CC7" dataDxfId="229"/>
    <tableColumn id="9" name="CC8" dataDxfId="228"/>
    <tableColumn id="10" name="CC9" dataDxfId="227"/>
    <tableColumn id="11" name="CC10" dataDxfId="226"/>
    <tableColumn id="12" name="CC11" dataDxfId="225"/>
    <tableColumn id="13" name="6 AWG" dataDxfId="224"/>
    <tableColumn id="14" name="6 AWG12" dataDxfId="223"/>
    <tableColumn id="15" name="6 AWG13" dataDxfId="222"/>
    <tableColumn id="16" name="4 AWG" dataDxfId="221"/>
    <tableColumn id="17" name="1/0" dataDxfId="220"/>
    <tableColumn id="18" name="3/0" dataDxfId="219"/>
    <tableColumn id="19" name="4/0" dataDxfId="218"/>
    <tableColumn id="20" name="MMX" dataDxfId="217"/>
    <tableColumn id="21" name="MMX14" dataDxfId="216"/>
    <tableColumn id="22" name="TOTAL PONTO" dataDxfId="215">
      <calculatedColumnFormula>B18*$B$5+C18*$C$5+D18*$D$5+E18*$E$5+F18*$F$5+G18*$G$5+H18*$H$5+I18*$I$5+J18*$J$5+K18*$K$5+L18*$L$5+M18*$M$5+N18*$N$5+O18*$O$5+P18*$P$5+Q18*$Q$5+R18*$R$5+S18*$S$5+T18*$T$5+U18*$U$5</calculatedColumnFormula>
    </tableColumn>
    <tableColumn id="23" name="KVA" dataDxfId="214">
      <calculatedColumnFormula>IFERROR($AA$24*(V18/($W$16)),0)</calculatedColumnFormula>
    </tableColumn>
    <tableColumn id="24" name="CLIENTES" dataDxfId="213">
      <calculatedColumnFormula>SUM(B18:U18)</calculatedColumnFormula>
    </tableColumn>
    <tableColumn id="25" name="KVA2" dataDxfId="212">
      <calculatedColumnFormula>IFERROR(VLOOKUP(X18,AUX_CLAN,4,),0)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GERAL" displayName="GERAL" ref="A8:M51" headerRowCount="1" totalsRowShown="0" headerRowDxfId="271" dataDxfId="270">
  <autoFilter ref="A8:M51"/>
  <tableColumns count="13">
    <tableColumn id="1" name="PONTO" dataDxfId="269"/>
    <tableColumn id="11" name="TRECHO" dataDxfId="268"/>
    <tableColumn id="12" name="M" dataDxfId="267"/>
    <tableColumn id="2" name="X" dataDxfId="266">
      <calculatedColumnFormula>IFERROR(VLOOKUP(GERAL[[#This Row],[PONTO]],COORD,2,0),"")</calculatedColumnFormula>
    </tableColumn>
    <tableColumn id="3" name="Y" dataDxfId="265">
      <calculatedColumnFormula>IFERROR(VLOOKUP(GERAL[[#This Row],[PONTO]],COORD,3,0),"")</calculatedColumnFormula>
    </tableColumn>
    <tableColumn id="4" name="CLIENTES" dataDxfId="264">
      <calculatedColumnFormula>IFERROR(VLOOKUP(GERAL[[#This Row],[PONTO]],RAMAIS_ATUAL,24,0),"")</calculatedColumnFormula>
    </tableColumn>
    <tableColumn id="10" name="CLT ACUMULADO" dataDxfId="263">
      <calculatedColumnFormula>IFERROR(SUMIF(GERAL[TRECHO],GERAL[[#This Row],[PONTO]],GERAL[CLT ACUMULADO])+GERAL[[#This Row],[CLIENTES]],"")</calculatedColumnFormula>
    </tableColumn>
    <tableColumn id="5" name="TOTAL DO TRECHO" dataDxfId="262">
      <calculatedColumnFormula>IFERROR(VLOOKUP(GERAL[[#This Row],[PONTO]],RAMAIS_ATUAL,IF($I$2="SIM",25,23),0),"")</calculatedColumnFormula>
    </tableColumn>
    <tableColumn id="9" name="ACUMULADA" dataDxfId="261">
      <calculatedColumnFormula>IFERROR(IF($I$2="SIM",VLOOKUP(GERAL[[#This Row],[CLT ACUMULADO]],AUX_CLAN,4,0),SUMIF(GERAL[TRECHO],GERAL[[#This Row],[PONTO]],GERAL[ACUMULADA])+GERAL[[#This Row],[TOTAL DO TRECHO]]),"")</calculatedColumnFormula>
    </tableColumn>
    <tableColumn id="6" name="SNAP" dataDxfId="260">
      <calculatedColumnFormula>IFERROR(SQRT((GERAL[[#This Row],[X]]-$P$11)^2+(GERAL[[#This Row],[Y]]-$P$12)^2),"")</calculatedColumnFormula>
    </tableColumn>
    <tableColumn id="13" name="LADO" dataDxfId="259"/>
    <tableColumn id="8" name="CONDUTOR" dataDxfId="258"/>
    <tableColumn id="7" name="CQT NO PONTO" dataDxfId="257" dataCellStyle="Porcentagem">
      <calculatedColumnFormula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calculatedColumnFormula>
    </tableColumn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Tabela7" displayName="Tabela7" ref="A7:Z14" headerRowCount="1">
  <autoFilter ref="A7:Z14"/>
  <tableColumns count="26">
    <tableColumn id="1" name="PONTO" dataDxfId="211"/>
    <tableColumn id="2" name="TRECHO" dataDxfId="210">
      <calculatedColumnFormula>IFERROR(IF(Tabela7[[#This Row],[PONTO]]="RAMAL",A7,VLOOKUP(Tabela7[[#This Row],[PONTO]],GERAL[],2,0)),"")</calculatedColumnFormula>
    </tableColumn>
    <tableColumn id="3" name="M" dataDxfId="209"/>
    <tableColumn id="4" name="X" dataDxfId="208">
      <calculatedColumnFormula>IFERROR(IF(Tabela7[[#This Row],[PONTO]]="RAMAL","",VLOOKUP(Tabela7[[#This Row],[PONTO]],GERAL[],4,0)),"")</calculatedColumnFormula>
    </tableColumn>
    <tableColumn id="5" name="Y" dataDxfId="207">
      <calculatedColumnFormula>IFERROR(IF(Tabela7[[#This Row],[PONTO]]="RAMAL","",VLOOKUP(Tabela7[[#This Row],[PONTO]],GERAL[],5,0)),"")</calculatedColumnFormula>
    </tableColumn>
    <tableColumn id="6" name="KVA PONTO" dataDxfId="206">
      <calculatedColumnFormula>IFERROR(IF(Tabela7[[#This Row],[PONTO]]="RAMAL",DMDI,VLOOKUP(Tabela7[[#This Row],[PONTO]],GERAL[],8,0)),"")</calculatedColumnFormula>
    </tableColumn>
    <tableColumn id="7" name="ACUMULADA" dataDxfId="205"/>
    <tableColumn id="8" name="CONDUTOR" dataDxfId="204"/>
    <tableColumn id="9" name="(A)" dataDxfId="203">
      <calculatedColumnFormula>IFERROR(Tabela7[[#This Row],[Ib]],"")</calculatedColumnFormula>
    </tableColumn>
    <tableColumn id="10" name="T" dataDxfId="202">
      <calculatedColumnFormula>IFERROR(IFERROR(Tabela7[[#This Row],[ACUMULADA]]/((IF(Tabela7[[#This Row],[FASE]]="MONO",T_LINHA_MONO,IF(Tabela7[[#This Row],[FASE]]="BIF",T_LINHA_TRF,T_LINHA_TRF*SQRT(3)))/1000)*VLOOKUP(Tabela7[[#This Row],[CONDUTOR]],CABOS[],9,0))+30,U8+60*(V8/X8)),"")</calculatedColumnFormula>
    </tableColumn>
    <tableColumn id="11" name="R CORR" dataDxfId="201">
      <calculatedColumnFormula>IFERROR((VLOOKUP(Tabela7[[#This Row],[CONDUTOR]],CABOS[],3,0)/VLOOKUP(Tabela7[[#This Row],[CONDUTOR]],CABOS[],6,0))*(1+VLOOKUP(Tabela7[[#This Row],[CONDUTOR]],CABOS[],5,0)*(Tabela7[[#This Row],[T]]-20)),"")</calculatedColumnFormula>
    </tableColumn>
    <tableColumn id="12" name="QT-PONTO" dataDxfId="200">
      <calculatedColumnFormula>IFERROR(IF(Tabela7[[#This Row],[FASE]]="MONO",6,IF(Tabela7[[#This Row],[FASE]]="BIF",2,1))*Tabela7[[#This Row],[ACUMULADA]]*(SQRT(Tabela7[[#This Row],[R CORR]]^2+VLOOKUP(Tabela7[[#This Row],[CONDUTOR]],CABOS[],4,0)^2)/(($P$7^2)/100))*Tabela7[[#This Row],[M]]*T_LINHA_MONO/100+IF(Tabela7[[#This Row],[TRECHO]]=0,T_LINHA_MONO*QT_MTTR,0),"")</calculatedColumnFormula>
    </tableColumn>
    <tableColumn id="13" name="Coluna1" dataDxfId="199">
      <calculatedColumnFormula>IFERROR(SUMIF(Tabela7[PONTO],Tabela7[[#This Row],[TRECHO]],Tabela7[Coluna1])+Tabela7[[#This Row],[QT-PONTO]],"")</calculatedColumnFormula>
    </tableColumn>
    <tableColumn id="14" name="QT %" dataDxfId="198">
      <calculatedColumnFormula>IFERROR(Tabela7[[#This Row],[Coluna1]]/T_LINHA_MONO,"")</calculatedColumnFormula>
    </tableColumn>
    <tableColumn id="15" name="127" dataDxfId="197">
      <calculatedColumnFormula>IFERROR(T_LINHA_MONO*(1-Tabela7[[#This Row],[QT %]]),"")</calculatedColumnFormula>
    </tableColumn>
    <tableColumn id="16" name="220" dataDxfId="196">
      <calculatedColumnFormula>IFERROR(T_LINHA_TRF*(1-Tabela7[[#This Row],[QT %]]),"")</calculatedColumnFormula>
    </tableColumn>
    <tableColumn id="17" name="TEMP2" dataDxfId="195">
      <calculatedColumnFormula>IFERROR(IF(Tabela7[[#This Row],[PROTECAO]]="OK","Protecao OK","Ajustar Disj/Condutor"),"")</calculatedColumnFormula>
    </tableColumn>
    <tableColumn id="18" name="FASE" dataDxfId="194"/>
    <tableColumn id="19" name="ETA" dataDxfId="193"/>
    <tableColumn id="20" name="METODO_INST" dataDxfId="192"/>
    <tableColumn id="21" name="TEMP_AMB"/>
    <tableColumn id="22" name="Ib" dataDxfId="191">
      <calculatedColumnFormula>IFERROR(IF(Tabela7[[#This Row],[FASE]]="MONO",Tabela7[[#This Row],[ACUMULADA]]*1000/(T_LINHA_TRF*Tabela7[[#This Row],[ETA]]),Tabela7[[#This Row],[ACUMULADA]]*1000/(SQRT(3)*$P$7*Tabela7[[#This Row],[ETA]])),"")</calculatedColumnFormula>
    </tableColumn>
    <tableColumn id="23" name="In" dataDxfId="190">
      <calculatedColumnFormula>IFERROR(VLOOKUP(Tabela7[[#This Row],[Ib]],TabelaDisjuntores[],2,TRUE),"")</calculatedColumnFormula>
    </tableColumn>
    <tableColumn id="24" name="Iz" dataDxfId="189">
      <calculatedColumnFormula>IFERROR(VLOOKUP(Tabela7[[#This Row],[CONDUTOR]],CABOS[],2,0),"")</calculatedColumnFormula>
    </tableColumn>
    <tableColumn id="25" name="PROTECAO"/>
    <tableColumn id="26" name="Coluna2">
      <calculatedColumnFormula>IFERROR(SQRT((Tabela7[[#This Row],[X]]-$AC$4)^2+(Tabela7[[#This Row],[Y]]-$AC$5)^2),0)</calculatedColumnFormula>
    </tableColumn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id="10" name="DIR_ATUAL" displayName="DIR_ATUAL" ref="A7:Z18" headerRowCount="1" totalsRowShown="0" headerRowDxfId="188" dataDxfId="187">
  <autoFilter ref="A7:Z18"/>
  <tableColumns count="26">
    <tableColumn id="1" name="PONTO" dataDxfId="186"/>
    <tableColumn id="2" name="TRECHO" dataDxfId="185">
      <calculatedColumnFormula>IFERROR(IF(DIR_ATUAL[[#This Row],[PONTO]]="RAMAL",A7,VLOOKUP(DIR_ATUAL[[#This Row],[PONTO]],GERAL[],2,0)),"")</calculatedColumnFormula>
    </tableColumn>
    <tableColumn id="3" name="M" dataDxfId="184">
      <calculatedColumnFormula>IFERROR(IF(DIR_ATUAL[[#This Row],[PONTO]]="RAMAL",15,VLOOKUP(DIR_ATUAL[[#This Row],[PONTO]],GERAL[],3,0)),"")</calculatedColumnFormula>
    </tableColumn>
    <tableColumn id="4" name="X" dataDxfId="183">
      <calculatedColumnFormula>IFERROR(IF(DIR_ATUAL[[#This Row],[PONTO]]="RAMAL","",VLOOKUP(DIR_ATUAL[[#This Row],[PONTO]],GERAL[],4,0)),"")</calculatedColumnFormula>
    </tableColumn>
    <tableColumn id="5" name="Y" dataDxfId="182">
      <calculatedColumnFormula>IFERROR(IF(DIR_ATUAL[[#This Row],[PONTO]]="RAMAL","",VLOOKUP(DIR_ATUAL[[#This Row],[PONTO]],GERAL[],5,0)),"")</calculatedColumnFormula>
    </tableColumn>
    <tableColumn id="6" name="KVA PONTO" dataDxfId="181">
      <calculatedColumnFormula>IFERROR(IF(DIR_ATUAL[[#This Row],[PONTO]]="RAMAL",DMDI,VLOOKUP(DIR_ATUAL[[#This Row],[PONTO]],GERAL[],8,0)),"")</calculatedColumnFormula>
    </tableColumn>
    <tableColumn id="7" name="ACUMULADA" dataDxfId="180">
      <calculatedColumnFormula>IFERROR(IF(DIR_ATUAL[[#This Row],[PONTO]]="RAMAL",DIR_ATUAL[[#This Row],[KVA PONTO]],VLOOKUP(DIR_ATUAL[[#This Row],[PONTO]],GERAL[],9,0)),"")</calculatedColumnFormula>
    </tableColumn>
    <tableColumn id="9" name="CONDUTOR" dataDxfId="179">
      <calculatedColumnFormula>IFERROR(VLOOKUP(DIR_ATUAL[[#This Row],[PONTO]],GERAL[],12,0),"")</calculatedColumnFormula>
    </tableColumn>
    <tableColumn id="11" name="(A)" dataDxfId="178">
      <calculatedColumnFormula>IFERROR(DIR_ATUAL[[#This Row],[Ib]],"")</calculatedColumnFormula>
    </tableColumn>
    <tableColumn id="13" name="T" dataDxfId="177">
      <calculatedColumnFormula>IFERROR(IFERROR(DIR_ATUAL[[#This Row],[ACUMULADA]]/((IF(DIR_ATUAL[[#This Row],[FASE]]="MONO",T_LINHA_MONO,IF(DIR_ATUAL[[#This Row],[FASE]]="BIF",T_LINHA_TRF,T_LINHA_TRF*SQRT(3)))/1000)*VLOOKUP(H8,CABOS[],9,0))+30,U8+60*(V8/X8)),"")</calculatedColumnFormula>
    </tableColumn>
    <tableColumn id="14" name="R CORR" dataDxfId="176">
      <calculatedColumnFormula>IFERROR((VLOOKUP(DIR_ATUAL[[#This Row],[CONDUTOR]],CABOS[],3,0)/VLOOKUP(DIR_ATUAL[[#This Row],[CONDUTOR]],CABOS[],6,0))*(1+VLOOKUP(DIR_ATUAL[[#This Row],[CONDUTOR]],CABOS[],5,0)*(DIR_ATUAL[[#This Row],[T]]-20)),"")</calculatedColumnFormula>
    </tableColumn>
    <tableColumn id="12" name="QT-PONTO" dataDxfId="175">
      <calculatedColumnFormula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calculatedColumnFormula>
    </tableColumn>
    <tableColumn id="15" name="Coluna1" dataDxfId="174" dataCellStyle="Porcentagem">
      <calculatedColumnFormula>IFERROR(SUMIF(DIR_ATUAL[PONTO],DIR_ATUAL[[#This Row],[TRECHO]],DIR_ATUAL[Coluna1])+DIR_ATUAL[[#This Row],[QT-PONTO]],"")</calculatedColumnFormula>
    </tableColumn>
    <tableColumn id="16" name="QT %" dataDxfId="173" dataCellStyle="Porcentagem">
      <calculatedColumnFormula>IFERROR(DIR_ATUAL[[#This Row],[Coluna1]]/T_LINHA_MONO,"")</calculatedColumnFormula>
    </tableColumn>
    <tableColumn id="17" name="127" dataDxfId="172">
      <calculatedColumnFormula>IFERROR(T_LINHA_MONO*(1-DIR_ATUAL[[#This Row],[QT %]]),"")</calculatedColumnFormula>
    </tableColumn>
    <tableColumn id="8" name="220" dataDxfId="171">
      <calculatedColumnFormula>IFERROR(T_LINHA_TRF*(1-DIR_ATUAL[[#This Row],[QT %]]),"")</calculatedColumnFormula>
    </tableColumn>
    <tableColumn id="18" name="TEMP2" dataDxfId="170">
      <calculatedColumnFormula>IFERROR(IF(DIR_ATUAL[[#This Row],[PROTECAO]]="OK","Protecao OK","Ajustar Disj/Condutor"),"")</calculatedColumnFormula>
    </tableColumn>
    <tableColumn id="10" name="FASE" dataDxfId="169">
      <calculatedColumnFormula>IF(DIR_ATUAL[[#This Row],[ETA]]=1,"MONO",IF(DIR_ATUAL[[#This Row],[ETA]]=2,"BIF","TRI"))</calculatedColumnFormula>
    </tableColumn>
    <tableColumn id="19" name="ETA" dataDxfId="168">
      <calculatedColumnFormula>1</calculatedColumnFormula>
    </tableColumn>
    <tableColumn id="20" name="METODO_INST" dataDxfId="167">
      <calculatedColumnFormula>"AEREO"</calculatedColumnFormula>
    </tableColumn>
    <tableColumn id="21" name="TEMP_AMB" dataDxfId="166">
      <calculatedColumnFormula>30</calculatedColumnFormula>
    </tableColumn>
    <tableColumn id="22" name="Ib" dataDxfId="165">
      <calculatedColumnFormula>IFERROR(IF(DIR_ATUAL[[#This Row],[FASE]]="MONO",DIR_ATUAL[[#This Row],[ACUMULADA]]*1000/(T_LINHA_TRF*DIR_ATUAL[[#This Row],[ETA]]),DIR_ATUAL[[#This Row],[ACUMULADA]]*1000/(SQRT(3)*$P$7*DIR_ATUAL[[#This Row],[ETA]])),"")</calculatedColumnFormula>
    </tableColumn>
    <tableColumn id="23" name="In" dataDxfId="164">
      <calculatedColumnFormula>IFERROR(VLOOKUP(DIR_ATUAL[[#This Row],[Ib]],TabelaDisjuntores[],2,TRUE),"")</calculatedColumnFormula>
    </tableColumn>
    <tableColumn id="24" name="Iz" dataDxfId="163">
      <calculatedColumnFormula>IFERROR(VLOOKUP(DIR_ATUAL[[#This Row],[CONDUTOR]],CABOS[],2,0),0)</calculatedColumnFormula>
    </tableColumn>
    <tableColumn id="25" name="PROTECAO" dataDxfId="162">
      <calculatedColumnFormula>IF(AND(DIR_ATUAL[[#This Row],[Ib]]&lt;=DIR_ATUAL[[#This Row],[In]],DIR_ATUAL[[#This Row],[In]]&lt;=DIR_ATUAL[[#This Row],[Iz]]),"OK","VERIFICAR")</calculatedColumnFormula>
    </tableColumn>
    <tableColumn id="26" name="Coluna2" dataDxfId="161">
      <calculatedColumnFormula>IFERROR(SQRT((DIR_ATUAL[[#This Row],[X]]-$AC$4)^2+(DIR_ATUAL[[#This Row],[Y]]-$AC$5)^2),0)</calculatedColumnFormula>
    </tableColumn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id="11" name="GERAL_PROJ" displayName="GERAL_PROJ" ref="A8:M23" headerRowCount="1" totalsRowShown="0" headerRowDxfId="160" dataDxfId="159">
  <autoFilter ref="A8:M23"/>
  <tableColumns count="13">
    <tableColumn id="1" name="PONTO" dataDxfId="158"/>
    <tableColumn id="11" name="TRECHO" dataDxfId="157"/>
    <tableColumn id="12" name="M" dataDxfId="156"/>
    <tableColumn id="2" name="X" dataDxfId="155">
      <calculatedColumnFormula>IFERROR(VLOOKUP(GERAL_PROJ[[#This Row],[PONTO]],Tabela13[],2,0),"")</calculatedColumnFormula>
    </tableColumn>
    <tableColumn id="3" name="Y" dataDxfId="154">
      <calculatedColumnFormula>IFERROR(VLOOKUP(GERAL_PROJ[[#This Row],[PONTO]],Tabela13[],3,0),"")</calculatedColumnFormula>
    </tableColumn>
    <tableColumn id="4" name="CLIENTES" dataDxfId="153">
      <calculatedColumnFormula>IFERROR(VLOOKUP(GERAL_PROJ[[#This Row],[PONTO]],RAMAIS_ATUAL,24,0),"")</calculatedColumnFormula>
    </tableColumn>
    <tableColumn id="10" name="CLT ACUMULADO" dataDxfId="152">
      <calculatedColumnFormula>IFERROR(SUMIF(GERAL_PROJ[TRECHO],GERAL_PROJ[[#This Row],[PONTO]],GERAL_PROJ[CLT ACUMULADO])+GERAL_PROJ[[#This Row],[CLIENTES]],"")</calculatedColumnFormula>
    </tableColumn>
    <tableColumn id="5" name="TOTAL DO TRECHO" dataDxfId="151">
      <calculatedColumnFormula>IFERROR(VLOOKUP(GERAL_PROJ[[#This Row],[PONTO]],RAMAIS_ATUAL,IF($I$2="SIM",25,23),0),"")</calculatedColumnFormula>
    </tableColumn>
    <tableColumn id="9" name="ACUMULADA" dataDxfId="150">
      <calculatedColumnFormula>IFERROR(IF($I$2="SIM",VLOOKUP(GERAL_PROJ[[#This Row],[CLT ACUMULADO]],AUX_CLAN,4,0),SUMIF(GERAL_PROJ[TRECHO],GERAL_PROJ[[#This Row],[PONTO]],GERAL_PROJ[ACUMULADA])+GERAL_PROJ[[#This Row],[TOTAL DO TRECHO]]),"")</calculatedColumnFormula>
    </tableColumn>
    <tableColumn id="6" name="SNAP" dataDxfId="149">
      <calculatedColumnFormula>IFERROR(SQRT((GERAL_PROJ[[#This Row],[X]]-$P$11)^2+(GERAL_PROJ[[#This Row],[Y]]-$P$12)^2),"")</calculatedColumnFormula>
    </tableColumn>
    <tableColumn id="13" name="LADO" dataDxfId="148"/>
    <tableColumn id="8" name="CONDUTOR" dataDxfId="147"/>
    <tableColumn id="7" name="CQT NO PONTO" dataDxfId="146" dataCellStyle="Porcentagem">
      <calculatedColumnFormula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calculatedColumnFormula>
    </tableColumn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id="12" name="ESQ_PROJ1" displayName="ESQ_PROJ1" ref="A7:Z12" headerRowCount="1" totalsRowShown="0" headerRowDxfId="145" dataDxfId="144">
  <autoFilter ref="A7:Z12"/>
  <tableColumns count="26">
    <tableColumn id="1" name="PONTO" dataDxfId="143"/>
    <tableColumn id="2" name="TRECHO" dataDxfId="142">
      <calculatedColumnFormula>IF(ESQ_PROJ1[[#This Row],[PONTO]]="RAMAL",A7,VLOOKUP(ESQ_PROJ1[[#This Row],[PONTO]],pontos,2,0))</calculatedColumnFormula>
    </tableColumn>
    <tableColumn id="3" name="M" dataDxfId="141">
      <calculatedColumnFormula>IF(ESQ_PROJ1[[#This Row],[PONTO]]="RAMAL",15,VLOOKUP(ESQ_PROJ1[[#This Row],[PONTO]],pontos,3,0))</calculatedColumnFormula>
    </tableColumn>
    <tableColumn id="4" name="X" dataDxfId="140">
      <calculatedColumnFormula>IFERROR(IF(ESQ_PROJ1[[#This Row],[PONTO]]="RAMAL","",VLOOKUP(ESQ_PROJ1[[#This Row],[PONTO]],GERAL_PROJ[],4,0)),0)</calculatedColumnFormula>
    </tableColumn>
    <tableColumn id="5" name="Y" dataDxfId="139">
      <calculatedColumnFormula>IFERROR(IF(ESQ_PROJ1[[#This Row],[PONTO]]="RAMAL","",VLOOKUP(ESQ_PROJ1[[#This Row],[PONTO]],GERAL_PROJ[],5,0)),0)</calculatedColumnFormula>
    </tableColumn>
    <tableColumn id="6" name="KVA PONTO" dataDxfId="138">
      <calculatedColumnFormula>IFERROR(IF(ESQ_PROJ1[[#This Row],[PONTO]]="RAMAL",DMDI,VLOOKUP(ESQ_PROJ1[[#This Row],[PONTO]],GERAL_PROJ[],8,0)),0)</calculatedColumnFormula>
    </tableColumn>
    <tableColumn id="7" name="ACUMULADA" dataDxfId="137">
      <calculatedColumnFormula>IFERROR(IF(ESQ_PROJ1[[#This Row],[PONTO]]="RAMAL",ESQ_PROJ1[[#This Row],[KVA PONTO]],VLOOKUP(ESQ_PROJ1[[#This Row],[PONTO]],GERAL_PROJ[],9,0)),0)</calculatedColumnFormula>
    </tableColumn>
    <tableColumn id="9" name="CONDUTOR" dataDxfId="136"/>
    <tableColumn id="11" name="(A)" dataDxfId="135">
      <calculatedColumnFormula>ESQ_PROJ1[[#This Row],[Ib]]</calculatedColumnFormula>
    </tableColumn>
    <tableColumn id="13" name="T" dataDxfId="134">
      <calculatedColumnFormula>ESQ_PROJ1[[#This Row],[TEMP_AMB]]+60*(ESQ_PROJ1[[#This Row],[Ib]]/ESQ_PROJ1[[#This Row],[Iz]])</calculatedColumnFormula>
    </tableColumn>
    <tableColumn id="14" name="R CORR" dataDxfId="133">
      <calculatedColumnFormula>IFERROR((VLOOKUP(ESQ_PROJ1[[#This Row],[CONDUTOR]],CABOS[],3,0)/VLOOKUP(ESQ_PROJ1[[#This Row],[CONDUTOR]],CABOS[],6,0))*(1+VLOOKUP(ESQ_PROJ1[[#This Row],[CONDUTOR]],CABOS[],5,0)*(ESQ_PROJ1[[#This Row],[T]]-20)),0)</calculatedColumnFormula>
    </tableColumn>
    <tableColumn id="12" name="QT-PONTO" dataDxfId="132">
      <calculatedColumnFormula>IFERROR(IF(ESQ_PROJ1[[#This Row],[FASE]]="MONO",6,IF(ESQ_PROJ1[[#This Row],[FASE]]="BIF",2,1))*ESQ_PROJ1[[#This Row],[ACUMULADA]]*(SQRT(ESQ_PROJ1[[#This Row],[R CORR]]^2+VLOOKUP(ESQ_PROJ1[[#This Row],[CONDUTOR]],CABOS[],4,0)^2)/(($P$7^2)/100))*ESQ_PROJ1[[#This Row],[M]]*127/100+IF(ESQ_PROJ1[[#This Row],[TRECHO]]=0,127*QT_MTTR2,0),0)</calculatedColumnFormula>
    </tableColumn>
    <tableColumn id="15" name="Coluna1" dataDxfId="131" dataCellStyle="Porcentagem">
      <calculatedColumnFormula>IFERROR(SUMIF(ESQ_PROJ1[PONTO],ESQ_PROJ1[[#This Row],[TRECHO]],ESQ_PROJ1[Coluna1])+ESQ_PROJ1[[#This Row],[QT-PONTO]],0)</calculatedColumnFormula>
    </tableColumn>
    <tableColumn id="16" name="QT %" dataDxfId="130">
      <calculatedColumnFormula>ESQ_PROJ1[[#This Row],[Coluna1]]/127</calculatedColumnFormula>
    </tableColumn>
    <tableColumn id="17" name="127" dataDxfId="129">
      <calculatedColumnFormula>127-(127*ESQ_PROJ1[[#This Row],[QT %]])</calculatedColumnFormula>
    </tableColumn>
    <tableColumn id="8" name="220" dataDxfId="128">
      <calculatedColumnFormula>220-(220*ESQ_PROJ1[[#This Row],[QT %]])</calculatedColumnFormula>
    </tableColumn>
    <tableColumn id="18" name="TEMP2" dataDxfId="127">
      <calculatedColumnFormula>IF(ESQ_PROJ1[[#This Row],[PROTECAO]]="OK","Protecao OK","Ajustar Disj/Condutor")</calculatedColumnFormula>
    </tableColumn>
    <tableColumn id="10" name="FASE" dataDxfId="126">
      <calculatedColumnFormula>"TRI"</calculatedColumnFormula>
    </tableColumn>
    <tableColumn id="19" name="ETA" dataDxfId="125">
      <calculatedColumnFormula>1</calculatedColumnFormula>
    </tableColumn>
    <tableColumn id="20" name="METODO_INST" dataDxfId="124">
      <calculatedColumnFormula>"AEREO"</calculatedColumnFormula>
    </tableColumn>
    <tableColumn id="21" name="TEMP_AMB" dataDxfId="123">
      <calculatedColumnFormula>30</calculatedColumnFormula>
    </tableColumn>
    <tableColumn id="22" name="Ib" dataDxfId="122">
      <calculatedColumnFormula>IF(ESQ_PROJ1[[#This Row],[FASE]]="MONO",ESQ_PROJ1[[#This Row],[ACUMULADA]]*1000/(220*ESQ_PROJ1[[#This Row],[ETA]]),ESQ_PROJ1[[#This Row],[ACUMULADA]]*1000/(SQRT(3)*$P$7*ESQ_PROJ1[[#This Row],[ETA]]))</calculatedColumnFormula>
    </tableColumn>
    <tableColumn id="23" name="In" dataDxfId="121">
      <calculatedColumnFormula>VLOOKUP(ESQ_PROJ1[[#This Row],[Ib]],TabelaDisjuntores[],2,TRUE)</calculatedColumnFormula>
    </tableColumn>
    <tableColumn id="24" name="Iz" dataDxfId="120">
      <calculatedColumnFormula>VLOOKUP(ESQ_PROJ1[[#This Row],[CONDUTOR]],CABOS[],2,0)</calculatedColumnFormula>
    </tableColumn>
    <tableColumn id="25" name="PROTECAO" dataDxfId="119">
      <calculatedColumnFormula>IF(AND(ESQ_PROJ1[[#This Row],[Ib]]&lt;=ESQ_PROJ1[[#This Row],[In]],ESQ_PROJ1[[#This Row],[In]]&lt;=ESQ_PROJ1[[#This Row],[Iz]]),"OK","VERIFICAR")</calculatedColumnFormula>
    </tableColumn>
    <tableColumn id="26" name="Coluna2" dataDxfId="118">
      <calculatedColumnFormula>IFERROR(SQRT((ESQ_PROJ1[[#This Row],[X]]-$AC$4)^2+(ESQ_PROJ1[[#This Row],[Y]]-$AC$5)^2),0)</calculatedColumnFormula>
    </tableColumn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id="13" name="Tabela71020" displayName="Tabela71020" ref="A7:Z13" headerRowCount="1" totalsRowShown="0" headerRowDxfId="117" dataDxfId="116">
  <autoFilter ref="A7:Z13"/>
  <tableColumns count="26">
    <tableColumn id="1" name="PONTO" dataDxfId="115"/>
    <tableColumn id="2" name="TRECHO" dataDxfId="114">
      <calculatedColumnFormula>IF(Tabela71020[[#This Row],[PONTO]]="RAMAL",A7,VLOOKUP(Tabela71020[[#This Row],[PONTO]],pontos,2,0))</calculatedColumnFormula>
    </tableColumn>
    <tableColumn id="3" name="M" dataDxfId="113">
      <calculatedColumnFormula>IF(Tabela71020[[#This Row],[PONTO]]="RAMAL",15,VLOOKUP(Tabela71020[[#This Row],[PONTO]],pontos,3,0))</calculatedColumnFormula>
    </tableColumn>
    <tableColumn id="4" name="X" dataDxfId="112">
      <calculatedColumnFormula>IF(Tabela71020[[#This Row],[PONTO]]="RAMAL","",VLOOKUP(Tabela71020[[#This Row],[PONTO]],pontos,4,0))</calculatedColumnFormula>
    </tableColumn>
    <tableColumn id="5" name="Y" dataDxfId="111">
      <calculatedColumnFormula>IF(Tabela71020[[#This Row],[PONTO]]="RAMAL","",VLOOKUP(Tabela71020[[#This Row],[PONTO]],pontos,5,0))</calculatedColumnFormula>
    </tableColumn>
    <tableColumn id="6" name="KVA PONTO" dataDxfId="110">
      <calculatedColumnFormula>IF(Tabela71020[[#This Row],[PONTO]]="RAMAL",DMDI,VLOOKUP(Tabela71020[[#This Row],[PONTO]],pontos,8,0))</calculatedColumnFormula>
    </tableColumn>
    <tableColumn id="7" name="ACUMULADA" dataDxfId="109">
      <calculatedColumnFormula>IF(Tabela71020[[#This Row],[PONTO]]="RAMAL",Tabela71020[[#This Row],[KVA PONTO]],VLOOKUP(Tabela71020[[#This Row],[PONTO]],pontos,9,0))</calculatedColumnFormula>
    </tableColumn>
    <tableColumn id="9" name="CONDUTOR" dataDxfId="108"/>
    <tableColumn id="11" name="(A)" dataDxfId="107">
      <calculatedColumnFormula>Tabela71020[[#This Row],[Ib]]</calculatedColumnFormula>
    </tableColumn>
    <tableColumn id="13" name="T" dataDxfId="106">
      <calculatedColumnFormula>Tabela71020[[#This Row],[TEMP_AMB]]+60*(Tabela71020[[#This Row],[Ib]]/Tabela71020[[#This Row],[Iz]])</calculatedColumnFormula>
    </tableColumn>
    <tableColumn id="14" name="R CORR" dataDxfId="105">
      <calculatedColumnFormula>(VLOOKUP(Tabela71020[[#This Row],[CONDUTOR]],CABOS[],3,0)/VLOOKUP(Tabela71020[[#This Row],[CONDUTOR]],CABOS[],6,0))*(1+VLOOKUP(Tabela71020[[#This Row],[CONDUTOR]],CABOS[],5,0)*(Tabela71020[[#This Row],[T]]-20))</calculatedColumnFormula>
    </tableColumn>
    <tableColumn id="12" name="QT-PONTO" dataDxfId="104">
      <calculatedColumnFormula>IFERROR(IF(Tabela71020[[#This Row],[FASE]]="MONO",6,IF(Tabela71020[[#This Row],[FASE]]="BIF",2,1))*Tabela71020[[#This Row],[ACUMULADA]]*(SQRT(Tabela71020[[#This Row],[R CORR]]^2+VLOOKUP(Tabela71020[[#This Row],[CONDUTOR]],CABOS[],4,0)^2)/(($P$7^2)/100))*Tabela71020[[#This Row],[M]]*127/100+IF(Tabela71020[[#This Row],[TRECHO]]=0,127*QT_MTTR2,0),0)</calculatedColumnFormula>
    </tableColumn>
    <tableColumn id="15" name="Coluna1" dataDxfId="103" dataCellStyle="Porcentagem">
      <calculatedColumnFormula>SUMIF(Tabela71020[PONTO],Tabela71020[[#This Row],[TRECHO]],Tabela71020[Coluna1])+Tabela71020[[#This Row],[QT-PONTO]]</calculatedColumnFormula>
    </tableColumn>
    <tableColumn id="16" name="QT %" dataDxfId="102" dataCellStyle="Porcentagem">
      <calculatedColumnFormula>Tabela71020[[#This Row],[Coluna1]]/127</calculatedColumnFormula>
    </tableColumn>
    <tableColumn id="17" name="127" dataDxfId="101">
      <calculatedColumnFormula>127-(127*Tabela71020[[#This Row],[QT %]])</calculatedColumnFormula>
    </tableColumn>
    <tableColumn id="8" name="220" dataDxfId="100">
      <calculatedColumnFormula>220-(220*Tabela71020[[#This Row],[QT %]])</calculatedColumnFormula>
    </tableColumn>
    <tableColumn id="18" name="TEMP2" dataDxfId="99">
      <calculatedColumnFormula>IF(Tabela71020[[#This Row],[PROTECAO]]="OK","Protecao OK","Ajustar Disj/Condutor")</calculatedColumnFormula>
    </tableColumn>
    <tableColumn id="10" name="FASE" dataDxfId="98">
      <calculatedColumnFormula>"TRI"</calculatedColumnFormula>
    </tableColumn>
    <tableColumn id="19" name="ETA" dataDxfId="97">
      <calculatedColumnFormula>1</calculatedColumnFormula>
    </tableColumn>
    <tableColumn id="20" name="METODO_INST" dataDxfId="96">
      <calculatedColumnFormula>"AEREO"</calculatedColumnFormula>
    </tableColumn>
    <tableColumn id="21" name="TEMP_AMB" dataDxfId="95">
      <calculatedColumnFormula>30</calculatedColumnFormula>
    </tableColumn>
    <tableColumn id="22" name="Ib" dataDxfId="94">
      <calculatedColumnFormula>IF(Tabela71020[[#This Row],[FASE]]="MONO",Tabela71020[[#This Row],[ACUMULADA]]*1000/(220*Tabela71020[[#This Row],[ETA]]),Tabela71020[[#This Row],[ACUMULADA]]*1000/(SQRT(3)*$P$7*Tabela71020[[#This Row],[ETA]]))</calculatedColumnFormula>
    </tableColumn>
    <tableColumn id="23" name="In" dataDxfId="93">
      <calculatedColumnFormula>VLOOKUP(Tabela71020[[#This Row],[Ib]],TabelaDisjuntores[],2,TRUE)</calculatedColumnFormula>
    </tableColumn>
    <tableColumn id="24" name="Iz" dataDxfId="92">
      <calculatedColumnFormula>VLOOKUP(Tabela71020[[#This Row],[CONDUTOR]],CABOS[],2,0)</calculatedColumnFormula>
    </tableColumn>
    <tableColumn id="25" name="PROTECAO" dataDxfId="91">
      <calculatedColumnFormula>IF(AND(Tabela71020[[#This Row],[Ib]]&lt;=Tabela71020[[#This Row],[In]],Tabela71020[[#This Row],[In]]&lt;=Tabela71020[[#This Row],[Iz]]),"OK","VERIFICAR")</calculatedColumnFormula>
    </tableColumn>
    <tableColumn id="26" name="Coluna2" dataDxfId="90">
      <calculatedColumnFormula>IFERROR(SQRT((Tabela71020[[#This Row],[X]]-$AC$4)^2+(Tabela71020[[#This Row],[Y]]-$AC$5)^2),0)</calculatedColumnFormula>
    </tableColumn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id="14" name="GERAL_PROJ2" displayName="GERAL_PROJ2" ref="A8:M36" headerRowCount="1" totalsRowShown="0" headerRowDxfId="89" dataDxfId="88">
  <autoFilter ref="A8:M36"/>
  <tableColumns count="13">
    <tableColumn id="1" name="PONTO" dataDxfId="87"/>
    <tableColumn id="11" name="TRECHO" dataDxfId="86"/>
    <tableColumn id="12" name="M" dataDxfId="85"/>
    <tableColumn id="2" name="X" dataDxfId="84">
      <calculatedColumnFormula>IFERROR(VLOOKUP(GERAL_PROJ2[[#This Row],[PONTO]],Tabela13[],2,0),"")</calculatedColumnFormula>
    </tableColumn>
    <tableColumn id="3" name="Y" dataDxfId="83">
      <calculatedColumnFormula>IFERROR(VLOOKUP(GERAL_PROJ2[[#This Row],[PONTO]],Tabela13[],3,0),"")</calculatedColumnFormula>
    </tableColumn>
    <tableColumn id="4" name="CLIENTES" dataDxfId="82">
      <calculatedColumnFormula>IFERROR(VLOOKUP(GERAL_PROJ2[[#This Row],[PONTO]],RAMAIS_ATUAL,24,0),"")</calculatedColumnFormula>
    </tableColumn>
    <tableColumn id="10" name="CLT ACUMULADO" dataDxfId="81">
      <calculatedColumnFormula>IFERROR(SUMIF(GERAL_PROJ2[TRECHO],GERAL_PROJ2[[#This Row],[PONTO]],GERAL_PROJ2[CLT ACUMULADO])+GERAL_PROJ2[[#This Row],[CLIENTES]],"")</calculatedColumnFormula>
    </tableColumn>
    <tableColumn id="5" name="TOTAL DO TRECHO" dataDxfId="80">
      <calculatedColumnFormula>IFERROR(VLOOKUP(GERAL_PROJ2[[#This Row],[PONTO]],RAMAIS_ATUAL,IF($I$2="SIM",25,23),0),"")</calculatedColumnFormula>
    </tableColumn>
    <tableColumn id="9" name="ACUMULADA" dataDxfId="79">
      <calculatedColumnFormula>IFERROR(IF($I$2="SIM",VLOOKUP(GERAL_PROJ2[[#This Row],[CLT ACUMULADO]],AUX_CLAN,4,0),SUMIF(GERAL_PROJ2[TRECHO],GERAL_PROJ2[[#This Row],[PONTO]],GERAL_PROJ2[ACUMULADA])+GERAL_PROJ2[[#This Row],[TOTAL DO TRECHO]]),"")</calculatedColumnFormula>
    </tableColumn>
    <tableColumn id="6" name="SNAP" dataDxfId="78">
      <calculatedColumnFormula>IFERROR(SQRT((GERAL_PROJ2[[#This Row],[X]]-$P$11)^2+(GERAL_PROJ2[[#This Row],[Y]]-$P$12)^2),"")</calculatedColumnFormula>
    </tableColumn>
    <tableColumn id="13" name="LADO" dataDxfId="77"/>
    <tableColumn id="8" name="CONDUTOR" dataDxfId="76"/>
    <tableColumn id="7" name="CQT NO PONTO" dataDxfId="75" dataCellStyle="Porcentagem">
      <calculatedColumnFormula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calculatedColumnFormula>
    </tableColumn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id="15" name="ESQ_PROJ2" displayName="ESQ_PROJ2" ref="A7:Z17" headerRowCount="1" totalsRowShown="0" headerRowDxfId="74" dataDxfId="73">
  <autoFilter ref="A7:Z17"/>
  <tableColumns count="26">
    <tableColumn id="1" name="PONTO" dataDxfId="72"/>
    <tableColumn id="2" name="TRECHO" dataDxfId="71">
      <calculatedColumnFormula>IFERROR(IF(ESQ_PROJ2[[#This Row],[PONTO]]="RAMAL",A7,VLOOKUP(ESQ_PROJ2[[#This Row],[PONTO]],GERAL_PROJ2[],2,0)),0)</calculatedColumnFormula>
    </tableColumn>
    <tableColumn id="3" name="M" dataDxfId="70">
      <calculatedColumnFormula>IFERROR(IF(ESQ_PROJ2[[#This Row],[PONTO]]="RAMAL",15,VLOOKUP(ESQ_PROJ2[[#This Row],[PONTO]],GERAL_PROJ2[],3,0)),0)</calculatedColumnFormula>
    </tableColumn>
    <tableColumn id="4" name="X" dataDxfId="69">
      <calculatedColumnFormula>IF(ESQ_PROJ2[[#This Row],[PONTO]]="RAMAL","",VLOOKUP(ESQ_PROJ2[[#This Row],[PONTO]],pontos,4,0))</calculatedColumnFormula>
    </tableColumn>
    <tableColumn id="5" name="Y" dataDxfId="68">
      <calculatedColumnFormula>IFERROR(IF(ESQ_PROJ2[[#This Row],[PONTO]]="RAMAL","",VLOOKUP(ESQ_PROJ2[[#This Row],[PONTO]],GERAL_PROJ2[],5,0)),0)</calculatedColumnFormula>
    </tableColumn>
    <tableColumn id="6" name="KVA PONTO" dataDxfId="67">
      <calculatedColumnFormula>IFERROR(IF(ESQ_PROJ2[[#This Row],[PONTO]]="RAMAL",DMDI,VLOOKUP(ESQ_PROJ2[[#This Row],[PONTO]],GERAL_PROJ2[],8,0)),0)</calculatedColumnFormula>
    </tableColumn>
    <tableColumn id="7" name="ACUMULADA" dataDxfId="66">
      <calculatedColumnFormula>IFERROR(IF(ESQ_PROJ2[[#This Row],[PONTO]]="RAMAL",ESQ_PROJ2[[#This Row],[KVA PONTO]],VLOOKUP(ESQ_PROJ2[[#This Row],[PONTO]],GERAL_PROJ2[],9,0)),0)</calculatedColumnFormula>
    </tableColumn>
    <tableColumn id="9" name="CONDUTOR" dataDxfId="65">
      <calculatedColumnFormula>IFERROR(VLOOKUP(ESQ_PROJ2[[#This Row],[PONTO]],GERAL_PROJ2[],12,0),0)</calculatedColumnFormula>
    </tableColumn>
    <tableColumn id="11" name="(A)" dataDxfId="64">
      <calculatedColumnFormula>ESQ_PROJ2[[#This Row],[Ib]]</calculatedColumnFormula>
    </tableColumn>
    <tableColumn id="13" name="T" dataDxfId="63">
      <calculatedColumnFormula>ESQ_PROJ2[[#This Row],[TEMP_AMB]]+60*(ESQ_PROJ2[[#This Row],[Ib]]/ESQ_PROJ2[[#This Row],[Iz]])</calculatedColumnFormula>
    </tableColumn>
    <tableColumn id="14" name="R CORR" dataDxfId="62">
      <calculatedColumnFormula>IFERROR((VLOOKUP(ESQ_PROJ2[[#This Row],[CONDUTOR]],CABOS[],3,0)/VLOOKUP(ESQ_PROJ2[[#This Row],[CONDUTOR]],CABOS[],6,0))*(1+VLOOKUP(ESQ_PROJ2[[#This Row],[CONDUTOR]],CABOS[],5,0)*(ESQ_PROJ2[[#This Row],[T]]-20)),0)</calculatedColumnFormula>
    </tableColumn>
    <tableColumn id="12" name="QT-PONTO" dataDxfId="61">
      <calculatedColumnFormula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calculatedColumnFormula>
    </tableColumn>
    <tableColumn id="15" name="Coluna1" dataDxfId="60" dataCellStyle="Porcentagem">
      <calculatedColumnFormula>IFERROR(SUMIF(ESQ_PROJ2[PONTO],ESQ_PROJ2[[#This Row],[TRECHO]],ESQ_PROJ2[Coluna1])+ESQ_PROJ2[[#This Row],[QT-PONTO]],0)</calculatedColumnFormula>
    </tableColumn>
    <tableColumn id="16" name="QT %" dataDxfId="59">
      <calculatedColumnFormula>ESQ_PROJ2[[#This Row],[Coluna1]]/127</calculatedColumnFormula>
    </tableColumn>
    <tableColumn id="17" name="127" dataDxfId="58">
      <calculatedColumnFormula>127-(127*ESQ_PROJ2[[#This Row],[QT %]])</calculatedColumnFormula>
    </tableColumn>
    <tableColumn id="8" name="220" dataDxfId="57">
      <calculatedColumnFormula>220-(220*ESQ_PROJ2[[#This Row],[QT %]])</calculatedColumnFormula>
    </tableColumn>
    <tableColumn id="18" name="TEMP2" dataDxfId="56">
      <calculatedColumnFormula>IF(ESQ_PROJ2[[#This Row],[PROTECAO]]="OK","Protecao OK","Ajustar Disj/Condutor")</calculatedColumnFormula>
    </tableColumn>
    <tableColumn id="10" name="FASE" dataDxfId="55">
      <calculatedColumnFormula>"TRI"</calculatedColumnFormula>
    </tableColumn>
    <tableColumn id="19" name="ETA" dataDxfId="54">
      <calculatedColumnFormula>1</calculatedColumnFormula>
    </tableColumn>
    <tableColumn id="20" name="METODO_INST" dataDxfId="53">
      <calculatedColumnFormula>"AEREO"</calculatedColumnFormula>
    </tableColumn>
    <tableColumn id="21" name="TEMP_AMB" dataDxfId="52">
      <calculatedColumnFormula>30</calculatedColumnFormula>
    </tableColumn>
    <tableColumn id="22" name="Ib" dataDxfId="51">
      <calculatedColumnFormula>IF(ESQ_PROJ2[[#This Row],[FASE]]="MONO",ESQ_PROJ2[[#This Row],[ACUMULADA]]*1000/(220*ESQ_PROJ2[[#This Row],[ETA]]),ESQ_PROJ2[[#This Row],[ACUMULADA]]*1000/(SQRT(3)*$P$7*ESQ_PROJ2[[#This Row],[ETA]]))</calculatedColumnFormula>
    </tableColumn>
    <tableColumn id="23" name="In" dataDxfId="50">
      <calculatedColumnFormula>VLOOKUP(ESQ_PROJ2[[#This Row],[Ib]],TabelaDisjuntores[],2,TRUE)</calculatedColumnFormula>
    </tableColumn>
    <tableColumn id="24" name="Iz" dataDxfId="49">
      <calculatedColumnFormula>VLOOKUP(ESQ_PROJ2[[#This Row],[CONDUTOR]],CABOS[],2,0)</calculatedColumnFormula>
    </tableColumn>
    <tableColumn id="25" name="PROTECAO" dataDxfId="48">
      <calculatedColumnFormula>IF(AND(ESQ_PROJ2[[#This Row],[Ib]]&lt;=ESQ_PROJ2[[#This Row],[In]],ESQ_PROJ2[[#This Row],[In]]&lt;=ESQ_PROJ2[[#This Row],[Iz]]),"OK","VERIFICAR")</calculatedColumnFormula>
    </tableColumn>
    <tableColumn id="26" name="Coluna2" dataDxfId="47">
      <calculatedColumnFormula>IFERROR(SQRT((ESQ_PROJ2[[#This Row],[X]]-$AC$4)^2+(ESQ_PROJ2[[#This Row],[Y]]-$AC$5)^2),0)</calculatedColumnFormula>
    </tableColumn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id="16" name="Tabela71023" displayName="Tabela71023" ref="A7:Z13" headerRowCount="1" totalsRowShown="0" headerRowDxfId="46" dataDxfId="45">
  <autoFilter ref="A7:Z13"/>
  <tableColumns count="26">
    <tableColumn id="1" name="PONTO" dataDxfId="44"/>
    <tableColumn id="2" name="TRECHO" dataDxfId="43">
      <calculatedColumnFormula>IFERROR(IF(Tabela71023[[#This Row],[PONTO]]="RAMAL",A7,VLOOKUP(Tabela71023[[#This Row],[PONTO]],GERAL_PROJ2[],2,0)),0)</calculatedColumnFormula>
    </tableColumn>
    <tableColumn id="3" name="M" dataDxfId="42">
      <calculatedColumnFormula>IFERROR(IF(Tabela71023[[#This Row],[PONTO]]="RAMAL",15,VLOOKUP(Tabela71023[[#This Row],[PONTO]],GERAL_PROJ2[],3,0)),0)</calculatedColumnFormula>
    </tableColumn>
    <tableColumn id="4" name="X" dataDxfId="41">
      <calculatedColumnFormula>IFERROR(IF(Tabela71023[[#This Row],[PONTO]]="RAMAL","",VLOOKUP(Tabela71023[[#This Row],[PONTO]],GERAL_PROJ2[],4,0)),0)</calculatedColumnFormula>
    </tableColumn>
    <tableColumn id="5" name="Y" dataDxfId="40">
      <calculatedColumnFormula>IFERROR(IF(Tabela71023[[#This Row],[PONTO]]="RAMAL","",VLOOKUP(Tabela71023[[#This Row],[PONTO]],GERAL_PROJ2[],5,0)),0)</calculatedColumnFormula>
    </tableColumn>
    <tableColumn id="6" name="KVA PONTO" dataDxfId="39">
      <calculatedColumnFormula>IFERROR(IF(Tabela71023[[#This Row],[PONTO]]="RAMAL",DMDI,VLOOKUP(Tabela71023[[#This Row],[PONTO]],GERAL_PROJ2[],8,0)),0)</calculatedColumnFormula>
    </tableColumn>
    <tableColumn id="7" name="ACUMULADA" dataDxfId="38">
      <calculatedColumnFormula>IFERROR(IF(Tabela71023[[#This Row],[PONTO]]="RAMAL",Tabela71023[[#This Row],[KVA PONTO]],VLOOKUP(Tabela71023[[#This Row],[PONTO]],GERAL_PROJ2[],9,0)),0)</calculatedColumnFormula>
    </tableColumn>
    <tableColumn id="9" name="CONDUTOR" dataDxfId="37">
      <calculatedColumnFormula>IFERROR(VLOOKUP(Tabela71023[[#This Row],[PONTO]],GERAL_PROJ2[],12,0),0)</calculatedColumnFormula>
    </tableColumn>
    <tableColumn id="11" name="(A)" dataDxfId="36">
      <calculatedColumnFormula>Tabela71023[[#This Row],[Ib]]</calculatedColumnFormula>
    </tableColumn>
    <tableColumn id="13" name="T" dataDxfId="35">
      <calculatedColumnFormula>Tabela71023[[#This Row],[TEMP_AMB]]+60*(Tabela71023[[#This Row],[Ib]]/Tabela71023[[#This Row],[Iz]])</calculatedColumnFormula>
    </tableColumn>
    <tableColumn id="14" name="R CORR" dataDxfId="34">
      <calculatedColumnFormula>(VLOOKUP(Tabela71023[[#This Row],[CONDUTOR]],CABOS[],3,0)/VLOOKUP(Tabela71023[[#This Row],[CONDUTOR]],CABOS[],6,0))*(1+VLOOKUP(Tabela71023[[#This Row],[CONDUTOR]],CABOS[],5,0)*(Tabela71023[[#This Row],[T]]-20))</calculatedColumnFormula>
    </tableColumn>
    <tableColumn id="12" name="QT-PONTO" dataDxfId="33">
      <calculatedColumnFormula>IFERROR(IF(Tabela71023[[#This Row],[FASE]]="MONO",6,IF(Tabela71023[[#This Row],[FASE]]="BIF",2,1))*Tabela71023[[#This Row],[ACUMULADA]]*(SQRT(Tabela71023[[#This Row],[R CORR]]^2+VLOOKUP(Tabela71023[[#This Row],[CONDUTOR]],CABOS[],4,0)^2)/(($P$7^2)/100))*Tabela71023[[#This Row],[M]]*127/100+IF(Tabela71023[[#This Row],[TRECHO]]=0,127*QT_MTTR3,0),0)</calculatedColumnFormula>
    </tableColumn>
    <tableColumn id="15" name="Coluna1" dataDxfId="32" dataCellStyle="Porcentagem">
      <calculatedColumnFormula>SUMIF(Tabela71023[PONTO],Tabela71023[[#This Row],[TRECHO]],Tabela71023[Coluna1])+Tabela71023[[#This Row],[QT-PONTO]]</calculatedColumnFormula>
    </tableColumn>
    <tableColumn id="16" name="QT %" dataDxfId="31" dataCellStyle="Porcentagem">
      <calculatedColumnFormula>Tabela71023[[#This Row],[Coluna1]]/127</calculatedColumnFormula>
    </tableColumn>
    <tableColumn id="17" name="127" dataDxfId="30">
      <calculatedColumnFormula>127-(127*Tabela71023[[#This Row],[QT %]])</calculatedColumnFormula>
    </tableColumn>
    <tableColumn id="8" name="220" dataDxfId="29">
      <calculatedColumnFormula>220-(220*Tabela71023[[#This Row],[QT %]])</calculatedColumnFormula>
    </tableColumn>
    <tableColumn id="18" name="TEMP2" dataDxfId="28">
      <calculatedColumnFormula>IF(Tabela71023[[#This Row],[PROTECAO]]="OK","Protecao OK","Ajustar Disj/Condutor")</calculatedColumnFormula>
    </tableColumn>
    <tableColumn id="10" name="FASE" dataDxfId="27">
      <calculatedColumnFormula>"TRI"</calculatedColumnFormula>
    </tableColumn>
    <tableColumn id="19" name="ETA" dataDxfId="26">
      <calculatedColumnFormula>1</calculatedColumnFormula>
    </tableColumn>
    <tableColumn id="20" name="METODO_INST" dataDxfId="25">
      <calculatedColumnFormula>"AEREO"</calculatedColumnFormula>
    </tableColumn>
    <tableColumn id="21" name="TEMP_AMB" dataDxfId="24">
      <calculatedColumnFormula>30</calculatedColumnFormula>
    </tableColumn>
    <tableColumn id="22" name="Ib" dataDxfId="23">
      <calculatedColumnFormula>IF(Tabela71023[[#This Row],[FASE]]="MONO",Tabela71023[[#This Row],[ACUMULADA]]*1000/(220*Tabela71023[[#This Row],[ETA]]),Tabela71023[[#This Row],[ACUMULADA]]*1000/(SQRT(3)*$P$7*Tabela71023[[#This Row],[ETA]]))</calculatedColumnFormula>
    </tableColumn>
    <tableColumn id="23" name="In" dataDxfId="22">
      <calculatedColumnFormula>VLOOKUP(Tabela71023[[#This Row],[Ib]],TabelaDisjuntores[],2,TRUE)</calculatedColumnFormula>
    </tableColumn>
    <tableColumn id="24" name="Iz" dataDxfId="21">
      <calculatedColumnFormula>VLOOKUP(Tabela71023[[#This Row],[CONDUTOR]],CABOS[],2,0)</calculatedColumnFormula>
    </tableColumn>
    <tableColumn id="25" name="PROTECAO" dataDxfId="20">
      <calculatedColumnFormula>IF(AND(Tabela71023[[#This Row],[Ib]]&lt;=Tabela71023[[#This Row],[In]],Tabela71023[[#This Row],[In]]&lt;=Tabela71023[[#This Row],[Iz]]),"OK","VERIFICAR")</calculatedColumnFormula>
    </tableColumn>
    <tableColumn id="26" name="Coluna2" dataDxfId="19">
      <calculatedColumnFormula>IFERROR(SQRT((Tabela71023[[#This Row],[X]]-$AC$4)^2+(Tabela71023[[#This Row],[Y]]-$AC$5)^2),0)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Y411"/>
  <sheetViews>
    <sheetView workbookViewId="0">
      <selection activeCell="E14" sqref="E14"/>
    </sheetView>
  </sheetViews>
  <sheetFormatPr baseColWidth="8" defaultRowHeight="14.4"/>
  <cols>
    <col width="17.77734375" bestFit="1" customWidth="1" style="179" min="1" max="1"/>
    <col width="26.5546875" bestFit="1" customWidth="1" style="9" min="3" max="3"/>
    <col width="17.44140625" bestFit="1" customWidth="1" style="9" min="4" max="4"/>
    <col width="24.44140625" bestFit="1" customWidth="1" style="179" min="5" max="5"/>
    <col width="18.77734375" bestFit="1" customWidth="1" style="179" min="6" max="6"/>
    <col width="18.77734375" customWidth="1" style="179" min="7" max="9"/>
    <col width="11.5546875" bestFit="1" customWidth="1" style="179" min="10" max="10"/>
    <col width="13.44140625" customWidth="1" style="179" min="14" max="14"/>
    <col width="14" bestFit="1" customWidth="1" style="179" min="15" max="15"/>
    <col width="12" bestFit="1" customWidth="1" style="179" min="16" max="16"/>
    <col width="13.21875" customWidth="1" style="179" min="17" max="17"/>
    <col width="14.21875" customWidth="1" style="179" min="19" max="19"/>
    <col width="9" customWidth="1" style="179" min="20" max="20"/>
    <col width="10.77734375" customWidth="1" style="179" min="21" max="21"/>
    <col width="13" customWidth="1" style="179" min="23" max="23"/>
    <col width="11.88671875" customWidth="1" style="179" min="24" max="24"/>
    <col width="18" customWidth="1" style="179" min="25" max="25"/>
  </cols>
  <sheetData>
    <row r="1" ht="14.4" customHeight="1" s="179">
      <c r="A1" s="9" t="inlineStr">
        <is>
          <t>CONDUTORES</t>
        </is>
      </c>
      <c r="B1" s="9" t="inlineStr">
        <is>
          <t>(A)</t>
        </is>
      </c>
      <c r="C1" s="9" t="inlineStr">
        <is>
          <t>Resistência</t>
        </is>
      </c>
      <c r="D1" s="9" t="inlineStr">
        <is>
          <t>Reatância</t>
        </is>
      </c>
      <c r="E1" s="70" t="inlineStr">
        <is>
          <t>α</t>
        </is>
      </c>
      <c r="F1" s="70" t="inlineStr">
        <is>
          <t>DIVISOR_R</t>
        </is>
      </c>
      <c r="G1" s="70" t="inlineStr">
        <is>
          <t>TEMP_LIM</t>
        </is>
      </c>
      <c r="H1" s="70" t="inlineStr">
        <is>
          <t>DELTA_TEMP_30</t>
        </is>
      </c>
      <c r="I1" s="70" t="inlineStr">
        <is>
          <t>K_TERM_30</t>
        </is>
      </c>
      <c r="P1" t="inlineStr">
        <is>
          <t>I_MIN</t>
        </is>
      </c>
      <c r="Q1" t="inlineStr">
        <is>
          <t>IN_PADRAO</t>
        </is>
      </c>
      <c r="S1" t="inlineStr">
        <is>
          <t>PARAMETRO</t>
        </is>
      </c>
      <c r="T1" t="inlineStr">
        <is>
          <t>VALOR</t>
        </is>
      </c>
      <c r="U1" t="inlineStr">
        <is>
          <t>UNIDADE</t>
        </is>
      </c>
      <c r="W1" t="inlineStr">
        <is>
          <t>CONDUTOR</t>
        </is>
      </c>
      <c r="X1" t="inlineStr">
        <is>
          <t>MATERIAL</t>
        </is>
      </c>
      <c r="Y1" t="inlineStr">
        <is>
          <t>COD_CONDUTOR</t>
        </is>
      </c>
    </row>
    <row r="2">
      <c r="A2" s="52" t="inlineStr">
        <is>
          <t>25 Al - Arm</t>
        </is>
      </c>
      <c r="B2" s="9" t="n"/>
      <c r="C2" s="9" t="n">
        <v>1.5693</v>
      </c>
      <c r="D2" s="9" t="n">
        <v>0.1039</v>
      </c>
      <c r="E2" t="n">
        <v>0.00403</v>
      </c>
      <c r="F2" s="77" t="n">
        <v>1.2821</v>
      </c>
      <c r="G2" s="52">
        <f>IF(OR(A2="13 Al - DX",A2="13 Al - TX",A2="13 Al - QX",A2="21 Al - QX",A2="53 Al - QX"),70,90)</f>
        <v/>
      </c>
      <c r="H2" s="9">
        <f>G2-30</f>
        <v/>
      </c>
      <c r="I2" s="9">
        <f>IFERROR(B2/H2,0)</f>
        <v/>
      </c>
      <c r="J2" t="inlineStr">
        <is>
          <t>fator</t>
        </is>
      </c>
      <c r="K2" t="n">
        <v>0.92</v>
      </c>
      <c r="P2">
        <f>0</f>
        <v/>
      </c>
      <c r="Q2">
        <f>0</f>
        <v/>
      </c>
      <c r="S2" t="inlineStr">
        <is>
          <t>fator_potencia</t>
        </is>
      </c>
      <c r="T2">
        <f>K2</f>
        <v/>
      </c>
      <c r="U2" t="inlineStr">
        <is>
          <t>pu</t>
        </is>
      </c>
      <c r="W2">
        <f>INDEX(CABOS[CONDUTORES],1)</f>
        <v/>
      </c>
      <c r="X2">
        <f>IF(ISNUMBER(FIND(" Cu",W2)),"CU",IF(ISNUMBER(FIND(" Al",W2)),"AL",IF(ISNUMBER(FIND(" AA",W2)),"AA","OUTRO")))</f>
        <v/>
      </c>
      <c r="Y2">
        <f>UPPER(SUBSTITUTE(SUBSTITUTE(SUBSTITUTE(SUBSTITUTE(W2," - ","_")," ","_"),"-","_"),".",""))</f>
        <v/>
      </c>
    </row>
    <row r="3">
      <c r="A3" s="52" t="inlineStr">
        <is>
          <t>50 Al - Arm</t>
        </is>
      </c>
      <c r="B3" s="9" t="n"/>
      <c r="C3" s="9" t="n">
        <v>0.8388</v>
      </c>
      <c r="D3" s="9" t="n">
        <v>0.1039</v>
      </c>
      <c r="E3" t="n">
        <v>0.00403</v>
      </c>
      <c r="F3" s="77" t="n">
        <v>1.2821</v>
      </c>
      <c r="G3" s="52">
        <f>IF(OR(A3="13 Al - DX",A3="13 Al - TX",A3="13 Al - QX",A3="21 Al - QX",A3="53 Al - QX"),70,90)</f>
        <v/>
      </c>
      <c r="H3" s="9">
        <f>G3-30</f>
        <v/>
      </c>
      <c r="I3" s="9">
        <f>IFERROR(B3/H3,0)</f>
        <v/>
      </c>
      <c r="M3" t="inlineStr">
        <is>
          <t>TRAFO</t>
        </is>
      </c>
      <c r="N3" t="inlineStr">
        <is>
          <t>Z%</t>
        </is>
      </c>
      <c r="P3">
        <f>6</f>
        <v/>
      </c>
      <c r="Q3">
        <f>6</f>
        <v/>
      </c>
      <c r="S3" t="inlineStr">
        <is>
          <t>QT_MT</t>
        </is>
      </c>
      <c r="T3" s="76">
        <f>K4</f>
        <v/>
      </c>
      <c r="U3" t="inlineStr">
        <is>
          <t>pu</t>
        </is>
      </c>
      <c r="W3">
        <f>INDEX(CABOS[CONDUTORES],2)</f>
        <v/>
      </c>
      <c r="X3">
        <f>IF(ISNUMBER(FIND(" Cu",W3)),"CU",IF(ISNUMBER(FIND(" Al",W3)),"AL",IF(ISNUMBER(FIND(" AA",W3)),"AA","OUTRO")))</f>
        <v/>
      </c>
      <c r="Y3">
        <f>UPPER(SUBSTITUTE(SUBSTITUTE(SUBSTITUTE(SUBSTITUTE(W3," - ","_")," ","_"),"-","_"),".",""))</f>
        <v/>
      </c>
    </row>
    <row r="4">
      <c r="A4" s="52" t="inlineStr">
        <is>
          <t>95 Al - Arm</t>
        </is>
      </c>
      <c r="B4" s="9" t="n">
        <v>237</v>
      </c>
      <c r="C4" s="9" t="n">
        <v>0.4197</v>
      </c>
      <c r="D4" s="9" t="n">
        <v>0.098</v>
      </c>
      <c r="E4" t="n">
        <v>0.00403</v>
      </c>
      <c r="F4" s="77" t="n">
        <v>1.2821</v>
      </c>
      <c r="G4" s="52">
        <f>IF(OR(A4="13 Al - DX",A4="13 Al - TX",A4="13 Al - QX",A4="21 Al - QX",A4="53 Al - QX"),70,90)</f>
        <v/>
      </c>
      <c r="H4" s="9">
        <f>G4-30</f>
        <v/>
      </c>
      <c r="I4" s="9">
        <f>IFERROR(B4/H4,0)</f>
        <v/>
      </c>
      <c r="J4" t="inlineStr">
        <is>
          <t>QT_MT</t>
        </is>
      </c>
      <c r="K4" s="66" t="n">
        <v>0.0183</v>
      </c>
      <c r="M4" s="9" t="n">
        <v>30</v>
      </c>
      <c r="N4" s="65" t="n">
        <v>0.035</v>
      </c>
      <c r="P4">
        <f>10</f>
        <v/>
      </c>
      <c r="Q4">
        <f>10</f>
        <v/>
      </c>
      <c r="S4" t="inlineStr">
        <is>
          <t>TR_ATUAL</t>
        </is>
      </c>
      <c r="T4" s="59">
        <f>K6</f>
        <v/>
      </c>
      <c r="U4" t="inlineStr">
        <is>
          <t>kVA</t>
        </is>
      </c>
      <c r="W4">
        <f>INDEX(CABOS[CONDUTORES],3)</f>
        <v/>
      </c>
      <c r="X4">
        <f>IF(ISNUMBER(FIND(" Cu",W4)),"CU",IF(ISNUMBER(FIND(" Al",W4)),"AL",IF(ISNUMBER(FIND(" AA",W4)),"AA","OUTRO")))</f>
        <v/>
      </c>
      <c r="Y4">
        <f>UPPER(SUBSTITUTE(SUBSTITUTE(SUBSTITUTE(SUBSTITUTE(W4," - ","_")," ","_"),"-","_"),".",""))</f>
        <v/>
      </c>
    </row>
    <row r="5">
      <c r="A5" s="52" t="inlineStr">
        <is>
          <t>150 Al - Arm</t>
        </is>
      </c>
      <c r="B5" s="9" t="n"/>
      <c r="C5" s="9" t="n">
        <v>0.266</v>
      </c>
      <c r="D5" s="9" t="n">
        <v>0.096</v>
      </c>
      <c r="E5" t="n">
        <v>0.00403</v>
      </c>
      <c r="F5" s="77" t="n">
        <v>1.2821</v>
      </c>
      <c r="G5" s="52">
        <f>IF(OR(A5="13 Al - DX",A5="13 Al - TX",A5="13 Al - QX",A5="21 Al - QX",A5="53 Al - QX"),70,90)</f>
        <v/>
      </c>
      <c r="H5" s="9">
        <f>G5-30</f>
        <v/>
      </c>
      <c r="I5" s="9">
        <f>IFERROR(B5/H5,0)</f>
        <v/>
      </c>
      <c r="M5" s="9" t="n">
        <v>45</v>
      </c>
      <c r="N5" s="65" t="n">
        <v>0.035</v>
      </c>
      <c r="P5">
        <f>16</f>
        <v/>
      </c>
      <c r="Q5">
        <f>16</f>
        <v/>
      </c>
      <c r="S5" t="inlineStr">
        <is>
          <t>DEM_ATUAL</t>
        </is>
      </c>
      <c r="T5" s="59">
        <f>K7</f>
        <v/>
      </c>
      <c r="U5" t="inlineStr">
        <is>
          <t>kVA</t>
        </is>
      </c>
      <c r="W5">
        <f>INDEX(CABOS[CONDUTORES],4)</f>
        <v/>
      </c>
      <c r="X5">
        <f>IF(ISNUMBER(FIND(" Cu",W5)),"CU",IF(ISNUMBER(FIND(" Al",W5)),"AL",IF(ISNUMBER(FIND(" AA",W5)),"AA","OUTRO")))</f>
        <v/>
      </c>
      <c r="Y5">
        <f>UPPER(SUBSTITUTE(SUBSTITUTE(SUBSTITUTE(SUBSTITUTE(W5," - ","_")," ","_"),"-","_"),".",""))</f>
        <v/>
      </c>
    </row>
    <row r="6">
      <c r="A6" s="52" t="inlineStr">
        <is>
          <t>240 Al - Arm</t>
        </is>
      </c>
      <c r="B6" s="9" t="n">
        <v>395</v>
      </c>
      <c r="C6" s="9" t="n">
        <v>0.1665</v>
      </c>
      <c r="D6" s="9" t="n">
        <v>0.0858</v>
      </c>
      <c r="E6" t="n">
        <v>0.00403</v>
      </c>
      <c r="F6" s="77" t="n">
        <v>1.2821</v>
      </c>
      <c r="G6" s="52">
        <f>IF(OR(A6="13 Al - DX",A6="13 Al - TX",A6="13 Al - QX",A6="21 Al - QX",A6="53 Al - QX"),70,90)</f>
        <v/>
      </c>
      <c r="H6" s="9">
        <f>G6-30</f>
        <v/>
      </c>
      <c r="I6" s="9">
        <f>IFERROR(B6/H6,0)</f>
        <v/>
      </c>
      <c r="J6" t="inlineStr">
        <is>
          <t>TR_ATUAL</t>
        </is>
      </c>
      <c r="K6" s="59">
        <f>GERAL!O3</f>
        <v/>
      </c>
      <c r="M6" s="9" t="n">
        <v>75</v>
      </c>
      <c r="N6" s="65" t="n">
        <v>0.035</v>
      </c>
      <c r="P6">
        <f>20</f>
        <v/>
      </c>
      <c r="Q6">
        <f>20</f>
        <v/>
      </c>
      <c r="S6" t="inlineStr">
        <is>
          <t>QT_TR</t>
        </is>
      </c>
      <c r="T6" s="76">
        <f>K8</f>
        <v/>
      </c>
      <c r="U6" t="inlineStr">
        <is>
          <t>pu</t>
        </is>
      </c>
      <c r="W6">
        <f>INDEX(CABOS[CONDUTORES],5)</f>
        <v/>
      </c>
      <c r="X6">
        <f>IF(ISNUMBER(FIND(" Cu",W6)),"CU",IF(ISNUMBER(FIND(" Al",W6)),"AL",IF(ISNUMBER(FIND(" AA",W6)),"AA","OUTRO")))</f>
        <v/>
      </c>
      <c r="Y6">
        <f>UPPER(SUBSTITUTE(SUBSTITUTE(SUBSTITUTE(SUBSTITUTE(W6," - ","_")," ","_"),"-","_"),".",""))</f>
        <v/>
      </c>
    </row>
    <row r="7">
      <c r="A7" s="52" t="inlineStr">
        <is>
          <t>25 Al</t>
        </is>
      </c>
      <c r="B7" s="9" t="n"/>
      <c r="C7" s="9" t="n">
        <v>1.5693</v>
      </c>
      <c r="D7" s="9" t="n">
        <v>0.109</v>
      </c>
      <c r="E7" t="n">
        <v>0.00403</v>
      </c>
      <c r="F7" s="77" t="n">
        <v>1.2821</v>
      </c>
      <c r="G7" s="52">
        <f>IF(OR(A7="13 Al - DX",A7="13 Al - TX",A7="13 Al - QX",A7="21 Al - QX",A7="53 Al - QX"),70,90)</f>
        <v/>
      </c>
      <c r="H7" s="9">
        <f>G7-30</f>
        <v/>
      </c>
      <c r="I7" s="9">
        <f>IFERROR(B7/H7,0)</f>
        <v/>
      </c>
      <c r="J7" t="inlineStr">
        <is>
          <t>DEM_ATUAL</t>
        </is>
      </c>
      <c r="K7" s="59">
        <f>GERAL!I9</f>
        <v/>
      </c>
      <c r="M7" s="9" t="n">
        <v>112.5</v>
      </c>
      <c r="N7" s="65" t="n">
        <v>0.035</v>
      </c>
      <c r="P7">
        <f>25</f>
        <v/>
      </c>
      <c r="Q7">
        <f>25</f>
        <v/>
      </c>
      <c r="S7" t="inlineStr">
        <is>
          <t>QT_MTTR</t>
        </is>
      </c>
      <c r="T7" s="76">
        <f>K10</f>
        <v/>
      </c>
      <c r="U7" t="inlineStr">
        <is>
          <t>pu</t>
        </is>
      </c>
      <c r="W7">
        <f>INDEX(CABOS[CONDUTORES],6)</f>
        <v/>
      </c>
      <c r="X7">
        <f>IF(ISNUMBER(FIND(" Cu",W7)),"CU",IF(ISNUMBER(FIND(" Al",W7)),"AL",IF(ISNUMBER(FIND(" AA",W7)),"AA","OUTRO")))</f>
        <v/>
      </c>
      <c r="Y7">
        <f>UPPER(SUBSTITUTE(SUBSTITUTE(SUBSTITUTE(SUBSTITUTE(W7," - ","_")," ","_"),"-","_"),".",""))</f>
        <v/>
      </c>
    </row>
    <row r="8">
      <c r="A8" s="52" t="inlineStr">
        <is>
          <t>35 Cu</t>
        </is>
      </c>
      <c r="B8" s="9" t="n"/>
      <c r="C8" s="9" t="n">
        <v>0.6887</v>
      </c>
      <c r="D8" s="9" t="n">
        <v>0.1048</v>
      </c>
      <c r="E8" t="n">
        <v>0.00393</v>
      </c>
      <c r="F8" s="77" t="n">
        <v>1.2821</v>
      </c>
      <c r="G8" s="52">
        <f>IF(OR(A8="13 Al - DX",A8="13 Al - TX",A8="13 Al - QX",A8="21 Al - QX",A8="53 Al - QX"),70,90)</f>
        <v/>
      </c>
      <c r="H8" s="9">
        <f>G8-30</f>
        <v/>
      </c>
      <c r="I8" s="9">
        <f>IFERROR(B8/H8,0)</f>
        <v/>
      </c>
      <c r="J8" t="inlineStr">
        <is>
          <t>QT_TR</t>
        </is>
      </c>
      <c r="K8" s="66">
        <f>(DEM_ATUAL/TR_ATUAL)*VLOOKUP(TR_ATUAL,TRAFOS_Z[],2,0)</f>
        <v/>
      </c>
      <c r="M8" s="9" t="n">
        <v>150</v>
      </c>
      <c r="N8" s="65" t="n">
        <v>0.035</v>
      </c>
      <c r="P8">
        <f>32</f>
        <v/>
      </c>
      <c r="Q8">
        <f>32</f>
        <v/>
      </c>
      <c r="W8">
        <f>INDEX(CABOS[CONDUTORES],7)</f>
        <v/>
      </c>
      <c r="X8">
        <f>IF(ISNUMBER(FIND(" Cu",W8)),"CU",IF(ISNUMBER(FIND(" Al",W8)),"AL",IF(ISNUMBER(FIND(" AA",W8)),"AA","OUTRO")))</f>
        <v/>
      </c>
      <c r="Y8">
        <f>UPPER(SUBSTITUTE(SUBSTITUTE(SUBSTITUTE(SUBSTITUTE(W8," - ","_")," ","_"),"-","_"),".",""))</f>
        <v/>
      </c>
    </row>
    <row r="9">
      <c r="A9" s="52" t="inlineStr">
        <is>
          <t>70 Cu</t>
        </is>
      </c>
      <c r="B9" s="9" t="n"/>
      <c r="C9" s="9" t="n">
        <v>0.3523</v>
      </c>
      <c r="D9" s="9" t="n">
        <v>0.1024</v>
      </c>
      <c r="E9" t="n">
        <v>0.00393</v>
      </c>
      <c r="F9" s="77" t="n">
        <v>1.2821</v>
      </c>
      <c r="G9" s="52">
        <f>IF(OR(A9="13 Al - DX",A9="13 Al - TX",A9="13 Al - QX",A9="21 Al - QX",A9="53 Al - QX"),70,90)</f>
        <v/>
      </c>
      <c r="H9" s="9">
        <f>G9-30</f>
        <v/>
      </c>
      <c r="I9" s="9">
        <f>IFERROR(B9/H9,0)</f>
        <v/>
      </c>
      <c r="M9" s="9" t="n">
        <v>225</v>
      </c>
      <c r="N9" s="65" t="n">
        <v>0.035</v>
      </c>
      <c r="P9">
        <f>40</f>
        <v/>
      </c>
      <c r="Q9">
        <f>40</f>
        <v/>
      </c>
      <c r="W9">
        <f>INDEX(CABOS[CONDUTORES],8)</f>
        <v/>
      </c>
      <c r="X9">
        <f>IF(ISNUMBER(FIND(" Cu",W9)),"CU",IF(ISNUMBER(FIND(" Al",W9)),"AL",IF(ISNUMBER(FIND(" AA",W9)),"AA","OUTRO")))</f>
        <v/>
      </c>
      <c r="Y9">
        <f>UPPER(SUBSTITUTE(SUBSTITUTE(SUBSTITUTE(SUBSTITUTE(W9," - ","_")," ","_"),"-","_"),".",""))</f>
        <v/>
      </c>
    </row>
    <row r="10">
      <c r="A10" s="52" t="inlineStr">
        <is>
          <t>95 Al</t>
        </is>
      </c>
      <c r="B10" s="9" t="n"/>
      <c r="C10" s="9" t="n">
        <v>0.4195</v>
      </c>
      <c r="D10" s="9" t="n">
        <v>0.0958</v>
      </c>
      <c r="E10" t="n">
        <v>0.00403</v>
      </c>
      <c r="F10" s="77" t="n">
        <v>1.2821</v>
      </c>
      <c r="G10" s="52">
        <f>IF(OR(A10="13 Al - DX",A10="13 Al - TX",A10="13 Al - QX",A10="21 Al - QX",A10="53 Al - QX"),70,90)</f>
        <v/>
      </c>
      <c r="H10" s="9">
        <f>G10-30</f>
        <v/>
      </c>
      <c r="I10" s="9">
        <f>IFERROR(B10/H10,0)</f>
        <v/>
      </c>
      <c r="J10" t="inlineStr">
        <is>
          <t>QT_MTTR</t>
        </is>
      </c>
      <c r="K10" s="66">
        <f>QT_MT+QT_TR</f>
        <v/>
      </c>
      <c r="M10" s="9" t="n">
        <v>300</v>
      </c>
      <c r="N10" s="65" t="n">
        <v>0.035</v>
      </c>
      <c r="P10">
        <f>50</f>
        <v/>
      </c>
      <c r="Q10">
        <f>50</f>
        <v/>
      </c>
      <c r="W10">
        <f>INDEX(CABOS[CONDUTORES],9)</f>
        <v/>
      </c>
      <c r="X10">
        <f>IF(ISNUMBER(FIND(" Cu",W10)),"CU",IF(ISNUMBER(FIND(" Al",W10)),"AL",IF(ISNUMBER(FIND(" AA",W10)),"AA","OUTRO")))</f>
        <v/>
      </c>
      <c r="Y10">
        <f>UPPER(SUBSTITUTE(SUBSTITUTE(SUBSTITUTE(SUBSTITUTE(W10," - ","_")," ","_"),"-","_"),".",""))</f>
        <v/>
      </c>
    </row>
    <row r="11">
      <c r="A11" s="52" t="inlineStr">
        <is>
          <t>120 Cu</t>
        </is>
      </c>
      <c r="B11" s="9" t="n"/>
      <c r="C11" s="9" t="n">
        <v>0.2023</v>
      </c>
      <c r="D11" s="9" t="n">
        <v>0.09710000000000001</v>
      </c>
      <c r="E11" t="n">
        <v>0.00393</v>
      </c>
      <c r="F11" s="77" t="n">
        <v>1.2821</v>
      </c>
      <c r="G11" s="52">
        <f>IF(OR(A11="13 Al - DX",A11="13 Al - TX",A11="13 Al - QX",A11="21 Al - QX",A11="53 Al - QX"),70,90)</f>
        <v/>
      </c>
      <c r="H11" s="9">
        <f>G11-30</f>
        <v/>
      </c>
      <c r="I11" s="9">
        <f>IFERROR(B11/H11,0)</f>
        <v/>
      </c>
      <c r="P11">
        <f>63</f>
        <v/>
      </c>
      <c r="Q11">
        <f>63</f>
        <v/>
      </c>
      <c r="W11">
        <f>INDEX(CABOS[CONDUTORES],10)</f>
        <v/>
      </c>
      <c r="X11">
        <f>IF(ISNUMBER(FIND(" Cu",W11)),"CU",IF(ISNUMBER(FIND(" Al",W11)),"AL",IF(ISNUMBER(FIND(" AA",W11)),"AA","OUTRO")))</f>
        <v/>
      </c>
      <c r="Y11">
        <f>UPPER(SUBSTITUTE(SUBSTITUTE(SUBSTITUTE(SUBSTITUTE(W11," - ","_")," ","_"),"-","_"),".",""))</f>
        <v/>
      </c>
    </row>
    <row r="12">
      <c r="A12" s="52" t="inlineStr">
        <is>
          <t>240 Al</t>
        </is>
      </c>
      <c r="B12" s="9" t="n">
        <v>476</v>
      </c>
      <c r="C12" s="9" t="n">
        <v>0.1663</v>
      </c>
      <c r="D12" s="9" t="n">
        <v>0.0897</v>
      </c>
      <c r="E12" t="n">
        <v>0.00403</v>
      </c>
      <c r="F12" s="77" t="n">
        <v>1.2821</v>
      </c>
      <c r="G12" s="52">
        <f>IF(OR(A12="13 Al - DX",A12="13 Al - TX",A12="13 Al - QX",A12="21 Al - QX",A12="53 Al - QX"),70,90)</f>
        <v/>
      </c>
      <c r="H12" s="9">
        <f>G12-30</f>
        <v/>
      </c>
      <c r="I12" s="9">
        <f>IFERROR(B12/H12,0)</f>
        <v/>
      </c>
      <c r="P12">
        <f>80</f>
        <v/>
      </c>
      <c r="Q12">
        <f>80</f>
        <v/>
      </c>
      <c r="W12">
        <f>INDEX(CABOS[CONDUTORES],11)</f>
        <v/>
      </c>
      <c r="X12">
        <f>IF(ISNUMBER(FIND(" Cu",W12)),"CU",IF(ISNUMBER(FIND(" Al",W12)),"AL",IF(ISNUMBER(FIND(" AA",W12)),"AA","OUTRO")))</f>
        <v/>
      </c>
      <c r="Y12">
        <f>UPPER(SUBSTITUTE(SUBSTITUTE(SUBSTITUTE(SUBSTITUTE(W12," - ","_")," ","_"),"-","_"),".",""))</f>
        <v/>
      </c>
    </row>
    <row r="13">
      <c r="A13" s="52" t="inlineStr">
        <is>
          <t>240 Cu</t>
        </is>
      </c>
      <c r="B13" s="9" t="n">
        <v>430</v>
      </c>
      <c r="C13" s="9" t="n">
        <v>0.1035</v>
      </c>
      <c r="D13" s="9" t="n">
        <v>0.0897</v>
      </c>
      <c r="E13" t="n">
        <v>0.00393</v>
      </c>
      <c r="F13" s="77" t="n">
        <v>1.2821</v>
      </c>
      <c r="G13" s="52">
        <f>IF(OR(A13="13 Al - DX",A13="13 Al - TX",A13="13 Al - QX",A13="21 Al - QX",A13="53 Al - QX"),70,90)</f>
        <v/>
      </c>
      <c r="H13" s="9">
        <f>G13-30</f>
        <v/>
      </c>
      <c r="I13" s="9">
        <f>IFERROR(B13/H13,0)</f>
        <v/>
      </c>
      <c r="M13" t="n">
        <v>220</v>
      </c>
      <c r="P13">
        <f>100</f>
        <v/>
      </c>
      <c r="Q13">
        <f>100</f>
        <v/>
      </c>
      <c r="W13">
        <f>INDEX(CABOS[CONDUTORES],12)</f>
        <v/>
      </c>
      <c r="X13">
        <f>IF(ISNUMBER(FIND(" Cu",W13)),"CU",IF(ISNUMBER(FIND(" Al",W13)),"AL",IF(ISNUMBER(FIND(" AA",W13)),"AA","OUTRO")))</f>
        <v/>
      </c>
      <c r="Y13">
        <f>UPPER(SUBSTITUTE(SUBSTITUTE(SUBSTITUTE(SUBSTITUTE(W13," - ","_")," ","_"),"-","_"),".",""))</f>
        <v/>
      </c>
    </row>
    <row r="14">
      <c r="A14" s="52" t="inlineStr">
        <is>
          <t>500 Cu</t>
        </is>
      </c>
      <c r="B14" s="9" t="n"/>
      <c r="C14" s="9" t="n">
        <v>0.0568</v>
      </c>
      <c r="D14" s="9" t="n">
        <v>0.0849</v>
      </c>
      <c r="E14" t="n">
        <v>0.00393</v>
      </c>
      <c r="F14" s="77" t="n">
        <v>1.2821</v>
      </c>
      <c r="G14" s="52">
        <f>IF(OR(A14="13 Al - DX",A14="13 Al - TX",A14="13 Al - QX",A14="21 Al - QX",A14="53 Al - QX"),70,90)</f>
        <v/>
      </c>
      <c r="H14" s="9">
        <f>G14-30</f>
        <v/>
      </c>
      <c r="I14" s="9">
        <f>IFERROR(B14/H14,0)</f>
        <v/>
      </c>
      <c r="M14">
        <f>T_LINHA_TRF/SQRT(3)</f>
        <v/>
      </c>
      <c r="P14">
        <f>125</f>
        <v/>
      </c>
      <c r="Q14">
        <f>125</f>
        <v/>
      </c>
      <c r="W14">
        <f>INDEX(CABOS[CONDUTORES],13)</f>
        <v/>
      </c>
      <c r="X14">
        <f>IF(ISNUMBER(FIND(" Cu",W14)),"CU",IF(ISNUMBER(FIND(" Al",W14)),"AL",IF(ISNUMBER(FIND(" AA",W14)),"AA","OUTRO")))</f>
        <v/>
      </c>
      <c r="Y14">
        <f>UPPER(SUBSTITUTE(SUBSTITUTE(SUBSTITUTE(SUBSTITUTE(W14," - ","_")," ","_"),"-","_"),".",""))</f>
        <v/>
      </c>
    </row>
    <row r="15">
      <c r="A15" s="52" t="inlineStr">
        <is>
          <t>10 Cu_CONC_bi</t>
        </is>
      </c>
      <c r="B15" s="9" t="n">
        <v>63</v>
      </c>
      <c r="C15" s="9" t="n">
        <v>2.3801</v>
      </c>
      <c r="D15" s="9" t="n">
        <v>0.101</v>
      </c>
      <c r="E15" t="n">
        <v>0.00403</v>
      </c>
      <c r="F15" s="77" t="n">
        <v>1.2821</v>
      </c>
      <c r="G15" s="52">
        <f>IF(OR(A15="13 Al - DX",A15="13 Al - TX",A15="13 Al - QX",A15="21 Al - QX",A15="53 Al - QX"),70,90)</f>
        <v/>
      </c>
      <c r="H15" s="9">
        <f>G15-30</f>
        <v/>
      </c>
      <c r="I15" s="9">
        <f>IFERROR(B15/H15,0)</f>
        <v/>
      </c>
      <c r="J15" t="inlineStr">
        <is>
          <t>TR_PROJ1</t>
        </is>
      </c>
      <c r="K15" s="59">
        <f>'GERAL PROJ'!O3</f>
        <v/>
      </c>
      <c r="P15">
        <f>160</f>
        <v/>
      </c>
      <c r="Q15">
        <f>160</f>
        <v/>
      </c>
      <c r="W15">
        <f>INDEX(CABOS[CONDUTORES],14)</f>
        <v/>
      </c>
      <c r="X15">
        <f>IF(ISNUMBER(FIND(" Cu",W15)),"CU",IF(ISNUMBER(FIND(" Al",W15)),"AL",IF(ISNUMBER(FIND(" AA",W15)),"AA","OUTRO")))</f>
        <v/>
      </c>
      <c r="Y15">
        <f>UPPER(SUBSTITUTE(SUBSTITUTE(SUBSTITUTE(SUBSTITUTE(W15," - ","_")," ","_"),"-","_"),".",""))</f>
        <v/>
      </c>
    </row>
    <row r="16">
      <c r="A16" s="52" t="inlineStr">
        <is>
          <t>10 Cu_CONC_Tri</t>
        </is>
      </c>
      <c r="B16" s="9" t="n">
        <v>63</v>
      </c>
      <c r="C16" s="9" t="n">
        <v>2.3801</v>
      </c>
      <c r="D16" s="9" t="n">
        <v>0.101</v>
      </c>
      <c r="E16" t="n">
        <v>0.00403</v>
      </c>
      <c r="F16" s="77" t="n">
        <v>1.2821</v>
      </c>
      <c r="G16" s="52">
        <f>IF(OR(A16="13 Al - DX",A16="13 Al - TX",A16="13 Al - QX",A16="21 Al - QX",A16="53 Al - QX"),70,90)</f>
        <v/>
      </c>
      <c r="H16" s="9">
        <f>G16-30</f>
        <v/>
      </c>
      <c r="I16" s="9">
        <f>IFERROR(B16/H16,0)</f>
        <v/>
      </c>
      <c r="J16" t="inlineStr">
        <is>
          <t>DEM_PROJ1</t>
        </is>
      </c>
      <c r="K16" s="59">
        <f>RAMAL!AC24</f>
        <v/>
      </c>
      <c r="P16">
        <f>200</f>
        <v/>
      </c>
      <c r="Q16">
        <f>200</f>
        <v/>
      </c>
      <c r="W16">
        <f>INDEX(CABOS[CONDUTORES],15)</f>
        <v/>
      </c>
      <c r="X16">
        <f>IF(ISNUMBER(FIND(" Cu",W16)),"CU",IF(ISNUMBER(FIND(" Al",W16)),"AL",IF(ISNUMBER(FIND(" AA",W16)),"AA","OUTRO")))</f>
        <v/>
      </c>
      <c r="Y16">
        <f>UPPER(SUBSTITUTE(SUBSTITUTE(SUBSTITUTE(SUBSTITUTE(W16," - ","_")," ","_"),"-","_"),".",""))</f>
        <v/>
      </c>
    </row>
    <row r="17">
      <c r="A17" s="52" t="inlineStr">
        <is>
          <t>16 Al_CONC_bi</t>
        </is>
      </c>
      <c r="B17" s="9" t="n">
        <v>63</v>
      </c>
      <c r="C17" s="9" t="n">
        <v>2.4978</v>
      </c>
      <c r="D17" s="9" t="n">
        <v>0.08500000000000001</v>
      </c>
      <c r="E17" t="n">
        <v>0.00403</v>
      </c>
      <c r="F17" s="77" t="n">
        <v>1.2821</v>
      </c>
      <c r="G17" s="52">
        <f>IF(OR(A17="13 Al - DX",A17="13 Al - TX",A17="13 Al - QX",A17="21 Al - QX",A17="53 Al - QX"),70,90)</f>
        <v/>
      </c>
      <c r="H17" s="9">
        <f>G17-30</f>
        <v/>
      </c>
      <c r="I17" s="9">
        <f>IFERROR(B17/H17,0)</f>
        <v/>
      </c>
      <c r="J17" t="inlineStr">
        <is>
          <t>QT_TR</t>
        </is>
      </c>
      <c r="K17" s="66">
        <f>(K16/K15)*VLOOKUP(K15,TRAFOS_Z[],2,0)</f>
        <v/>
      </c>
      <c r="P17">
        <f>250</f>
        <v/>
      </c>
      <c r="Q17">
        <f>250</f>
        <v/>
      </c>
      <c r="W17">
        <f>INDEX(CABOS[CONDUTORES],16)</f>
        <v/>
      </c>
      <c r="X17">
        <f>IF(ISNUMBER(FIND(" Cu",W17)),"CU",IF(ISNUMBER(FIND(" Al",W17)),"AL",IF(ISNUMBER(FIND(" AA",W17)),"AA","OUTRO")))</f>
        <v/>
      </c>
      <c r="Y17">
        <f>UPPER(SUBSTITUTE(SUBSTITUTE(SUBSTITUTE(SUBSTITUTE(W17," - ","_")," ","_"),"-","_"),".",""))</f>
        <v/>
      </c>
    </row>
    <row r="18">
      <c r="A18" s="52" t="inlineStr">
        <is>
          <t>16 Al_CONC_Tri</t>
        </is>
      </c>
      <c r="B18" s="9" t="n">
        <v>63</v>
      </c>
      <c r="C18" s="9" t="n">
        <v>2.4978</v>
      </c>
      <c r="D18" s="9" t="n">
        <v>0.85</v>
      </c>
      <c r="E18" t="n">
        <v>0.00403</v>
      </c>
      <c r="F18" s="77" t="n">
        <v>1.2821</v>
      </c>
      <c r="G18" s="52">
        <f>IF(OR(A18="13 Al - DX",A18="13 Al - TX",A18="13 Al - QX",A18="21 Al - QX",A18="53 Al - QX"),70,90)</f>
        <v/>
      </c>
      <c r="H18" s="9">
        <f>G18-30</f>
        <v/>
      </c>
      <c r="I18" s="9">
        <f>IFERROR(B18/H18,0)</f>
        <v/>
      </c>
      <c r="P18">
        <f>315</f>
        <v/>
      </c>
      <c r="Q18">
        <f>315</f>
        <v/>
      </c>
      <c r="W18">
        <f>INDEX(CABOS[CONDUTORES],17)</f>
        <v/>
      </c>
      <c r="X18">
        <f>IF(ISNUMBER(FIND(" Cu",W18)),"CU",IF(ISNUMBER(FIND(" Al",W18)),"AL",IF(ISNUMBER(FIND(" AA",W18)),"AA","OUTRO")))</f>
        <v/>
      </c>
      <c r="Y18">
        <f>UPPER(SUBSTITUTE(SUBSTITUTE(SUBSTITUTE(SUBSTITUTE(W18," - ","_")," ","_"),"-","_"),".",""))</f>
        <v/>
      </c>
    </row>
    <row r="19">
      <c r="A19" s="52" t="inlineStr">
        <is>
          <t>13 Al - DX</t>
        </is>
      </c>
      <c r="B19" s="9" t="n">
        <v>63</v>
      </c>
      <c r="C19" s="9" t="n">
        <v>2.6655</v>
      </c>
      <c r="D19" s="9" t="n">
        <v>0.1022</v>
      </c>
      <c r="E19" t="n">
        <v>0.00403</v>
      </c>
      <c r="F19" s="77" t="n">
        <v>1.2821</v>
      </c>
      <c r="G19" s="52">
        <f>IF(OR(A19="13 Al - DX",A19="13 Al - TX",A19="13 Al - QX",A19="21 Al - QX",A19="53 Al - QX"),70,90)</f>
        <v/>
      </c>
      <c r="H19" s="9">
        <f>G19-30</f>
        <v/>
      </c>
      <c r="I19" s="9">
        <f>IFERROR(B19/H19,0)</f>
        <v/>
      </c>
      <c r="J19" t="inlineStr">
        <is>
          <t>QT_MTTR2</t>
        </is>
      </c>
      <c r="K19" s="66">
        <f>QT_MT+K17</f>
        <v/>
      </c>
      <c r="P19">
        <f>400</f>
        <v/>
      </c>
      <c r="Q19">
        <f>400</f>
        <v/>
      </c>
      <c r="W19">
        <f>INDEX(CABOS[CONDUTORES],18)</f>
        <v/>
      </c>
      <c r="X19">
        <f>IF(ISNUMBER(FIND(" Cu",W19)),"CU",IF(ISNUMBER(FIND(" Al",W19)),"AL",IF(ISNUMBER(FIND(" AA",W19)),"AA","OUTRO")))</f>
        <v/>
      </c>
      <c r="Y19">
        <f>UPPER(SUBSTITUTE(SUBSTITUTE(SUBSTITUTE(SUBSTITUTE(W19," - ","_")," ","_"),"-","_"),".",""))</f>
        <v/>
      </c>
    </row>
    <row r="20">
      <c r="A20" s="52" t="inlineStr">
        <is>
          <t>13 Al - TX</t>
        </is>
      </c>
      <c r="B20" s="9" t="n">
        <v>63</v>
      </c>
      <c r="C20" s="9" t="n">
        <v>2.6655</v>
      </c>
      <c r="D20" s="9" t="n">
        <v>0.1158</v>
      </c>
      <c r="E20" t="n">
        <v>0.00403</v>
      </c>
      <c r="F20" s="77" t="n">
        <v>1.2821</v>
      </c>
      <c r="G20" s="52">
        <f>IF(OR(A20="13 Al - DX",A20="13 Al - TX",A20="13 Al - QX",A20="21 Al - QX",A20="53 Al - QX"),70,90)</f>
        <v/>
      </c>
      <c r="H20" s="9">
        <f>G20-30</f>
        <v/>
      </c>
      <c r="I20" s="9">
        <f>IFERROR(B20/H20,0)</f>
        <v/>
      </c>
      <c r="P20">
        <f>500</f>
        <v/>
      </c>
      <c r="Q20">
        <f>500</f>
        <v/>
      </c>
      <c r="W20">
        <f>INDEX(CABOS[CONDUTORES],19)</f>
        <v/>
      </c>
      <c r="X20">
        <f>IF(ISNUMBER(FIND(" Cu",W20)),"CU",IF(ISNUMBER(FIND(" Al",W20)),"AL",IF(ISNUMBER(FIND(" AA",W20)),"AA","OUTRO")))</f>
        <v/>
      </c>
      <c r="Y20">
        <f>UPPER(SUBSTITUTE(SUBSTITUTE(SUBSTITUTE(SUBSTITUTE(W20," - ","_")," ","_"),"-","_"),".",""))</f>
        <v/>
      </c>
    </row>
    <row r="21">
      <c r="A21" s="52" t="inlineStr">
        <is>
          <t>13 Al - QX</t>
        </is>
      </c>
      <c r="B21" s="9" t="n">
        <v>63</v>
      </c>
      <c r="C21" s="9" t="n">
        <v>2.6655</v>
      </c>
      <c r="D21" s="9" t="n">
        <v>0.1384</v>
      </c>
      <c r="E21" t="n">
        <v>0.00403</v>
      </c>
      <c r="F21" s="77" t="n">
        <v>1.2821</v>
      </c>
      <c r="G21" s="52">
        <f>IF(OR(A21="13 Al - DX",A21="13 Al - TX",A21="13 Al - QX",A21="21 Al - QX",A21="53 Al - QX"),70,90)</f>
        <v/>
      </c>
      <c r="H21" s="9">
        <f>G21-30</f>
        <v/>
      </c>
      <c r="I21" s="9">
        <f>IFERROR(B21/H21,0)</f>
        <v/>
      </c>
      <c r="P21">
        <f>630</f>
        <v/>
      </c>
      <c r="Q21">
        <f>630</f>
        <v/>
      </c>
      <c r="W21">
        <f>INDEX(CABOS[CONDUTORES],20)</f>
        <v/>
      </c>
      <c r="X21">
        <f>IF(ISNUMBER(FIND(" Cu",W21)),"CU",IF(ISNUMBER(FIND(" Al",W21)),"AL",IF(ISNUMBER(FIND(" AA",W21)),"AA","OUTRO")))</f>
        <v/>
      </c>
      <c r="Y21">
        <f>UPPER(SUBSTITUTE(SUBSTITUTE(SUBSTITUTE(SUBSTITUTE(W21," - ","_")," ","_"),"-","_"),".",""))</f>
        <v/>
      </c>
    </row>
    <row r="22">
      <c r="A22" s="52" t="inlineStr">
        <is>
          <t>21 Al - QX</t>
        </is>
      </c>
      <c r="B22" s="9" t="n">
        <v>63</v>
      </c>
      <c r="C22" s="9" t="n">
        <v>1.677</v>
      </c>
      <c r="D22" s="9" t="n">
        <v>0.135</v>
      </c>
      <c r="E22" t="n">
        <v>0.00403</v>
      </c>
      <c r="F22" s="77" t="n">
        <v>1.2821</v>
      </c>
      <c r="G22" s="52">
        <f>IF(OR(A22="13 Al - DX",A22="13 Al - TX",A22="13 Al - QX",A22="21 Al - QX",A22="53 Al - QX"),70,90)</f>
        <v/>
      </c>
      <c r="H22" s="9">
        <f>G22-30</f>
        <v/>
      </c>
      <c r="I22" s="9">
        <f>IFERROR(B22/H22,0)</f>
        <v/>
      </c>
      <c r="J22" t="inlineStr">
        <is>
          <t>TR_PROJ2</t>
        </is>
      </c>
      <c r="K22" s="59">
        <f>'GERAL PROJ2'!O3</f>
        <v/>
      </c>
      <c r="W22">
        <f>INDEX(CABOS[CONDUTORES],21)</f>
        <v/>
      </c>
      <c r="X22">
        <f>IF(ISNUMBER(FIND(" Cu",W22)),"CU",IF(ISNUMBER(FIND(" Al",W22)),"AL",IF(ISNUMBER(FIND(" AA",W22)),"AA","OUTRO")))</f>
        <v/>
      </c>
      <c r="Y22">
        <f>UPPER(SUBSTITUTE(SUBSTITUTE(SUBSTITUTE(SUBSTITUTE(W22," - ","_")," ","_"),"-","_"),".",""))</f>
        <v/>
      </c>
    </row>
    <row r="23">
      <c r="A23" s="52" t="inlineStr">
        <is>
          <t>53 Al - QX</t>
        </is>
      </c>
      <c r="B23" s="9" t="n">
        <v>63</v>
      </c>
      <c r="C23" s="9" t="n">
        <v>0.6641</v>
      </c>
      <c r="D23" s="9" t="n">
        <v>0.1311</v>
      </c>
      <c r="E23" t="n">
        <v>0.00403</v>
      </c>
      <c r="F23" s="77" t="n">
        <v>1.2821</v>
      </c>
      <c r="G23" s="52">
        <f>IF(OR(A23="13 Al - DX",A23="13 Al - TX",A23="13 Al - QX",A23="21 Al - QX",A23="53 Al - QX"),70,90)</f>
        <v/>
      </c>
      <c r="H23" s="9">
        <f>G23-30</f>
        <v/>
      </c>
      <c r="I23" s="9">
        <f>IFERROR(B23/H23,0)</f>
        <v/>
      </c>
      <c r="J23" t="inlineStr">
        <is>
          <t>DEM_PROJ2</t>
        </is>
      </c>
      <c r="K23" s="59">
        <f>RAMAL!AE24</f>
        <v/>
      </c>
      <c r="W23">
        <f>INDEX(CABOS[CONDUTORES],22)</f>
        <v/>
      </c>
      <c r="X23">
        <f>IF(ISNUMBER(FIND(" Cu",W23)),"CU",IF(ISNUMBER(FIND(" Al",W23)),"AL",IF(ISNUMBER(FIND(" AA",W23)),"AA","OUTRO")))</f>
        <v/>
      </c>
      <c r="Y23">
        <f>UPPER(SUBSTITUTE(SUBSTITUTE(SUBSTITUTE(SUBSTITUTE(W23," - ","_")," ","_"),"-","_"),".",""))</f>
        <v/>
      </c>
    </row>
    <row r="24">
      <c r="A24" s="52" t="inlineStr">
        <is>
          <t>70 Al - MX</t>
        </is>
      </c>
      <c r="B24" s="9" t="n">
        <v>202</v>
      </c>
      <c r="C24" s="9" t="n">
        <v>0.5697</v>
      </c>
      <c r="D24" s="9" t="n">
        <v>0.126</v>
      </c>
      <c r="E24" t="n">
        <v>0.00403</v>
      </c>
      <c r="F24" s="77" t="n">
        <v>1.2821</v>
      </c>
      <c r="G24" s="52">
        <f>IF(OR(A24="13 Al - DX",A24="13 Al - TX",A24="13 Al - QX",A24="21 Al - QX",A24="53 Al - QX"),70,90)</f>
        <v/>
      </c>
      <c r="H24" s="9">
        <f>G24-30</f>
        <v/>
      </c>
      <c r="I24" s="9">
        <f>IFERROR(B24/H24,0)</f>
        <v/>
      </c>
      <c r="J24" t="inlineStr">
        <is>
          <t>QT_TR</t>
        </is>
      </c>
      <c r="K24" s="66">
        <f>(K23/K22)*VLOOKUP(K22,TRAFOS_Z[],2,0)</f>
        <v/>
      </c>
      <c r="W24">
        <f>INDEX(CABOS[CONDUTORES],23)</f>
        <v/>
      </c>
      <c r="X24">
        <f>IF(ISNUMBER(FIND(" Cu",W24)),"CU",IF(ISNUMBER(FIND(" Al",W24)),"AL",IF(ISNUMBER(FIND(" AA",W24)),"AA","OUTRO")))</f>
        <v/>
      </c>
      <c r="Y24">
        <f>UPPER(SUBSTITUTE(SUBSTITUTE(SUBSTITUTE(SUBSTITUTE(W24," - ","_")," ","_"),"-","_"),".",""))</f>
        <v/>
      </c>
    </row>
    <row r="25">
      <c r="A25" s="52" t="inlineStr">
        <is>
          <t>185 Al - MX</t>
        </is>
      </c>
      <c r="B25" s="9" t="n">
        <v>355</v>
      </c>
      <c r="C25" s="9" t="n">
        <v>0.2404</v>
      </c>
      <c r="D25" s="9" t="n">
        <v>0.1178</v>
      </c>
      <c r="E25" t="n">
        <v>0.00403</v>
      </c>
      <c r="F25" s="77" t="n">
        <v>1.4368</v>
      </c>
      <c r="G25" s="52">
        <f>IF(OR(A25="13 Al - DX",A25="13 Al - TX",A25="13 Al - QX",A25="21 Al - QX",A25="53 Al - QX"),70,90)</f>
        <v/>
      </c>
      <c r="H25" s="9">
        <f>G25-30</f>
        <v/>
      </c>
      <c r="I25" s="9">
        <f>IFERROR(B25/H25,0)</f>
        <v/>
      </c>
      <c r="W25">
        <f>INDEX(CABOS[CONDUTORES],24)</f>
        <v/>
      </c>
      <c r="X25">
        <f>IF(ISNUMBER(FIND(" Cu",W25)),"CU",IF(ISNUMBER(FIND(" Al",W25)),"AL",IF(ISNUMBER(FIND(" AA",W25)),"AA","OUTRO")))</f>
        <v/>
      </c>
      <c r="Y25">
        <f>UPPER(SUBSTITUTE(SUBSTITUTE(SUBSTITUTE(SUBSTITUTE(W25," - ","_")," ","_"),"-","_"),".",""))</f>
        <v/>
      </c>
    </row>
    <row r="26">
      <c r="A26" s="52" t="inlineStr">
        <is>
          <t>240 Al - MX</t>
        </is>
      </c>
      <c r="B26" s="9" t="n">
        <v>473</v>
      </c>
      <c r="C26" s="9" t="n">
        <v>0.163</v>
      </c>
      <c r="D26" s="9" t="n">
        <v>0.09030000000000001</v>
      </c>
      <c r="E26" t="n">
        <v>0.00403</v>
      </c>
      <c r="F26" s="77" t="n">
        <v>1.2821</v>
      </c>
      <c r="G26" s="52">
        <f>IF(OR(A26="13 Al - DX",A26="13 Al - TX",A26="13 Al - QX",A26="21 Al - QX",A26="53 Al - QX"),70,90)</f>
        <v/>
      </c>
      <c r="H26" s="9">
        <f>G26-30</f>
        <v/>
      </c>
      <c r="I26" s="9">
        <f>IFERROR(B26/H26,0)</f>
        <v/>
      </c>
      <c r="J26" t="inlineStr">
        <is>
          <t>QT_MTTR3</t>
        </is>
      </c>
      <c r="K26" s="66">
        <f>QT_MT+K24</f>
        <v/>
      </c>
      <c r="W26">
        <f>INDEX(CABOS[CONDUTORES],25)</f>
        <v/>
      </c>
      <c r="X26">
        <f>IF(ISNUMBER(FIND(" Cu",W26)),"CU",IF(ISNUMBER(FIND(" Al",W26)),"AL",IF(ISNUMBER(FIND(" AA",W26)),"AA","OUTRO")))</f>
        <v/>
      </c>
      <c r="Y26">
        <f>UPPER(SUBSTITUTE(SUBSTITUTE(SUBSTITUTE(SUBSTITUTE(W26," - ","_")," ","_"),"-","_"),".",""))</f>
        <v/>
      </c>
    </row>
    <row r="27">
      <c r="P27" t="inlineStr">
        <is>
          <t>km construido</t>
        </is>
      </c>
      <c r="Q27" t="inlineStr">
        <is>
          <t>cusot final</t>
        </is>
      </c>
    </row>
    <row r="28" ht="15.6" customHeight="1" s="179">
      <c r="N28" s="84" t="inlineStr">
        <is>
          <t xml:space="preserve">Rede Com Estrutura                                                                                                                                                                                            </t>
        </is>
      </c>
      <c r="O28" s="237" t="inlineStr">
        <is>
          <t>BT</t>
        </is>
      </c>
      <c r="P28" s="86" t="n"/>
      <c r="Q28" s="237" t="n"/>
      <c r="S28" t="inlineStr">
        <is>
          <t>CUSTO</t>
        </is>
      </c>
    </row>
    <row r="29" ht="15" customHeight="1" s="179">
      <c r="N29" s="81" t="inlineStr">
        <is>
          <t>Cabo 53 mm² CA – Nu e PVC</t>
        </is>
      </c>
      <c r="O29" s="238" t="n">
        <v>56371.129</v>
      </c>
      <c r="Q29" s="238">
        <f>P29*O29</f>
        <v/>
      </c>
      <c r="S29" s="239">
        <f>SUM(Q29:Q58)</f>
        <v/>
      </c>
    </row>
    <row r="30" ht="17.4" customHeight="1" s="179">
      <c r="A30" s="9" t="inlineStr">
        <is>
          <t xml:space="preserve">Área (m²) </t>
        </is>
      </c>
      <c r="B30" t="inlineStr">
        <is>
          <t>kVA</t>
        </is>
      </c>
      <c r="C30" s="89" t="inlineStr">
        <is>
          <t>QTD Clientes</t>
        </is>
      </c>
      <c r="D30" s="89" t="inlineStr">
        <is>
          <t xml:space="preserve">Fator por área </t>
        </is>
      </c>
      <c r="E30" s="89" t="inlineStr">
        <is>
          <t xml:space="preserve">Fator Diversificação </t>
        </is>
      </c>
      <c r="F30" s="89" t="inlineStr">
        <is>
          <t>Demanda (KVA)</t>
        </is>
      </c>
      <c r="G30" s="154" t="n"/>
      <c r="H30" s="154" t="n"/>
      <c r="I30" s="154" t="n"/>
      <c r="N30" s="81" t="inlineStr">
        <is>
          <t>Cabo 201 mm² CA - Nu e PVC</t>
        </is>
      </c>
      <c r="O30" s="238" t="n">
        <v>110481.129</v>
      </c>
      <c r="Q30" s="238">
        <f>P30*O30</f>
        <v/>
      </c>
    </row>
    <row r="31" ht="15" customHeight="1" s="179">
      <c r="A31" s="9" t="n">
        <v>20</v>
      </c>
      <c r="B31" t="n">
        <v>1.62</v>
      </c>
      <c r="C31" s="90" t="n">
        <v>1</v>
      </c>
      <c r="D31" s="91">
        <f>RAMAL!AB35</f>
        <v/>
      </c>
      <c r="E31" s="90" t="n">
        <v>3.88</v>
      </c>
      <c r="F31" s="92">
        <f>D31*E31</f>
        <v/>
      </c>
      <c r="G31" s="93" t="n"/>
      <c r="H31" s="93" t="n"/>
      <c r="I31" s="93" t="n"/>
      <c r="N31" s="81" t="inlineStr">
        <is>
          <t>Cabo 70 mm² CA MMX</t>
        </is>
      </c>
      <c r="O31" s="238" t="n">
        <v>68591.91</v>
      </c>
      <c r="Q31" s="238">
        <f>P31*O31</f>
        <v/>
      </c>
    </row>
    <row r="32" ht="15" customHeight="1" s="179">
      <c r="A32" s="9" t="n">
        <v>21</v>
      </c>
      <c r="B32" t="n">
        <v>1.62</v>
      </c>
      <c r="C32" s="90" t="n">
        <v>2</v>
      </c>
      <c r="D32" s="90">
        <f>D31</f>
        <v/>
      </c>
      <c r="E32" s="90" t="n">
        <v>3.88</v>
      </c>
      <c r="F32" s="92">
        <f>D32*E32</f>
        <v/>
      </c>
      <c r="G32" s="93" t="n"/>
      <c r="H32" s="93" t="n"/>
      <c r="I32" s="93" t="n"/>
      <c r="N32" s="81" t="inlineStr">
        <is>
          <t>Cabo 185 mm² CA MMX</t>
        </is>
      </c>
      <c r="O32" s="238" t="n">
        <v>94961.91</v>
      </c>
      <c r="Q32" s="238">
        <f>P32*O32</f>
        <v/>
      </c>
    </row>
    <row r="33" ht="15" customHeight="1" s="179">
      <c r="A33" s="9" t="n">
        <v>22</v>
      </c>
      <c r="B33" t="n">
        <v>1.62</v>
      </c>
      <c r="C33" s="90" t="n">
        <v>3</v>
      </c>
      <c r="D33" s="90">
        <f>D32</f>
        <v/>
      </c>
      <c r="E33" s="90" t="n">
        <v>3.88</v>
      </c>
      <c r="F33" s="92">
        <f>D33*E33</f>
        <v/>
      </c>
      <c r="G33" s="93" t="n"/>
      <c r="H33" s="93" t="n"/>
      <c r="I33" s="93" t="n"/>
      <c r="N33" s="81" t="inlineStr">
        <is>
          <t>Cabo 240 mm² CA MMX</t>
        </is>
      </c>
      <c r="O33" s="238" t="n">
        <v>110011.91</v>
      </c>
      <c r="Q33" s="238">
        <f>P33*O33</f>
        <v/>
      </c>
    </row>
    <row r="34" ht="15" customHeight="1" s="179">
      <c r="A34" s="9" t="n">
        <v>23</v>
      </c>
      <c r="B34" t="n">
        <v>1.62</v>
      </c>
      <c r="C34" s="90" t="n">
        <v>4</v>
      </c>
      <c r="D34" s="90">
        <f>D33</f>
        <v/>
      </c>
      <c r="E34" s="90" t="n">
        <v>3.88</v>
      </c>
      <c r="F34" s="92">
        <f>D34*E34</f>
        <v/>
      </c>
      <c r="G34" s="93" t="n"/>
      <c r="H34" s="93" t="n"/>
      <c r="I34" s="93" t="n"/>
      <c r="N34" s="87" t="n"/>
      <c r="O34" s="86" t="n"/>
      <c r="P34" s="86" t="n"/>
      <c r="Q34" s="237" t="n"/>
    </row>
    <row r="35" ht="15.6" customHeight="1" s="179">
      <c r="A35" s="9" t="n">
        <v>24</v>
      </c>
      <c r="B35" t="n">
        <v>1.62</v>
      </c>
      <c r="C35" s="90" t="n">
        <v>5</v>
      </c>
      <c r="D35" s="90">
        <f>D34</f>
        <v/>
      </c>
      <c r="E35" s="90" t="n">
        <v>4.84</v>
      </c>
      <c r="F35" s="92">
        <f>D35*E35</f>
        <v/>
      </c>
      <c r="G35" s="93" t="n"/>
      <c r="H35" s="93" t="n"/>
      <c r="I35" s="93" t="n"/>
      <c r="N35" s="82" t="inlineStr">
        <is>
          <t>Rede Cabo Armado</t>
        </is>
      </c>
      <c r="Q35" s="238">
        <f>P35*O35</f>
        <v/>
      </c>
    </row>
    <row r="36" ht="15" customHeight="1" s="179">
      <c r="A36" s="9" t="n">
        <v>25</v>
      </c>
      <c r="B36" t="n">
        <v>1.62</v>
      </c>
      <c r="C36" s="90" t="n">
        <v>6</v>
      </c>
      <c r="D36" s="90">
        <f>D35</f>
        <v/>
      </c>
      <c r="E36" s="90" t="n">
        <v>5.8</v>
      </c>
      <c r="F36" s="92">
        <f>D36*E36</f>
        <v/>
      </c>
      <c r="G36" s="93" t="n"/>
      <c r="H36" s="93" t="n"/>
      <c r="I36" s="93" t="n"/>
      <c r="N36" s="83" t="inlineStr">
        <is>
          <t>Cabo armado 3X1X50 mm²+35 mm²</t>
        </is>
      </c>
      <c r="O36" s="238" t="n">
        <v>102973.3</v>
      </c>
      <c r="Q36" s="238">
        <f>P36*O36</f>
        <v/>
      </c>
    </row>
    <row r="37" ht="15" customHeight="1" s="179">
      <c r="A37" s="9" t="n">
        <v>26</v>
      </c>
      <c r="B37" t="n">
        <v>1.62</v>
      </c>
      <c r="C37" s="90" t="n">
        <v>7</v>
      </c>
      <c r="D37" s="90">
        <f>D36</f>
        <v/>
      </c>
      <c r="E37" s="90" t="n">
        <v>6.76</v>
      </c>
      <c r="F37" s="92">
        <f>D37*E37</f>
        <v/>
      </c>
      <c r="G37" s="93" t="n"/>
      <c r="H37" s="93" t="n"/>
      <c r="I37" s="93" t="n"/>
      <c r="N37" s="83" t="inlineStr">
        <is>
          <t>Cabo armado 3X1X95 mm²+50 mm²</t>
        </is>
      </c>
      <c r="O37" s="238" t="n">
        <v>122163.3</v>
      </c>
      <c r="Q37" s="238">
        <f>P37*O37</f>
        <v/>
      </c>
    </row>
    <row r="38" ht="15" customHeight="1" s="179">
      <c r="A38" s="9" t="n">
        <v>27</v>
      </c>
      <c r="B38" t="n">
        <v>1.62</v>
      </c>
      <c r="C38" s="90" t="n">
        <v>8</v>
      </c>
      <c r="D38" s="90">
        <f>D37</f>
        <v/>
      </c>
      <c r="E38" s="90" t="n">
        <v>7.72</v>
      </c>
      <c r="F38" s="92">
        <f>D38*E38</f>
        <v/>
      </c>
      <c r="G38" s="93" t="n"/>
      <c r="H38" s="93" t="n"/>
      <c r="I38" s="93" t="n"/>
      <c r="N38" s="83" t="inlineStr">
        <is>
          <t>Cabo armado 3X1X240 mm²+120 mm²</t>
        </is>
      </c>
      <c r="O38" s="238" t="n">
        <v>163793.3</v>
      </c>
      <c r="Q38" s="238">
        <f>P38*O38</f>
        <v/>
      </c>
    </row>
    <row r="39" ht="15" customHeight="1" s="179">
      <c r="A39" s="9" t="n">
        <v>28</v>
      </c>
      <c r="B39" t="n">
        <v>1.62</v>
      </c>
      <c r="C39" s="90" t="n">
        <v>9</v>
      </c>
      <c r="D39" s="90">
        <f>D38</f>
        <v/>
      </c>
      <c r="E39" s="90" t="n">
        <v>8.68</v>
      </c>
      <c r="F39" s="92">
        <f>D39*E39</f>
        <v/>
      </c>
      <c r="G39" s="93" t="n"/>
      <c r="H39" s="93" t="n"/>
      <c r="I39" s="93" t="n"/>
      <c r="N39" s="87" t="n"/>
      <c r="O39" s="86" t="inlineStr">
        <is>
          <t>TRAFO</t>
        </is>
      </c>
      <c r="P39" s="86" t="n"/>
      <c r="Q39" s="237" t="n"/>
    </row>
    <row r="40">
      <c r="A40" s="9" t="n">
        <v>29</v>
      </c>
      <c r="B40" t="n">
        <v>1.62</v>
      </c>
      <c r="C40" s="90" t="n">
        <v>10</v>
      </c>
      <c r="D40" s="90">
        <f>D39</f>
        <v/>
      </c>
      <c r="E40" s="90" t="n">
        <v>9.640000000000001</v>
      </c>
      <c r="F40" s="92">
        <f>D40*E40</f>
        <v/>
      </c>
      <c r="G40" s="93" t="n"/>
      <c r="H40" s="93" t="n"/>
      <c r="I40" s="93" t="n"/>
      <c r="N40" t="inlineStr">
        <is>
          <t>Trafo Aéreo 45 kVA – Trifásico – 25,6 kV – Convencional ( Unidade )</t>
        </is>
      </c>
      <c r="O40" s="238" t="n">
        <v>15780.16</v>
      </c>
      <c r="Q40" s="238">
        <f>P40*O40</f>
        <v/>
      </c>
    </row>
    <row r="41">
      <c r="A41" s="9" t="n">
        <v>30</v>
      </c>
      <c r="B41" t="n">
        <v>1.62</v>
      </c>
      <c r="C41" s="90" t="n">
        <v>11</v>
      </c>
      <c r="D41" s="90">
        <f>D40</f>
        <v/>
      </c>
      <c r="E41" s="90" t="n">
        <v>10.42</v>
      </c>
      <c r="F41" s="92">
        <f>D41*E41</f>
        <v/>
      </c>
      <c r="G41" s="93" t="n"/>
      <c r="H41" s="93" t="n"/>
      <c r="I41" s="93" t="n"/>
      <c r="N41" t="inlineStr">
        <is>
          <t>Trafo Aéreo 15 kVA – Trifásico – 13,8 kV – Convencional ( Unidade )</t>
        </is>
      </c>
      <c r="O41" s="238" t="n">
        <v>6896.47</v>
      </c>
      <c r="Q41" s="238">
        <f>P41*O41</f>
        <v/>
      </c>
    </row>
    <row r="42">
      <c r="A42" s="9" t="n">
        <v>31</v>
      </c>
      <c r="B42" t="n">
        <v>1.62</v>
      </c>
      <c r="C42" s="90" t="n">
        <v>12</v>
      </c>
      <c r="D42" s="90">
        <f>D41</f>
        <v/>
      </c>
      <c r="E42" s="90" t="n">
        <v>11.2</v>
      </c>
      <c r="F42" s="92">
        <f>D42*E42</f>
        <v/>
      </c>
      <c r="G42" s="93" t="n"/>
      <c r="H42" s="93" t="n"/>
      <c r="I42" s="93" t="n"/>
      <c r="N42" t="inlineStr">
        <is>
          <t>Trafo Aéreo 30 kVA – Trifásico – 13,8 kV – Convencional ( Unidade )</t>
        </is>
      </c>
      <c r="O42" s="238" t="n">
        <v>7397.12</v>
      </c>
      <c r="Q42" s="238">
        <f>P42*O42</f>
        <v/>
      </c>
    </row>
    <row r="43">
      <c r="A43" s="9" t="n">
        <v>32</v>
      </c>
      <c r="B43" t="n">
        <v>1.62</v>
      </c>
      <c r="C43" s="90" t="n">
        <v>13</v>
      </c>
      <c r="D43" s="90">
        <f>D42</f>
        <v/>
      </c>
      <c r="E43" s="90" t="n">
        <v>11.98</v>
      </c>
      <c r="F43" s="92">
        <f>D43*E43</f>
        <v/>
      </c>
      <c r="G43" s="93" t="n"/>
      <c r="H43" s="93" t="n"/>
      <c r="I43" s="93" t="n"/>
      <c r="N43" t="inlineStr">
        <is>
          <t>Trafo Aéreo 45 kVA – Trifásico – 13,8 kV – Convencional ( Unidade )</t>
        </is>
      </c>
      <c r="O43" s="238" t="n">
        <v>9394.25</v>
      </c>
      <c r="Q43" s="238">
        <f>P43*O43</f>
        <v/>
      </c>
    </row>
    <row r="44">
      <c r="A44" s="9" t="n">
        <v>33</v>
      </c>
      <c r="B44" t="n">
        <v>1.62</v>
      </c>
      <c r="C44" s="90" t="n">
        <v>14</v>
      </c>
      <c r="D44" s="90">
        <f>D43</f>
        <v/>
      </c>
      <c r="E44" s="90" t="n">
        <v>12.76</v>
      </c>
      <c r="F44" s="92">
        <f>D44*E44</f>
        <v/>
      </c>
      <c r="G44" s="93" t="n"/>
      <c r="H44" s="93" t="n"/>
      <c r="I44" s="93" t="n"/>
      <c r="N44" t="inlineStr">
        <is>
          <t>Trafo Aéreo 75 kVA – Trifásico – 13,8 kV – Convencional ( Unidade )</t>
        </is>
      </c>
      <c r="O44" s="238" t="n">
        <v>12790.25</v>
      </c>
      <c r="Q44" s="238">
        <f>P44*O44</f>
        <v/>
      </c>
    </row>
    <row r="45">
      <c r="A45" s="9" t="n">
        <v>34</v>
      </c>
      <c r="B45" t="n">
        <v>1.62</v>
      </c>
      <c r="C45" s="90" t="n">
        <v>15</v>
      </c>
      <c r="D45" s="90">
        <f>D44</f>
        <v/>
      </c>
      <c r="E45" s="90" t="n">
        <v>13.54</v>
      </c>
      <c r="F45" s="92">
        <f>D45*E45</f>
        <v/>
      </c>
      <c r="G45" s="93" t="n"/>
      <c r="H45" s="93" t="n"/>
      <c r="I45" s="93" t="n"/>
      <c r="N45" t="inlineStr">
        <is>
          <t>Trafo Aéreo 112,5 kVA – Trifásico – 13,8 kV – Convencional ( Unidade )</t>
        </is>
      </c>
      <c r="O45" s="238" t="n">
        <v>17258.38</v>
      </c>
      <c r="Q45" s="238">
        <f>P45*O45</f>
        <v/>
      </c>
    </row>
    <row r="46">
      <c r="A46" s="9" t="n">
        <v>35</v>
      </c>
      <c r="B46" t="n">
        <v>1.62</v>
      </c>
      <c r="C46" s="90" t="n">
        <v>16</v>
      </c>
      <c r="D46" s="90">
        <f>D45</f>
        <v/>
      </c>
      <c r="E46" s="90" t="n">
        <v>14.32</v>
      </c>
      <c r="F46" s="92">
        <f>D46*E46</f>
        <v/>
      </c>
      <c r="G46" s="93" t="n"/>
      <c r="H46" s="93" t="n"/>
      <c r="I46" s="93" t="n"/>
      <c r="N46" t="inlineStr">
        <is>
          <t>Trafo Aéreo 150 kVA – Trifásico – 13,8 kV – Convencional ( Unidade )</t>
        </is>
      </c>
      <c r="O46" s="238" t="n">
        <v>21367.86</v>
      </c>
      <c r="Q46" s="238">
        <f>P46*O46</f>
        <v/>
      </c>
    </row>
    <row r="47">
      <c r="A47" s="9" t="n">
        <v>36</v>
      </c>
      <c r="B47" t="n">
        <v>1.62</v>
      </c>
      <c r="C47" s="90" t="n">
        <v>17</v>
      </c>
      <c r="D47" s="90">
        <f>D46</f>
        <v/>
      </c>
      <c r="E47" s="90" t="n">
        <v>15.1</v>
      </c>
      <c r="F47" s="92">
        <f>D47*E47</f>
        <v/>
      </c>
      <c r="G47" s="93" t="n"/>
      <c r="H47" s="93" t="n"/>
      <c r="I47" s="93" t="n"/>
      <c r="N47" t="inlineStr">
        <is>
          <t>Trafo Aéreo 225 kVA – Trifásico – 13,8 kV – Convencional ( Unidade )</t>
        </is>
      </c>
      <c r="O47" s="238" t="n">
        <v>32406.27</v>
      </c>
      <c r="Q47" s="238">
        <f>P47*O47</f>
        <v/>
      </c>
    </row>
    <row r="48">
      <c r="A48" s="9" t="n">
        <v>37</v>
      </c>
      <c r="B48" t="n">
        <v>1.62</v>
      </c>
      <c r="C48" s="90" t="n">
        <v>18</v>
      </c>
      <c r="D48" s="90">
        <f>D47</f>
        <v/>
      </c>
      <c r="E48" s="90" t="n">
        <v>15.88</v>
      </c>
      <c r="F48" s="92">
        <f>D48*E48</f>
        <v/>
      </c>
      <c r="G48" s="93" t="n"/>
      <c r="H48" s="93" t="n"/>
      <c r="I48" s="93" t="n"/>
      <c r="N48" t="inlineStr">
        <is>
          <t>Trafo Aéreo 300 kVA – Trifásico – 13,8 kV – Convencional ( Unidade )</t>
        </is>
      </c>
      <c r="O48" s="238" t="n">
        <v>39745.57</v>
      </c>
      <c r="P48" s="9" t="n">
        <v>1</v>
      </c>
      <c r="Q48" s="238">
        <f>P48*O48</f>
        <v/>
      </c>
    </row>
    <row r="49" ht="15" customHeight="1" s="179">
      <c r="A49" s="9" t="n">
        <v>38</v>
      </c>
      <c r="B49" t="n">
        <v>1.62</v>
      </c>
      <c r="C49" s="90" t="n">
        <v>19</v>
      </c>
      <c r="D49" s="90">
        <f>D48</f>
        <v/>
      </c>
      <c r="E49" s="90" t="n">
        <v>16.66</v>
      </c>
      <c r="F49" s="92">
        <f>D49*E49</f>
        <v/>
      </c>
      <c r="G49" s="93" t="n"/>
      <c r="H49" s="93" t="n"/>
      <c r="I49" s="93" t="n"/>
      <c r="N49" s="87" t="n"/>
      <c r="O49" s="86" t="inlineStr">
        <is>
          <t>MT</t>
        </is>
      </c>
      <c r="P49" s="86" t="n"/>
      <c r="Q49" s="237" t="n"/>
    </row>
    <row r="50">
      <c r="A50" s="9" t="n">
        <v>39</v>
      </c>
      <c r="B50" t="n">
        <v>1.62</v>
      </c>
      <c r="C50" s="90" t="n">
        <v>20</v>
      </c>
      <c r="D50" s="90">
        <f>D49</f>
        <v/>
      </c>
      <c r="E50" s="90" t="n">
        <v>17.44</v>
      </c>
      <c r="F50" s="92">
        <f>D50*E50</f>
        <v/>
      </c>
      <c r="G50" s="93" t="n"/>
      <c r="H50" s="93" t="n"/>
      <c r="I50" s="93" t="n"/>
      <c r="N50" t="inlineStr">
        <is>
          <t xml:space="preserve">Rede Com Estrutura                                                                                                                                                         </t>
        </is>
      </c>
    </row>
    <row r="51">
      <c r="A51" s="9" t="n">
        <v>40</v>
      </c>
      <c r="B51" t="n">
        <v>1.62</v>
      </c>
      <c r="C51" s="90" t="n">
        <v>21</v>
      </c>
      <c r="D51" s="90">
        <f>D50</f>
        <v/>
      </c>
      <c r="E51" s="90" t="n">
        <v>18.05</v>
      </c>
      <c r="F51" s="92">
        <f>D51*E51</f>
        <v/>
      </c>
      <c r="G51" s="93" t="n"/>
      <c r="H51" s="93" t="n"/>
      <c r="I51" s="93" t="n"/>
      <c r="N51" t="inlineStr">
        <is>
          <t>Cabo 201 mm² CA Nu</t>
        </is>
      </c>
      <c r="O51" s="238" t="n">
        <v>129055.2648</v>
      </c>
      <c r="Q51" s="238">
        <f>P51*O51</f>
        <v/>
      </c>
    </row>
    <row r="52">
      <c r="A52" s="9" t="n">
        <v>41</v>
      </c>
      <c r="B52" t="n">
        <v>1.62</v>
      </c>
      <c r="C52" s="90" t="n">
        <v>22</v>
      </c>
      <c r="D52" s="90">
        <f>D51</f>
        <v/>
      </c>
      <c r="E52" s="90" t="n">
        <v>18.66</v>
      </c>
      <c r="F52" s="92">
        <f>D52*E52</f>
        <v/>
      </c>
      <c r="G52" s="93" t="n"/>
      <c r="H52" s="93" t="n"/>
      <c r="I52" s="93" t="n"/>
      <c r="N52" t="inlineStr">
        <is>
          <t>Cabo 95 mm² - Spacer Cable (Utilização nas ligações de GD)</t>
        </is>
      </c>
      <c r="O52" s="238" t="n">
        <v>138814.145</v>
      </c>
      <c r="Q52" s="238">
        <f>P52*O52</f>
        <v/>
      </c>
    </row>
    <row r="53">
      <c r="A53" s="9" t="n">
        <v>42</v>
      </c>
      <c r="B53" t="n">
        <v>1.62</v>
      </c>
      <c r="C53" s="90" t="n">
        <v>23</v>
      </c>
      <c r="D53" s="90">
        <f>D52</f>
        <v/>
      </c>
      <c r="E53" s="90" t="n">
        <v>19.27</v>
      </c>
      <c r="F53" s="92">
        <f>D53*E53</f>
        <v/>
      </c>
      <c r="G53" s="93" t="n"/>
      <c r="H53" s="93" t="n"/>
      <c r="I53" s="93" t="n"/>
      <c r="N53" t="inlineStr">
        <is>
          <t>Cabo 201 mm² - Spacer Cable</t>
        </is>
      </c>
      <c r="O53" s="238" t="n">
        <v>168904.145</v>
      </c>
      <c r="Q53" s="238">
        <f>P53*O53</f>
        <v/>
      </c>
    </row>
    <row r="54">
      <c r="A54" s="9" t="n">
        <v>43</v>
      </c>
      <c r="B54" t="n">
        <v>1.64</v>
      </c>
      <c r="C54" s="90" t="n">
        <v>24</v>
      </c>
      <c r="D54" s="90">
        <f>D53</f>
        <v/>
      </c>
      <c r="E54" s="90" t="n">
        <v>19.88</v>
      </c>
      <c r="F54" s="92">
        <f>D54*E54</f>
        <v/>
      </c>
      <c r="G54" s="93" t="n"/>
      <c r="H54" s="93" t="n"/>
      <c r="I54" s="93" t="n"/>
      <c r="N54" t="inlineStr">
        <is>
          <t>Cabo 185 mm² - PR – Blindado</t>
        </is>
      </c>
      <c r="O54" s="238" t="n">
        <v>317932.0181</v>
      </c>
      <c r="Q54" s="238">
        <f>P54*O54</f>
        <v/>
      </c>
    </row>
    <row r="55">
      <c r="A55" s="9" t="n">
        <v>44</v>
      </c>
      <c r="B55" t="n">
        <v>1.68</v>
      </c>
      <c r="C55" s="90" t="n">
        <v>25</v>
      </c>
      <c r="D55" s="90">
        <f>D54</f>
        <v/>
      </c>
      <c r="E55" s="90" t="n">
        <v>20.49</v>
      </c>
      <c r="F55" s="92">
        <f>D55*E55</f>
        <v/>
      </c>
      <c r="G55" s="93" t="n"/>
      <c r="H55" s="93" t="n"/>
      <c r="I55" s="93" t="n"/>
      <c r="O55" s="238" t="n"/>
      <c r="Q55" s="238">
        <f>P55*O55</f>
        <v/>
      </c>
    </row>
    <row r="56">
      <c r="A56" s="9" t="n">
        <v>45</v>
      </c>
      <c r="B56" t="n">
        <v>1.72</v>
      </c>
      <c r="C56" s="90" t="n">
        <v>26</v>
      </c>
      <c r="D56" s="90">
        <f>D55</f>
        <v/>
      </c>
      <c r="E56" s="90" t="n">
        <v>21.1</v>
      </c>
      <c r="F56" s="92">
        <f>D56*E56</f>
        <v/>
      </c>
      <c r="G56" s="93" t="n"/>
      <c r="H56" s="93" t="n"/>
      <c r="I56" s="93" t="n"/>
      <c r="N56" t="inlineStr">
        <is>
          <t xml:space="preserve">Rede Sem estrutura                                                                                                                                                                       </t>
        </is>
      </c>
      <c r="O56" s="238" t="n"/>
      <c r="Q56" s="238">
        <f>P56*O56</f>
        <v/>
      </c>
    </row>
    <row r="57">
      <c r="A57" s="9" t="n">
        <v>46</v>
      </c>
      <c r="B57" t="n">
        <v>1.75</v>
      </c>
      <c r="C57" s="90" t="n">
        <v>27</v>
      </c>
      <c r="D57" s="90">
        <f>D56</f>
        <v/>
      </c>
      <c r="E57" s="90" t="n">
        <v>21.71</v>
      </c>
      <c r="F57" s="92">
        <f>D57*E57</f>
        <v/>
      </c>
      <c r="G57" s="93" t="n"/>
      <c r="H57" s="93" t="n"/>
      <c r="I57" s="93" t="n"/>
      <c r="N57" t="inlineStr">
        <is>
          <t>Cabo 201 mm² CA Nu</t>
        </is>
      </c>
      <c r="O57" s="238" t="n">
        <v>82273.60000000001</v>
      </c>
      <c r="Q57" s="238">
        <f>P57*O57</f>
        <v/>
      </c>
    </row>
    <row r="58">
      <c r="A58" s="9" t="n">
        <v>47</v>
      </c>
      <c r="B58" t="n">
        <v>1.79</v>
      </c>
      <c r="C58" s="90" t="n">
        <v>28</v>
      </c>
      <c r="D58" s="90">
        <f>D57</f>
        <v/>
      </c>
      <c r="E58" s="90" t="n">
        <v>22.32</v>
      </c>
      <c r="F58" s="92">
        <f>D58*E58</f>
        <v/>
      </c>
      <c r="G58" s="93" t="n"/>
      <c r="H58" s="93" t="n"/>
      <c r="I58" s="93" t="n"/>
      <c r="N58" t="inlineStr">
        <is>
          <t>Cabo 201 mm² - Spacer Cable</t>
        </is>
      </c>
      <c r="O58" s="238" t="n">
        <v>134083</v>
      </c>
      <c r="Q58" s="238">
        <f>P58*O58</f>
        <v/>
      </c>
    </row>
    <row r="59">
      <c r="A59" s="9" t="n">
        <v>48</v>
      </c>
      <c r="B59" t="n">
        <v>1.81</v>
      </c>
      <c r="C59" s="90" t="n">
        <v>29</v>
      </c>
      <c r="D59" s="90">
        <f>D58</f>
        <v/>
      </c>
      <c r="E59" s="90" t="n">
        <v>22.93</v>
      </c>
      <c r="F59" s="92">
        <f>D59*E59</f>
        <v/>
      </c>
      <c r="G59" s="93" t="n"/>
      <c r="H59" s="93" t="n"/>
      <c r="I59" s="93" t="n"/>
    </row>
    <row r="60">
      <c r="A60" s="9" t="n">
        <v>49</v>
      </c>
      <c r="B60" t="n">
        <v>1.85</v>
      </c>
      <c r="C60" s="90" t="n">
        <v>30</v>
      </c>
      <c r="D60" s="90">
        <f>D59</f>
        <v/>
      </c>
      <c r="E60" s="90" t="n">
        <v>23.54</v>
      </c>
      <c r="F60" s="92">
        <f>D60*E60</f>
        <v/>
      </c>
      <c r="G60" s="93" t="n"/>
      <c r="H60" s="93" t="n"/>
      <c r="I60" s="93" t="n"/>
    </row>
    <row r="61">
      <c r="A61" s="9" t="n">
        <v>50</v>
      </c>
      <c r="B61" t="n">
        <v>1.88</v>
      </c>
      <c r="C61" s="90" t="n">
        <v>31</v>
      </c>
      <c r="D61" s="90">
        <f>D60</f>
        <v/>
      </c>
      <c r="E61" s="90" t="n">
        <v>24.14</v>
      </c>
      <c r="F61" s="92">
        <f>D61*E61</f>
        <v/>
      </c>
      <c r="G61" s="93" t="n"/>
      <c r="H61" s="93" t="n"/>
      <c r="I61" s="93" t="n"/>
    </row>
    <row r="62">
      <c r="A62" s="9" t="n">
        <v>51</v>
      </c>
      <c r="B62" t="n">
        <v>1.92</v>
      </c>
      <c r="C62" s="90" t="n">
        <v>32</v>
      </c>
      <c r="D62" s="90">
        <f>D61</f>
        <v/>
      </c>
      <c r="E62" s="90" t="n">
        <v>24.74</v>
      </c>
      <c r="F62" s="92">
        <f>D62*E62</f>
        <v/>
      </c>
      <c r="G62" s="93" t="n"/>
      <c r="H62" s="93" t="n"/>
      <c r="I62" s="93" t="n"/>
    </row>
    <row r="63">
      <c r="A63" s="9" t="n">
        <v>52</v>
      </c>
      <c r="B63" t="n">
        <v>1.96</v>
      </c>
      <c r="C63" s="90" t="n">
        <v>33</v>
      </c>
      <c r="D63" s="90">
        <f>D62</f>
        <v/>
      </c>
      <c r="E63" s="90" t="n">
        <v>25.34</v>
      </c>
      <c r="F63" s="92">
        <f>D63*E63</f>
        <v/>
      </c>
      <c r="G63" s="93" t="n"/>
      <c r="H63" s="93" t="n"/>
      <c r="I63" s="93" t="n"/>
    </row>
    <row r="64">
      <c r="A64" s="9" t="n">
        <v>53</v>
      </c>
      <c r="B64" t="n">
        <v>1.99</v>
      </c>
      <c r="C64" s="90" t="n">
        <v>34</v>
      </c>
      <c r="D64" s="90">
        <f>D63</f>
        <v/>
      </c>
      <c r="E64" s="90" t="n">
        <v>25.94</v>
      </c>
      <c r="F64" s="92">
        <f>D64*E64</f>
        <v/>
      </c>
      <c r="G64" s="93" t="n"/>
      <c r="H64" s="93" t="n"/>
      <c r="I64" s="93" t="n"/>
    </row>
    <row r="65">
      <c r="A65" s="9" t="n">
        <v>54</v>
      </c>
      <c r="B65" t="n">
        <v>2.02</v>
      </c>
      <c r="C65" s="90" t="n">
        <v>35</v>
      </c>
      <c r="D65" s="90">
        <f>D64</f>
        <v/>
      </c>
      <c r="E65" s="90" t="n">
        <v>26.54</v>
      </c>
      <c r="F65" s="92">
        <f>D65*E65</f>
        <v/>
      </c>
      <c r="G65" s="93" t="n"/>
      <c r="H65" s="93" t="n"/>
      <c r="I65" s="93" t="n"/>
    </row>
    <row r="66">
      <c r="A66" s="9" t="n">
        <v>55</v>
      </c>
      <c r="B66" t="n">
        <v>2.05</v>
      </c>
      <c r="C66" s="90" t="n">
        <v>36</v>
      </c>
      <c r="D66" s="90">
        <f>D65</f>
        <v/>
      </c>
      <c r="E66" s="90" t="n">
        <v>27.14</v>
      </c>
      <c r="F66" s="92">
        <f>D66*E66</f>
        <v/>
      </c>
      <c r="G66" s="93" t="n"/>
      <c r="H66" s="93" t="n"/>
      <c r="I66" s="93" t="n"/>
    </row>
    <row r="67">
      <c r="A67" s="9" t="n">
        <v>56</v>
      </c>
      <c r="B67" t="n">
        <v>2.09</v>
      </c>
      <c r="C67" s="90" t="n">
        <v>37</v>
      </c>
      <c r="D67" s="90">
        <f>D66</f>
        <v/>
      </c>
      <c r="E67" s="90" t="n">
        <v>27.74</v>
      </c>
      <c r="F67" s="92">
        <f>D67*E67</f>
        <v/>
      </c>
      <c r="G67" s="93" t="n"/>
      <c r="H67" s="93" t="n"/>
      <c r="I67" s="93" t="n"/>
    </row>
    <row r="68">
      <c r="A68" s="9" t="n">
        <v>57</v>
      </c>
      <c r="B68" t="n">
        <v>2.12</v>
      </c>
      <c r="C68" s="90" t="n">
        <v>38</v>
      </c>
      <c r="D68" s="90">
        <f>D67</f>
        <v/>
      </c>
      <c r="E68" s="90" t="n">
        <v>28.34</v>
      </c>
      <c r="F68" s="92">
        <f>D68*E68</f>
        <v/>
      </c>
      <c r="G68" s="93" t="n"/>
      <c r="H68" s="93" t="n"/>
      <c r="I68" s="93" t="n"/>
    </row>
    <row r="69">
      <c r="A69" s="9" t="n">
        <v>58</v>
      </c>
      <c r="B69" t="n">
        <v>2.15</v>
      </c>
      <c r="C69" s="90" t="n">
        <v>39</v>
      </c>
      <c r="D69" s="90">
        <f>D68</f>
        <v/>
      </c>
      <c r="E69" s="90" t="n">
        <v>28.94</v>
      </c>
      <c r="F69" s="92">
        <f>D69*E69</f>
        <v/>
      </c>
      <c r="G69" s="93" t="n"/>
      <c r="H69" s="93" t="n"/>
      <c r="I69" s="93" t="n"/>
    </row>
    <row r="70">
      <c r="A70" s="9" t="n">
        <v>59</v>
      </c>
      <c r="B70" t="n">
        <v>2.18</v>
      </c>
      <c r="C70" s="90" t="n">
        <v>40</v>
      </c>
      <c r="D70" s="90">
        <f>D69</f>
        <v/>
      </c>
      <c r="E70" s="90" t="n">
        <v>29.54</v>
      </c>
      <c r="F70" s="92">
        <f>D70*E70</f>
        <v/>
      </c>
      <c r="G70" s="93" t="n"/>
      <c r="H70" s="93" t="n"/>
      <c r="I70" s="93" t="n"/>
    </row>
    <row r="71">
      <c r="A71" s="9" t="n">
        <v>60</v>
      </c>
      <c r="B71" t="n">
        <v>2.22</v>
      </c>
      <c r="C71" s="90" t="n">
        <v>41</v>
      </c>
      <c r="D71" s="90">
        <f>D70</f>
        <v/>
      </c>
      <c r="E71" s="90" t="n">
        <v>30.14</v>
      </c>
      <c r="F71" s="92">
        <f>D71*E71</f>
        <v/>
      </c>
      <c r="G71" s="93" t="n"/>
      <c r="H71" s="93" t="n"/>
      <c r="I71" s="93" t="n"/>
    </row>
    <row r="72">
      <c r="A72" s="9" t="n">
        <v>61</v>
      </c>
      <c r="B72" t="n">
        <v>2.26</v>
      </c>
      <c r="C72" s="90" t="n">
        <v>42</v>
      </c>
      <c r="D72" s="90">
        <f>D71</f>
        <v/>
      </c>
      <c r="E72" s="90" t="n">
        <v>30.74</v>
      </c>
      <c r="F72" s="92">
        <f>D72*E72</f>
        <v/>
      </c>
      <c r="G72" s="93" t="n"/>
      <c r="H72" s="93" t="n"/>
      <c r="I72" s="93" t="n"/>
    </row>
    <row r="73">
      <c r="A73" s="9" t="n">
        <v>62</v>
      </c>
      <c r="B73" t="n">
        <v>2.29</v>
      </c>
      <c r="C73" s="90" t="n">
        <v>43</v>
      </c>
      <c r="D73" s="90">
        <f>D72</f>
        <v/>
      </c>
      <c r="E73" s="90" t="n">
        <v>31.34</v>
      </c>
      <c r="F73" s="92">
        <f>D73*E73</f>
        <v/>
      </c>
      <c r="G73" s="93" t="n"/>
      <c r="H73" s="93" t="n"/>
      <c r="I73" s="93" t="n"/>
    </row>
    <row r="74">
      <c r="A74" s="9" t="n">
        <v>63</v>
      </c>
      <c r="B74" t="n">
        <v>2.32</v>
      </c>
      <c r="C74" s="90" t="n">
        <v>44</v>
      </c>
      <c r="D74" s="90">
        <f>D73</f>
        <v/>
      </c>
      <c r="E74" s="90" t="n">
        <v>31.94</v>
      </c>
      <c r="F74" s="92">
        <f>D74*E74</f>
        <v/>
      </c>
      <c r="G74" s="93" t="n"/>
      <c r="H74" s="93" t="n"/>
      <c r="I74" s="93" t="n"/>
    </row>
    <row r="75">
      <c r="A75" s="9" t="n">
        <v>64</v>
      </c>
      <c r="B75" t="n">
        <v>2.35</v>
      </c>
      <c r="C75" s="90" t="n">
        <v>45</v>
      </c>
      <c r="D75" s="90">
        <f>D74</f>
        <v/>
      </c>
      <c r="E75" s="90" t="n">
        <v>32.54</v>
      </c>
      <c r="F75" s="92">
        <f>D75*E75</f>
        <v/>
      </c>
      <c r="G75" s="93" t="n"/>
      <c r="H75" s="93" t="n"/>
      <c r="I75" s="93" t="n"/>
    </row>
    <row r="76">
      <c r="A76" s="9" t="n">
        <v>65</v>
      </c>
      <c r="B76" t="n">
        <v>2.39</v>
      </c>
      <c r="C76" s="90" t="n">
        <v>46</v>
      </c>
      <c r="D76" s="90">
        <f>D75</f>
        <v/>
      </c>
      <c r="E76" s="90" t="n">
        <v>33.1</v>
      </c>
      <c r="F76" s="92">
        <f>D76*E76</f>
        <v/>
      </c>
      <c r="G76" s="93" t="n"/>
      <c r="H76" s="93" t="n"/>
      <c r="I76" s="93" t="n"/>
    </row>
    <row r="77">
      <c r="A77" s="9" t="n">
        <v>66</v>
      </c>
      <c r="B77" t="n">
        <v>2.41</v>
      </c>
      <c r="C77" s="90" t="n">
        <v>47</v>
      </c>
      <c r="D77" s="90">
        <f>D76</f>
        <v/>
      </c>
      <c r="E77" s="90" t="n">
        <v>33.66</v>
      </c>
      <c r="F77" s="92">
        <f>D77*E77</f>
        <v/>
      </c>
      <c r="G77" s="93" t="n"/>
      <c r="H77" s="93" t="n"/>
      <c r="I77" s="93" t="n"/>
    </row>
    <row r="78">
      <c r="A78" s="9" t="n">
        <v>67</v>
      </c>
      <c r="B78" t="n">
        <v>2.45</v>
      </c>
      <c r="C78" s="90" t="n">
        <v>48</v>
      </c>
      <c r="D78" s="90">
        <f>D77</f>
        <v/>
      </c>
      <c r="E78" s="90" t="n">
        <v>34.22</v>
      </c>
      <c r="F78" s="92">
        <f>D78*E78</f>
        <v/>
      </c>
      <c r="G78" s="93" t="n"/>
      <c r="H78" s="93" t="n"/>
      <c r="I78" s="93" t="n"/>
    </row>
    <row r="79">
      <c r="A79" s="9" t="n">
        <v>68</v>
      </c>
      <c r="B79" t="n">
        <v>2.48</v>
      </c>
      <c r="C79" s="90" t="n">
        <v>49</v>
      </c>
      <c r="D79" s="90">
        <f>D78</f>
        <v/>
      </c>
      <c r="E79" s="90" t="n">
        <v>34.78</v>
      </c>
      <c r="F79" s="92">
        <f>D79*E79</f>
        <v/>
      </c>
      <c r="G79" s="93" t="n"/>
      <c r="H79" s="93" t="n"/>
      <c r="I79" s="93" t="n"/>
    </row>
    <row r="80">
      <c r="A80" s="9" t="n">
        <v>69</v>
      </c>
      <c r="B80" t="n">
        <v>2.52</v>
      </c>
      <c r="C80" s="90" t="n">
        <v>50</v>
      </c>
      <c r="D80" s="90">
        <f>D79</f>
        <v/>
      </c>
      <c r="E80" s="90" t="n">
        <v>35.34</v>
      </c>
      <c r="F80" s="92">
        <f>D80*E80</f>
        <v/>
      </c>
      <c r="G80" s="93" t="n"/>
      <c r="H80" s="93" t="n"/>
      <c r="I80" s="93" t="n"/>
    </row>
    <row r="81">
      <c r="A81" s="9" t="n">
        <v>70</v>
      </c>
      <c r="B81" t="n">
        <v>2.54</v>
      </c>
      <c r="C81" s="90" t="n">
        <v>51</v>
      </c>
      <c r="D81" s="90">
        <f>D80</f>
        <v/>
      </c>
      <c r="E81" s="90" t="n">
        <v>35.9</v>
      </c>
      <c r="F81" s="92">
        <f>D81*E81</f>
        <v/>
      </c>
      <c r="G81" s="93" t="n"/>
      <c r="H81" s="93" t="n"/>
      <c r="I81" s="93" t="n"/>
    </row>
    <row r="82">
      <c r="A82" s="9" t="n">
        <v>71</v>
      </c>
      <c r="B82" t="n">
        <v>2.58</v>
      </c>
      <c r="C82" s="90" t="n">
        <v>52</v>
      </c>
      <c r="D82" s="90">
        <f>D81</f>
        <v/>
      </c>
      <c r="E82" s="90" t="n">
        <v>36.46</v>
      </c>
      <c r="F82" s="92">
        <f>D82*E82</f>
        <v/>
      </c>
      <c r="G82" s="93" t="n"/>
      <c r="H82" s="93" t="n"/>
      <c r="I82" s="93" t="n"/>
    </row>
    <row r="83">
      <c r="A83" s="9" t="n">
        <v>72</v>
      </c>
      <c r="B83" t="n">
        <v>2.62</v>
      </c>
      <c r="C83" s="90" t="n">
        <v>53</v>
      </c>
      <c r="D83" s="90">
        <f>D82</f>
        <v/>
      </c>
      <c r="E83" s="90" t="n">
        <v>37.02</v>
      </c>
      <c r="F83" s="92">
        <f>D83*E83</f>
        <v/>
      </c>
      <c r="G83" s="93" t="n"/>
      <c r="H83" s="93" t="n"/>
      <c r="I83" s="93" t="n"/>
    </row>
    <row r="84">
      <c r="A84" s="9" t="n">
        <v>73</v>
      </c>
      <c r="B84" t="n">
        <v>2.64</v>
      </c>
      <c r="C84" s="90" t="n">
        <v>54</v>
      </c>
      <c r="D84" s="90">
        <f>D83</f>
        <v/>
      </c>
      <c r="E84" s="90" t="n">
        <v>37.58</v>
      </c>
      <c r="F84" s="92">
        <f>D84*E84</f>
        <v/>
      </c>
      <c r="G84" s="93" t="n"/>
      <c r="H84" s="93" t="n"/>
      <c r="I84" s="93" t="n"/>
    </row>
    <row r="85">
      <c r="A85" s="9" t="n">
        <v>74</v>
      </c>
      <c r="B85" t="n">
        <v>2.68</v>
      </c>
      <c r="C85" s="90" t="n">
        <v>55</v>
      </c>
      <c r="D85" s="90">
        <f>D84</f>
        <v/>
      </c>
      <c r="E85" s="90" t="n">
        <v>38.14</v>
      </c>
      <c r="F85" s="92">
        <f>D85*E85</f>
        <v/>
      </c>
      <c r="G85" s="93" t="n"/>
      <c r="H85" s="93" t="n"/>
      <c r="I85" s="93" t="n"/>
    </row>
    <row r="86">
      <c r="A86" s="9" t="n">
        <v>75</v>
      </c>
      <c r="B86" t="n">
        <v>2.71</v>
      </c>
      <c r="C86" s="90" t="n">
        <v>56</v>
      </c>
      <c r="D86" s="90">
        <f>D85</f>
        <v/>
      </c>
      <c r="E86" s="90" t="n">
        <v>38.7</v>
      </c>
      <c r="F86" s="92">
        <f>D86*E86</f>
        <v/>
      </c>
      <c r="G86" s="93" t="n"/>
      <c r="H86" s="93" t="n"/>
      <c r="I86" s="93" t="n"/>
    </row>
    <row r="87">
      <c r="A87" s="9" t="n">
        <v>76</v>
      </c>
      <c r="B87" t="n">
        <v>2.75</v>
      </c>
      <c r="C87" s="90" t="n">
        <v>57</v>
      </c>
      <c r="D87" s="90">
        <f>D86</f>
        <v/>
      </c>
      <c r="E87" s="90" t="n">
        <v>39.26</v>
      </c>
      <c r="F87" s="92">
        <f>D87*E87</f>
        <v/>
      </c>
      <c r="G87" s="93" t="n"/>
      <c r="H87" s="93" t="n"/>
      <c r="I87" s="93" t="n"/>
    </row>
    <row r="88">
      <c r="A88" s="9" t="n">
        <v>77</v>
      </c>
      <c r="B88" t="n">
        <v>2.77</v>
      </c>
      <c r="C88" s="90" t="n">
        <v>58</v>
      </c>
      <c r="D88" s="90">
        <f>D87</f>
        <v/>
      </c>
      <c r="E88" s="90" t="n">
        <v>39.82</v>
      </c>
      <c r="F88" s="92">
        <f>D88*E88</f>
        <v/>
      </c>
      <c r="G88" s="93" t="n"/>
      <c r="H88" s="93" t="n"/>
      <c r="I88" s="93" t="n"/>
    </row>
    <row r="89">
      <c r="A89" s="9" t="n">
        <v>78</v>
      </c>
      <c r="B89" t="n">
        <v>2.81</v>
      </c>
      <c r="C89" s="90" t="n">
        <v>59</v>
      </c>
      <c r="D89" s="90">
        <f>D88</f>
        <v/>
      </c>
      <c r="E89" s="90" t="n">
        <v>40.38</v>
      </c>
      <c r="F89" s="92">
        <f>D89*E89</f>
        <v/>
      </c>
      <c r="G89" s="93" t="n"/>
      <c r="H89" s="93" t="n"/>
      <c r="I89" s="93" t="n"/>
    </row>
    <row r="90">
      <c r="A90" s="9" t="n">
        <v>79</v>
      </c>
      <c r="B90" t="n">
        <v>2.84</v>
      </c>
      <c r="C90" s="90" t="n">
        <v>60</v>
      </c>
      <c r="D90" s="90">
        <f>D89</f>
        <v/>
      </c>
      <c r="E90" s="90" t="n">
        <v>40.94</v>
      </c>
      <c r="F90" s="92">
        <f>D90*E90</f>
        <v/>
      </c>
      <c r="G90" s="93" t="n"/>
      <c r="H90" s="93" t="n"/>
      <c r="I90" s="93" t="n"/>
    </row>
    <row r="91">
      <c r="A91" s="9" t="n">
        <v>80</v>
      </c>
      <c r="B91" t="n">
        <v>2.87</v>
      </c>
      <c r="C91" s="90" t="n">
        <v>61</v>
      </c>
      <c r="D91" s="90">
        <f>D90</f>
        <v/>
      </c>
      <c r="E91" s="90" t="n">
        <v>41.5</v>
      </c>
      <c r="F91" s="92">
        <f>D91*E91</f>
        <v/>
      </c>
      <c r="G91" s="93" t="n"/>
      <c r="H91" s="93" t="n"/>
      <c r="I91" s="93" t="n"/>
    </row>
    <row r="92">
      <c r="A92" s="9" t="n">
        <v>81</v>
      </c>
      <c r="B92" t="n">
        <v>2.9</v>
      </c>
      <c r="C92" s="90" t="n">
        <v>62</v>
      </c>
      <c r="D92" s="90">
        <f>D91</f>
        <v/>
      </c>
      <c r="E92" s="90" t="n">
        <v>42.06</v>
      </c>
      <c r="F92" s="92">
        <f>D92*E92</f>
        <v/>
      </c>
      <c r="G92" s="93" t="n"/>
      <c r="H92" s="93" t="n"/>
      <c r="I92" s="93" t="n"/>
    </row>
    <row r="93">
      <c r="A93" s="9" t="n">
        <v>82</v>
      </c>
      <c r="B93" t="n">
        <v>2.94</v>
      </c>
      <c r="C93" s="90" t="n">
        <v>63</v>
      </c>
      <c r="D93" s="90">
        <f>D92</f>
        <v/>
      </c>
      <c r="E93" s="90" t="n">
        <v>42.62</v>
      </c>
      <c r="F93" s="92">
        <f>D93*E93</f>
        <v/>
      </c>
      <c r="G93" s="93" t="n"/>
      <c r="H93" s="93" t="n"/>
      <c r="I93" s="93" t="n"/>
    </row>
    <row r="94">
      <c r="A94" s="9" t="n">
        <v>83</v>
      </c>
      <c r="B94" t="n">
        <v>2.96</v>
      </c>
      <c r="C94" s="90" t="n">
        <v>64</v>
      </c>
      <c r="D94" s="90">
        <f>D93</f>
        <v/>
      </c>
      <c r="E94" s="90" t="n">
        <v>43.18</v>
      </c>
      <c r="F94" s="92">
        <f>D94*E94</f>
        <v/>
      </c>
      <c r="G94" s="93" t="n"/>
      <c r="H94" s="93" t="n"/>
      <c r="I94" s="93" t="n"/>
    </row>
    <row r="95">
      <c r="A95" s="9" t="n">
        <v>84</v>
      </c>
      <c r="B95" t="n">
        <v>3</v>
      </c>
      <c r="C95" s="90" t="n">
        <v>65</v>
      </c>
      <c r="D95" s="90">
        <f>D94</f>
        <v/>
      </c>
      <c r="E95" s="90" t="n">
        <v>43.74</v>
      </c>
      <c r="F95" s="92">
        <f>D95*E95</f>
        <v/>
      </c>
      <c r="G95" s="93" t="n"/>
      <c r="H95" s="93" t="n"/>
      <c r="I95" s="93" t="n"/>
    </row>
    <row r="96">
      <c r="A96" s="9" t="n">
        <v>85</v>
      </c>
      <c r="B96" t="n">
        <v>3.04</v>
      </c>
      <c r="C96" s="90" t="n">
        <v>66</v>
      </c>
      <c r="D96" s="90">
        <f>D95</f>
        <v/>
      </c>
      <c r="E96" s="90" t="n">
        <v>44.3</v>
      </c>
      <c r="F96" s="92">
        <f>D96*E96</f>
        <v/>
      </c>
      <c r="G96" s="93" t="n"/>
      <c r="H96" s="93" t="n"/>
      <c r="I96" s="93" t="n"/>
    </row>
    <row r="97">
      <c r="A97" s="9" t="n">
        <v>86</v>
      </c>
      <c r="B97" t="n">
        <v>3.06</v>
      </c>
      <c r="C97" s="90" t="n">
        <v>67</v>
      </c>
      <c r="D97" s="90">
        <f>D96</f>
        <v/>
      </c>
      <c r="E97" s="90" t="n">
        <v>44.86</v>
      </c>
      <c r="F97" s="92">
        <f>D97*E97</f>
        <v/>
      </c>
      <c r="G97" s="93" t="n"/>
      <c r="H97" s="93" t="n"/>
      <c r="I97" s="93" t="n"/>
    </row>
    <row r="98">
      <c r="A98" s="9" t="n">
        <v>87</v>
      </c>
      <c r="B98" t="n">
        <v>3.1</v>
      </c>
      <c r="C98" s="90" t="n">
        <v>68</v>
      </c>
      <c r="D98" s="90">
        <f>D97</f>
        <v/>
      </c>
      <c r="E98" s="90" t="n">
        <v>45.42</v>
      </c>
      <c r="F98" s="92">
        <f>D98*E98</f>
        <v/>
      </c>
      <c r="G98" s="93" t="n"/>
      <c r="H98" s="93" t="n"/>
      <c r="I98" s="93" t="n"/>
    </row>
    <row r="99">
      <c r="A99" s="9" t="n">
        <v>88</v>
      </c>
      <c r="B99" t="n">
        <v>3.13</v>
      </c>
      <c r="C99" s="90" t="n">
        <v>69</v>
      </c>
      <c r="D99" s="90">
        <f>D98</f>
        <v/>
      </c>
      <c r="E99" s="90" t="n">
        <v>45.98</v>
      </c>
      <c r="F99" s="92">
        <f>D99*E99</f>
        <v/>
      </c>
      <c r="G99" s="93" t="n"/>
      <c r="H99" s="93" t="n"/>
      <c r="I99" s="93" t="n"/>
    </row>
    <row r="100">
      <c r="A100" s="9" t="n">
        <v>89</v>
      </c>
      <c r="B100" t="n">
        <v>3.16</v>
      </c>
      <c r="C100" s="90" t="n">
        <v>70</v>
      </c>
      <c r="D100" s="90">
        <f>D99</f>
        <v/>
      </c>
      <c r="E100" s="90" t="n">
        <v>46.5399999999999</v>
      </c>
      <c r="F100" s="92">
        <f>D100*E100</f>
        <v/>
      </c>
      <c r="G100" s="93" t="n"/>
      <c r="H100" s="93" t="n"/>
      <c r="I100" s="93" t="n"/>
    </row>
    <row r="101">
      <c r="A101" s="9" t="n">
        <v>90</v>
      </c>
      <c r="B101" t="n">
        <v>3.19</v>
      </c>
      <c r="C101" s="90" t="n">
        <v>71</v>
      </c>
      <c r="D101" s="90">
        <f>D100</f>
        <v/>
      </c>
      <c r="E101" s="90" t="n">
        <v>47.0999999999999</v>
      </c>
      <c r="F101" s="92">
        <f>D101*E101</f>
        <v/>
      </c>
      <c r="G101" s="93" t="n"/>
      <c r="H101" s="93" t="n"/>
      <c r="I101" s="93" t="n"/>
    </row>
    <row r="102">
      <c r="A102" s="9" t="n">
        <v>91</v>
      </c>
      <c r="B102" t="n">
        <v>3.23</v>
      </c>
      <c r="C102" s="90" t="n">
        <v>72</v>
      </c>
      <c r="D102" s="90">
        <f>D101</f>
        <v/>
      </c>
      <c r="E102" s="90" t="n">
        <v>47.6599999999999</v>
      </c>
      <c r="F102" s="92">
        <f>D102*E102</f>
        <v/>
      </c>
      <c r="G102" s="93" t="n"/>
      <c r="H102" s="93" t="n"/>
      <c r="I102" s="93" t="n"/>
    </row>
    <row r="103">
      <c r="A103" s="9" t="n">
        <v>92</v>
      </c>
      <c r="B103" t="n">
        <v>3.25</v>
      </c>
      <c r="C103" s="90" t="n">
        <v>73</v>
      </c>
      <c r="D103" s="90">
        <f>D102</f>
        <v/>
      </c>
      <c r="E103" s="90" t="n">
        <v>48.2199999999999</v>
      </c>
      <c r="F103" s="92">
        <f>D103*E103</f>
        <v/>
      </c>
      <c r="G103" s="93" t="n"/>
      <c r="H103" s="93" t="n"/>
      <c r="I103" s="93" t="n"/>
    </row>
    <row r="104">
      <c r="A104" s="9" t="n">
        <v>93</v>
      </c>
      <c r="B104" t="n">
        <v>3.29</v>
      </c>
      <c r="C104" s="90" t="n">
        <v>74</v>
      </c>
      <c r="D104" s="90">
        <f>D103</f>
        <v/>
      </c>
      <c r="E104" s="90" t="n">
        <v>48.7799999999999</v>
      </c>
      <c r="F104" s="92">
        <f>D104*E104</f>
        <v/>
      </c>
      <c r="G104" s="93" t="n"/>
      <c r="H104" s="93" t="n"/>
      <c r="I104" s="93" t="n"/>
    </row>
    <row r="105">
      <c r="A105" s="9" t="n">
        <v>94</v>
      </c>
      <c r="B105" t="n">
        <v>3.31</v>
      </c>
      <c r="C105" s="90" t="n">
        <v>75</v>
      </c>
      <c r="D105" s="90">
        <f>D104</f>
        <v/>
      </c>
      <c r="E105" s="90" t="n">
        <v>49.3399999999999</v>
      </c>
      <c r="F105" s="92">
        <f>D105*E105</f>
        <v/>
      </c>
      <c r="G105" s="93" t="n"/>
      <c r="H105" s="93" t="n"/>
      <c r="I105" s="93" t="n"/>
    </row>
    <row r="106">
      <c r="A106" s="9" t="n">
        <v>95</v>
      </c>
      <c r="B106" t="n">
        <v>3.35</v>
      </c>
      <c r="C106" s="90" t="n">
        <v>76</v>
      </c>
      <c r="D106" s="90">
        <f>D105</f>
        <v/>
      </c>
      <c r="E106" s="90" t="n">
        <v>49.8999999999999</v>
      </c>
      <c r="F106" s="92">
        <f>D106*E106</f>
        <v/>
      </c>
      <c r="G106" s="93" t="n"/>
      <c r="H106" s="93" t="n"/>
      <c r="I106" s="93" t="n"/>
    </row>
    <row r="107">
      <c r="A107" s="9" t="n">
        <v>96</v>
      </c>
      <c r="B107" t="n">
        <v>3.38</v>
      </c>
      <c r="C107" s="90" t="n">
        <v>77</v>
      </c>
      <c r="D107" s="90">
        <f>D106</f>
        <v/>
      </c>
      <c r="E107" s="90" t="n">
        <v>50.4599999999999</v>
      </c>
      <c r="F107" s="92">
        <f>D107*E107</f>
        <v/>
      </c>
      <c r="G107" s="93" t="n"/>
      <c r="H107" s="93" t="n"/>
      <c r="I107" s="93" t="n"/>
    </row>
    <row r="108">
      <c r="A108" s="9" t="n">
        <v>97</v>
      </c>
      <c r="B108" t="n">
        <v>3.41</v>
      </c>
      <c r="C108" s="90" t="n">
        <v>78</v>
      </c>
      <c r="D108" s="90">
        <f>D107</f>
        <v/>
      </c>
      <c r="E108" s="90" t="n">
        <v>51.0199999999999</v>
      </c>
      <c r="F108" s="92">
        <f>D108*E108</f>
        <v/>
      </c>
      <c r="G108" s="93" t="n"/>
      <c r="H108" s="93" t="n"/>
      <c r="I108" s="93" t="n"/>
    </row>
    <row r="109">
      <c r="A109" s="9" t="n">
        <v>98</v>
      </c>
      <c r="B109" t="n">
        <v>3.44</v>
      </c>
      <c r="C109" s="90" t="n">
        <v>79</v>
      </c>
      <c r="D109" s="90">
        <f>D108</f>
        <v/>
      </c>
      <c r="E109" s="90" t="n">
        <v>51.5799999999999</v>
      </c>
      <c r="F109" s="92">
        <f>D109*E109</f>
        <v/>
      </c>
      <c r="G109" s="93" t="n"/>
      <c r="H109" s="93" t="n"/>
      <c r="I109" s="93" t="n"/>
    </row>
    <row r="110">
      <c r="A110" s="9" t="n">
        <v>99</v>
      </c>
      <c r="B110" t="n">
        <v>3.48</v>
      </c>
      <c r="C110" s="90" t="n">
        <v>80</v>
      </c>
      <c r="D110" s="90">
        <f>D109</f>
        <v/>
      </c>
      <c r="E110" s="90" t="n">
        <v>52.1399999999999</v>
      </c>
      <c r="F110" s="92">
        <f>D110*E110</f>
        <v/>
      </c>
      <c r="G110" s="93" t="n"/>
      <c r="H110" s="93" t="n"/>
      <c r="I110" s="93" t="n"/>
    </row>
    <row r="111">
      <c r="A111" s="9" t="n">
        <v>100</v>
      </c>
      <c r="B111" t="n">
        <v>3.5</v>
      </c>
      <c r="C111" s="90" t="n">
        <v>81</v>
      </c>
      <c r="D111" s="90">
        <f>D110</f>
        <v/>
      </c>
      <c r="E111" s="90" t="n">
        <v>52.6999999999999</v>
      </c>
      <c r="F111" s="92">
        <f>D111*E111</f>
        <v/>
      </c>
      <c r="G111" s="93" t="n"/>
      <c r="H111" s="93" t="n"/>
      <c r="I111" s="93" t="n"/>
    </row>
    <row r="112">
      <c r="A112" s="9" t="n">
        <v>101</v>
      </c>
      <c r="B112" t="n">
        <v>3.54</v>
      </c>
      <c r="C112" s="90" t="n">
        <v>82</v>
      </c>
      <c r="D112" s="90">
        <f>D111</f>
        <v/>
      </c>
      <c r="E112" s="90" t="n">
        <v>53.2599999999999</v>
      </c>
      <c r="F112" s="92">
        <f>D112*E112</f>
        <v/>
      </c>
      <c r="G112" s="93" t="n"/>
      <c r="H112" s="93" t="n"/>
      <c r="I112" s="93" t="n"/>
    </row>
    <row r="113">
      <c r="A113" s="9" t="n">
        <v>102</v>
      </c>
      <c r="B113" t="n">
        <v>3.56</v>
      </c>
      <c r="C113" s="90" t="n">
        <v>83</v>
      </c>
      <c r="D113" s="90">
        <f>D112</f>
        <v/>
      </c>
      <c r="E113" s="90" t="n">
        <v>53.8199999999999</v>
      </c>
      <c r="F113" s="92">
        <f>D113*E113</f>
        <v/>
      </c>
      <c r="G113" s="93" t="n"/>
      <c r="H113" s="93" t="n"/>
      <c r="I113" s="93" t="n"/>
    </row>
    <row r="114">
      <c r="A114" s="9" t="n">
        <v>103</v>
      </c>
      <c r="B114" t="n">
        <v>3.6</v>
      </c>
      <c r="C114" s="90" t="n">
        <v>84</v>
      </c>
      <c r="D114" s="90">
        <f>D113</f>
        <v/>
      </c>
      <c r="E114" s="90" t="n">
        <v>54.3799999999999</v>
      </c>
      <c r="F114" s="92">
        <f>D114*E114</f>
        <v/>
      </c>
      <c r="G114" s="93" t="n"/>
      <c r="H114" s="93" t="n"/>
      <c r="I114" s="93" t="n"/>
    </row>
    <row r="115">
      <c r="A115" s="9" t="n">
        <v>104</v>
      </c>
      <c r="B115" t="n">
        <v>3.64</v>
      </c>
      <c r="C115" s="90" t="n">
        <v>85</v>
      </c>
      <c r="D115" s="90">
        <f>D114</f>
        <v/>
      </c>
      <c r="E115" s="90" t="n">
        <v>54.9399999999999</v>
      </c>
      <c r="F115" s="92">
        <f>D115*E115</f>
        <v/>
      </c>
      <c r="G115" s="93" t="n"/>
      <c r="H115" s="93" t="n"/>
      <c r="I115" s="93" t="n"/>
    </row>
    <row r="116">
      <c r="A116" s="9" t="n">
        <v>105</v>
      </c>
      <c r="B116" t="n">
        <v>3.66</v>
      </c>
      <c r="C116" s="90" t="n">
        <v>86</v>
      </c>
      <c r="D116" s="90">
        <f>D115</f>
        <v/>
      </c>
      <c r="E116" s="90" t="n">
        <v>55.4999999999999</v>
      </c>
      <c r="F116" s="92">
        <f>D116*E116</f>
        <v/>
      </c>
      <c r="G116" s="93" t="n"/>
      <c r="H116" s="93" t="n"/>
      <c r="I116" s="93" t="n"/>
    </row>
    <row r="117">
      <c r="A117" s="9" t="n">
        <v>106</v>
      </c>
      <c r="B117" t="n">
        <v>3.7</v>
      </c>
      <c r="C117" s="90" t="n">
        <v>87</v>
      </c>
      <c r="D117" s="90">
        <f>D116</f>
        <v/>
      </c>
      <c r="E117" s="90" t="n">
        <v>56.0599999999999</v>
      </c>
      <c r="F117" s="92">
        <f>D117*E117</f>
        <v/>
      </c>
      <c r="G117" s="93" t="n"/>
      <c r="H117" s="93" t="n"/>
      <c r="I117" s="93" t="n"/>
    </row>
    <row r="118">
      <c r="A118" s="9" t="n">
        <v>107</v>
      </c>
      <c r="B118" t="n">
        <v>3.72</v>
      </c>
      <c r="C118" s="90" t="n">
        <v>88</v>
      </c>
      <c r="D118" s="90">
        <f>D117</f>
        <v/>
      </c>
      <c r="E118" s="90" t="n">
        <v>56.6199999999999</v>
      </c>
      <c r="F118" s="92">
        <f>D118*E118</f>
        <v/>
      </c>
      <c r="G118" s="93" t="n"/>
      <c r="H118" s="93" t="n"/>
      <c r="I118" s="93" t="n"/>
    </row>
    <row r="119">
      <c r="A119" s="9" t="n">
        <v>108</v>
      </c>
      <c r="B119" t="n">
        <v>3.76</v>
      </c>
      <c r="C119" s="90" t="n">
        <v>89</v>
      </c>
      <c r="D119" s="90">
        <f>D118</f>
        <v/>
      </c>
      <c r="E119" s="90" t="n">
        <v>57.1799999999999</v>
      </c>
      <c r="F119" s="92">
        <f>D119*E119</f>
        <v/>
      </c>
      <c r="G119" s="93" t="n"/>
      <c r="H119" s="93" t="n"/>
      <c r="I119" s="93" t="n"/>
    </row>
    <row r="120">
      <c r="A120" s="9" t="n">
        <v>109</v>
      </c>
      <c r="B120" t="n">
        <v>3.79</v>
      </c>
      <c r="C120" s="90" t="n">
        <v>90</v>
      </c>
      <c r="D120" s="90">
        <f>D119</f>
        <v/>
      </c>
      <c r="E120" s="90" t="n">
        <v>57.7399999999999</v>
      </c>
      <c r="F120" s="92">
        <f>D120*E120</f>
        <v/>
      </c>
      <c r="G120" s="93" t="n"/>
      <c r="H120" s="93" t="n"/>
      <c r="I120" s="93" t="n"/>
    </row>
    <row r="121">
      <c r="A121" s="9" t="n">
        <v>110</v>
      </c>
      <c r="B121" t="n">
        <v>3.82</v>
      </c>
      <c r="C121" s="90" t="n">
        <v>91</v>
      </c>
      <c r="D121" s="90">
        <f>D120</f>
        <v/>
      </c>
      <c r="E121" s="90" t="n">
        <v>58.2999999999998</v>
      </c>
      <c r="F121" s="92">
        <f>D121*E121</f>
        <v/>
      </c>
      <c r="G121" s="93" t="n"/>
      <c r="H121" s="93" t="n"/>
      <c r="I121" s="93" t="n"/>
    </row>
    <row r="122">
      <c r="A122" s="9" t="n">
        <v>111</v>
      </c>
      <c r="B122" t="n">
        <v>3.85</v>
      </c>
      <c r="C122" s="90" t="n">
        <v>92</v>
      </c>
      <c r="D122" s="90">
        <f>D121</f>
        <v/>
      </c>
      <c r="E122" s="90" t="n">
        <v>58.8599999999998</v>
      </c>
      <c r="F122" s="92">
        <f>D122*E122</f>
        <v/>
      </c>
      <c r="G122" s="93" t="n"/>
      <c r="H122" s="93" t="n"/>
      <c r="I122" s="93" t="n"/>
    </row>
    <row r="123">
      <c r="A123" s="9" t="n">
        <v>112</v>
      </c>
      <c r="B123" t="n">
        <v>3.88</v>
      </c>
      <c r="C123" s="90" t="n">
        <v>93</v>
      </c>
      <c r="D123" s="90">
        <f>D122</f>
        <v/>
      </c>
      <c r="E123" s="90" t="n">
        <v>59.4199999999998</v>
      </c>
      <c r="F123" s="92">
        <f>D123*E123</f>
        <v/>
      </c>
      <c r="G123" s="93" t="n"/>
      <c r="H123" s="93" t="n"/>
      <c r="I123" s="93" t="n"/>
    </row>
    <row r="124">
      <c r="A124" s="9" t="n">
        <v>113</v>
      </c>
      <c r="B124" t="n">
        <v>3.91</v>
      </c>
      <c r="C124" s="90" t="n">
        <v>94</v>
      </c>
      <c r="D124" s="90">
        <f>D123</f>
        <v/>
      </c>
      <c r="E124" s="90" t="n">
        <v>59.9799999999999</v>
      </c>
      <c r="F124" s="92">
        <f>D124*E124</f>
        <v/>
      </c>
      <c r="G124" s="93" t="n"/>
      <c r="H124" s="93" t="n"/>
      <c r="I124" s="93" t="n"/>
    </row>
    <row r="125">
      <c r="A125" s="9" t="n">
        <v>114</v>
      </c>
      <c r="B125" t="n">
        <v>3.95</v>
      </c>
      <c r="C125" s="90" t="n">
        <v>95</v>
      </c>
      <c r="D125" s="90">
        <f>D124</f>
        <v/>
      </c>
      <c r="E125" s="90" t="n">
        <v>60.5399999999999</v>
      </c>
      <c r="F125" s="92">
        <f>D125*E125</f>
        <v/>
      </c>
      <c r="G125" s="93" t="n"/>
      <c r="H125" s="93" t="n"/>
      <c r="I125" s="93" t="n"/>
    </row>
    <row r="126">
      <c r="A126" s="9" t="n">
        <v>115</v>
      </c>
      <c r="B126" t="n">
        <v>3.97</v>
      </c>
      <c r="C126" s="90" t="n">
        <v>96</v>
      </c>
      <c r="D126" s="90">
        <f>D125</f>
        <v/>
      </c>
      <c r="E126" s="90" t="n">
        <v>61.0999999999999</v>
      </c>
      <c r="F126" s="92">
        <f>D126*E126</f>
        <v/>
      </c>
      <c r="G126" s="93" t="n"/>
      <c r="H126" s="93" t="n"/>
      <c r="I126" s="93" t="n"/>
    </row>
    <row r="127">
      <c r="A127" s="9" t="n">
        <v>116</v>
      </c>
      <c r="B127" t="n">
        <v>4.01</v>
      </c>
      <c r="C127" s="90" t="n">
        <v>97</v>
      </c>
      <c r="D127" s="90">
        <f>D126</f>
        <v/>
      </c>
      <c r="E127" s="90" t="n">
        <v>61.6599999999999</v>
      </c>
      <c r="F127" s="92">
        <f>D127*E127</f>
        <v/>
      </c>
      <c r="G127" s="93" t="n"/>
      <c r="H127" s="93" t="n"/>
      <c r="I127" s="93" t="n"/>
    </row>
    <row r="128">
      <c r="A128" s="9" t="n">
        <v>117</v>
      </c>
      <c r="B128" t="n">
        <v>4.03</v>
      </c>
      <c r="C128" s="90" t="n">
        <v>98</v>
      </c>
      <c r="D128" s="90">
        <f>D127</f>
        <v/>
      </c>
      <c r="E128" s="90" t="n">
        <v>62.2199999999999</v>
      </c>
      <c r="F128" s="92">
        <f>D128*E128</f>
        <v/>
      </c>
      <c r="G128" s="93" t="n"/>
      <c r="H128" s="93" t="n"/>
      <c r="I128" s="93" t="n"/>
    </row>
    <row r="129">
      <c r="A129" s="9" t="n">
        <v>118</v>
      </c>
      <c r="B129" t="n">
        <v>4.07</v>
      </c>
      <c r="C129" s="90" t="n">
        <v>99</v>
      </c>
      <c r="D129" s="90">
        <f>D128</f>
        <v/>
      </c>
      <c r="E129" s="90" t="n">
        <v>62.7799999999999</v>
      </c>
      <c r="F129" s="92">
        <f>D129*E129</f>
        <v/>
      </c>
      <c r="G129" s="93" t="n"/>
      <c r="H129" s="93" t="n"/>
      <c r="I129" s="93" t="n"/>
    </row>
    <row r="130">
      <c r="A130" s="9" t="n">
        <v>119</v>
      </c>
      <c r="B130" t="n">
        <v>4.09</v>
      </c>
      <c r="C130" s="90" t="n">
        <v>100</v>
      </c>
      <c r="D130" s="90">
        <f>D129</f>
        <v/>
      </c>
      <c r="E130" s="90" t="n">
        <v>63.3399999999999</v>
      </c>
      <c r="F130" s="92">
        <f>D130*E130</f>
        <v/>
      </c>
      <c r="G130" s="93" t="n"/>
      <c r="H130" s="93" t="n"/>
      <c r="I130" s="93" t="n"/>
    </row>
    <row r="131">
      <c r="A131" s="9" t="n">
        <v>120</v>
      </c>
      <c r="B131" t="n">
        <v>4.13</v>
      </c>
      <c r="C131" s="90" t="n">
        <v>101</v>
      </c>
      <c r="D131" s="90">
        <f>D130</f>
        <v/>
      </c>
      <c r="E131" s="90" t="n">
        <v>63.59</v>
      </c>
      <c r="F131" s="92">
        <f>D131*E131</f>
        <v/>
      </c>
      <c r="G131" s="93" t="n"/>
      <c r="H131" s="93" t="n"/>
      <c r="I131" s="93" t="n"/>
    </row>
    <row r="132">
      <c r="A132" s="9" t="n">
        <v>121</v>
      </c>
      <c r="B132" t="n">
        <v>4.16</v>
      </c>
      <c r="C132" s="90" t="n">
        <v>102</v>
      </c>
      <c r="D132" s="90">
        <f>D131</f>
        <v/>
      </c>
      <c r="E132" s="90" t="n">
        <v>63.84</v>
      </c>
      <c r="F132" s="92">
        <f>D132*E132</f>
        <v/>
      </c>
      <c r="G132" s="93" t="n"/>
      <c r="H132" s="93" t="n"/>
      <c r="I132" s="93" t="n"/>
    </row>
    <row r="133">
      <c r="A133" s="9" t="n">
        <v>122</v>
      </c>
      <c r="B133" t="n">
        <v>4.19</v>
      </c>
      <c r="C133" s="90" t="n">
        <v>103</v>
      </c>
      <c r="D133" s="90">
        <f>D132</f>
        <v/>
      </c>
      <c r="E133" s="90" t="n">
        <v>64.09</v>
      </c>
      <c r="F133" s="92">
        <f>D133*E133</f>
        <v/>
      </c>
      <c r="G133" s="93" t="n"/>
      <c r="H133" s="93" t="n"/>
      <c r="I133" s="93" t="n"/>
    </row>
    <row r="134">
      <c r="A134" s="9" t="n">
        <v>123</v>
      </c>
      <c r="B134" t="n">
        <v>4.22</v>
      </c>
      <c r="C134" s="90" t="n">
        <v>104</v>
      </c>
      <c r="D134" s="90">
        <f>D133</f>
        <v/>
      </c>
      <c r="E134" s="90" t="n">
        <v>64.34</v>
      </c>
      <c r="F134" s="92">
        <f>D134*E134</f>
        <v/>
      </c>
      <c r="G134" s="93" t="n"/>
      <c r="H134" s="93" t="n"/>
      <c r="I134" s="93" t="n"/>
    </row>
    <row r="135">
      <c r="A135" s="9" t="n">
        <v>124</v>
      </c>
      <c r="B135" t="n">
        <v>4.25</v>
      </c>
      <c r="C135" s="90" t="n">
        <v>105</v>
      </c>
      <c r="D135" s="90">
        <f>D134</f>
        <v/>
      </c>
      <c r="E135" s="90" t="n">
        <v>64.59</v>
      </c>
      <c r="F135" s="92">
        <f>D135*E135</f>
        <v/>
      </c>
      <c r="G135" s="93" t="n"/>
      <c r="H135" s="93" t="n"/>
      <c r="I135" s="93" t="n"/>
    </row>
    <row r="136">
      <c r="A136" s="9" t="n">
        <v>125</v>
      </c>
      <c r="B136" t="n">
        <v>4.28</v>
      </c>
      <c r="C136" s="90" t="n">
        <v>106</v>
      </c>
      <c r="D136" s="90">
        <f>D135</f>
        <v/>
      </c>
      <c r="E136" s="90" t="n">
        <v>64.84</v>
      </c>
      <c r="F136" s="92">
        <f>D136*E136</f>
        <v/>
      </c>
      <c r="G136" s="93" t="n"/>
      <c r="H136" s="93" t="n"/>
      <c r="I136" s="93" t="n"/>
    </row>
    <row r="137">
      <c r="A137" s="9" t="n">
        <v>126</v>
      </c>
      <c r="B137" t="n">
        <v>4.31</v>
      </c>
      <c r="C137" s="90" t="n">
        <v>107</v>
      </c>
      <c r="D137" s="90">
        <f>D136</f>
        <v/>
      </c>
      <c r="E137" s="90" t="n">
        <v>65.09</v>
      </c>
      <c r="F137" s="92">
        <f>D137*E137</f>
        <v/>
      </c>
      <c r="G137" s="93" t="n"/>
      <c r="H137" s="93" t="n"/>
      <c r="I137" s="93" t="n"/>
    </row>
    <row r="138">
      <c r="A138" s="9" t="n">
        <v>127</v>
      </c>
      <c r="B138" t="n">
        <v>4.34</v>
      </c>
      <c r="C138" s="90" t="n">
        <v>108</v>
      </c>
      <c r="D138" s="90">
        <f>D137</f>
        <v/>
      </c>
      <c r="E138" s="90" t="n">
        <v>65.34</v>
      </c>
      <c r="F138" s="92">
        <f>D138*E138</f>
        <v/>
      </c>
      <c r="G138" s="93" t="n"/>
      <c r="H138" s="93" t="n"/>
      <c r="I138" s="93" t="n"/>
    </row>
    <row r="139">
      <c r="A139" s="9" t="n">
        <v>128</v>
      </c>
      <c r="B139" t="n">
        <v>4.37</v>
      </c>
      <c r="C139" s="90" t="n">
        <v>109</v>
      </c>
      <c r="D139" s="90">
        <f>D138</f>
        <v/>
      </c>
      <c r="E139" s="90" t="n">
        <v>65.59</v>
      </c>
      <c r="F139" s="92">
        <f>D139*E139</f>
        <v/>
      </c>
      <c r="G139" s="93" t="n"/>
      <c r="H139" s="93" t="n"/>
      <c r="I139" s="93" t="n"/>
    </row>
    <row r="140">
      <c r="A140" s="9" t="n">
        <v>129</v>
      </c>
      <c r="B140" t="n">
        <v>4.4</v>
      </c>
      <c r="C140" s="90" t="n">
        <v>110</v>
      </c>
      <c r="D140" s="90">
        <f>D139</f>
        <v/>
      </c>
      <c r="E140" s="90" t="n">
        <v>65.84</v>
      </c>
      <c r="F140" s="92">
        <f>D140*E140</f>
        <v/>
      </c>
      <c r="G140" s="93" t="n"/>
      <c r="H140" s="93" t="n"/>
      <c r="I140" s="93" t="n"/>
    </row>
    <row r="141">
      <c r="A141" s="9" t="n">
        <v>130</v>
      </c>
      <c r="B141" t="n">
        <v>4.44</v>
      </c>
      <c r="C141" s="90" t="n">
        <v>111</v>
      </c>
      <c r="D141" s="90">
        <f>D140</f>
        <v/>
      </c>
      <c r="E141" s="90" t="n">
        <v>66.09</v>
      </c>
      <c r="F141" s="92">
        <f>D141*E141</f>
        <v/>
      </c>
      <c r="G141" s="93" t="n"/>
      <c r="H141" s="93" t="n"/>
      <c r="I141" s="93" t="n"/>
    </row>
    <row r="142">
      <c r="A142" s="9" t="n">
        <v>131</v>
      </c>
      <c r="B142" t="n">
        <v>4.46</v>
      </c>
      <c r="C142" s="90" t="n">
        <v>112</v>
      </c>
      <c r="D142" s="90">
        <f>D141</f>
        <v/>
      </c>
      <c r="E142" s="90" t="n">
        <v>66.34</v>
      </c>
      <c r="F142" s="92">
        <f>D142*E142</f>
        <v/>
      </c>
      <c r="G142" s="93" t="n"/>
      <c r="H142" s="93" t="n"/>
      <c r="I142" s="93" t="n"/>
    </row>
    <row r="143">
      <c r="A143" s="9" t="n">
        <v>132</v>
      </c>
      <c r="B143" t="n">
        <v>4.5</v>
      </c>
      <c r="C143" s="90" t="n">
        <v>113</v>
      </c>
      <c r="D143" s="90">
        <f>D142</f>
        <v/>
      </c>
      <c r="E143" s="90" t="n">
        <v>66.59</v>
      </c>
      <c r="F143" s="92">
        <f>D143*E143</f>
        <v/>
      </c>
      <c r="G143" s="93" t="n"/>
      <c r="H143" s="93" t="n"/>
      <c r="I143" s="93" t="n"/>
    </row>
    <row r="144">
      <c r="A144" s="9" t="n">
        <v>133</v>
      </c>
      <c r="B144" t="n">
        <v>4.52</v>
      </c>
      <c r="C144" s="90" t="n">
        <v>114</v>
      </c>
      <c r="D144" s="90">
        <f>D143</f>
        <v/>
      </c>
      <c r="E144" s="90" t="n">
        <v>66.84</v>
      </c>
      <c r="F144" s="92">
        <f>D144*E144</f>
        <v/>
      </c>
      <c r="G144" s="93" t="n"/>
      <c r="H144" s="93" t="n"/>
      <c r="I144" s="93" t="n"/>
    </row>
    <row r="145">
      <c r="A145" s="9" t="n">
        <v>134</v>
      </c>
      <c r="B145" t="n">
        <v>4.56</v>
      </c>
      <c r="C145" s="90" t="n">
        <v>115</v>
      </c>
      <c r="D145" s="90">
        <f>D144</f>
        <v/>
      </c>
      <c r="E145" s="90" t="n">
        <v>67.09</v>
      </c>
      <c r="F145" s="92">
        <f>D145*E145</f>
        <v/>
      </c>
      <c r="G145" s="93" t="n"/>
      <c r="H145" s="93" t="n"/>
      <c r="I145" s="93" t="n"/>
    </row>
    <row r="146">
      <c r="A146" s="9" t="n">
        <v>135</v>
      </c>
      <c r="B146" t="n">
        <v>4.58</v>
      </c>
      <c r="C146" s="90" t="n">
        <v>116</v>
      </c>
      <c r="D146" s="90">
        <f>D145</f>
        <v/>
      </c>
      <c r="E146" s="90" t="n">
        <v>67.34</v>
      </c>
      <c r="F146" s="92">
        <f>D146*E146</f>
        <v/>
      </c>
      <c r="G146" s="93" t="n"/>
      <c r="H146" s="93" t="n"/>
      <c r="I146" s="93" t="n"/>
    </row>
    <row r="147">
      <c r="A147" s="9" t="n">
        <v>136</v>
      </c>
      <c r="B147" t="n">
        <v>4.62</v>
      </c>
      <c r="C147" s="90" t="n">
        <v>117</v>
      </c>
      <c r="D147" s="90">
        <f>D146</f>
        <v/>
      </c>
      <c r="E147" s="90" t="n">
        <v>67.59</v>
      </c>
      <c r="F147" s="92">
        <f>D147*E147</f>
        <v/>
      </c>
      <c r="G147" s="93" t="n"/>
      <c r="H147" s="93" t="n"/>
      <c r="I147" s="93" t="n"/>
    </row>
    <row r="148">
      <c r="A148" s="9" t="n">
        <v>137</v>
      </c>
      <c r="B148" t="n">
        <v>4.64</v>
      </c>
      <c r="C148" s="90" t="n">
        <v>118</v>
      </c>
      <c r="D148" s="90">
        <f>D147</f>
        <v/>
      </c>
      <c r="E148" s="90" t="n">
        <v>67.84</v>
      </c>
      <c r="F148" s="92">
        <f>D148*E148</f>
        <v/>
      </c>
      <c r="G148" s="93" t="n"/>
      <c r="H148" s="93" t="n"/>
      <c r="I148" s="93" t="n"/>
    </row>
    <row r="149">
      <c r="A149" s="9" t="n">
        <v>138</v>
      </c>
      <c r="B149" t="n">
        <v>4.68</v>
      </c>
      <c r="C149" s="90" t="n">
        <v>119</v>
      </c>
      <c r="D149" s="90">
        <f>D148</f>
        <v/>
      </c>
      <c r="E149" s="90" t="n">
        <v>68.09</v>
      </c>
      <c r="F149" s="92">
        <f>D149*E149</f>
        <v/>
      </c>
      <c r="G149" s="93" t="n"/>
      <c r="H149" s="93" t="n"/>
      <c r="I149" s="93" t="n"/>
    </row>
    <row r="150">
      <c r="A150" s="9" t="n">
        <v>139</v>
      </c>
      <c r="B150" t="n">
        <v>4.7</v>
      </c>
      <c r="C150" s="90" t="n">
        <v>120</v>
      </c>
      <c r="D150" s="90">
        <f>D149</f>
        <v/>
      </c>
      <c r="E150" s="90" t="n">
        <v>68.34</v>
      </c>
      <c r="F150" s="92">
        <f>D150*E150</f>
        <v/>
      </c>
      <c r="G150" s="93" t="n"/>
      <c r="H150" s="93" t="n"/>
      <c r="I150" s="93" t="n"/>
    </row>
    <row r="151">
      <c r="A151" s="9" t="n">
        <v>140</v>
      </c>
      <c r="B151" t="n">
        <v>4.74</v>
      </c>
      <c r="C151" s="90" t="n">
        <v>121</v>
      </c>
      <c r="D151" s="90">
        <f>D150</f>
        <v/>
      </c>
      <c r="E151" s="90" t="n">
        <v>68.59</v>
      </c>
      <c r="F151" s="92">
        <f>D151*E151</f>
        <v/>
      </c>
      <c r="G151" s="93" t="n"/>
      <c r="H151" s="93" t="n"/>
      <c r="I151" s="93" t="n"/>
    </row>
    <row r="152">
      <c r="A152" s="9" t="n">
        <v>141</v>
      </c>
      <c r="B152" t="n">
        <v>4.76</v>
      </c>
      <c r="C152" s="90" t="n">
        <v>122</v>
      </c>
      <c r="D152" s="90">
        <f>D151</f>
        <v/>
      </c>
      <c r="E152" s="90" t="n">
        <v>68.84</v>
      </c>
      <c r="F152" s="92">
        <f>D152*E152</f>
        <v/>
      </c>
      <c r="G152" s="93" t="n"/>
      <c r="H152" s="93" t="n"/>
      <c r="I152" s="93" t="n"/>
    </row>
    <row r="153">
      <c r="A153" s="9" t="n">
        <v>142</v>
      </c>
      <c r="B153" t="n">
        <v>4.8</v>
      </c>
      <c r="C153" s="90" t="n">
        <v>123</v>
      </c>
      <c r="D153" s="90">
        <f>D152</f>
        <v/>
      </c>
      <c r="E153" s="90" t="n">
        <v>69.09</v>
      </c>
      <c r="F153" s="92">
        <f>D153*E153</f>
        <v/>
      </c>
      <c r="G153" s="93" t="n"/>
      <c r="H153" s="93" t="n"/>
      <c r="I153" s="93" t="n"/>
    </row>
    <row r="154">
      <c r="A154" s="9" t="n">
        <v>143</v>
      </c>
      <c r="B154" t="n">
        <v>4.82</v>
      </c>
      <c r="C154" s="90" t="n">
        <v>124</v>
      </c>
      <c r="D154" s="90">
        <f>D153</f>
        <v/>
      </c>
      <c r="E154" s="90" t="n">
        <v>69.34</v>
      </c>
      <c r="F154" s="92">
        <f>D154*E154</f>
        <v/>
      </c>
      <c r="G154" s="93" t="n"/>
      <c r="H154" s="93" t="n"/>
      <c r="I154" s="93" t="n"/>
    </row>
    <row r="155">
      <c r="A155" s="9" t="n">
        <v>144</v>
      </c>
      <c r="B155" t="n">
        <v>4.86</v>
      </c>
      <c r="C155" s="90" t="n">
        <v>125</v>
      </c>
      <c r="D155" s="90">
        <f>D154</f>
        <v/>
      </c>
      <c r="E155" s="90" t="n">
        <v>69.59</v>
      </c>
      <c r="F155" s="92">
        <f>D155*E155</f>
        <v/>
      </c>
      <c r="G155" s="93" t="n"/>
      <c r="H155" s="93" t="n"/>
      <c r="I155" s="93" t="n"/>
    </row>
    <row r="156">
      <c r="A156" s="9" t="n">
        <v>145</v>
      </c>
      <c r="B156" t="n">
        <v>4.9</v>
      </c>
      <c r="C156" s="90" t="n">
        <v>126</v>
      </c>
      <c r="D156" s="90">
        <f>D155</f>
        <v/>
      </c>
      <c r="E156" s="90" t="n">
        <v>69.79000000000001</v>
      </c>
      <c r="F156" s="92">
        <f>D156*E156</f>
        <v/>
      </c>
      <c r="G156" s="93" t="n"/>
      <c r="H156" s="93" t="n"/>
      <c r="I156" s="93" t="n"/>
    </row>
    <row r="157">
      <c r="A157" s="9" t="n">
        <v>146</v>
      </c>
      <c r="B157" t="n">
        <v>4.92</v>
      </c>
      <c r="C157" s="90" t="n">
        <v>127</v>
      </c>
      <c r="D157" s="90">
        <f>D156</f>
        <v/>
      </c>
      <c r="E157" s="90" t="n">
        <v>69.98999999999999</v>
      </c>
      <c r="F157" s="92">
        <f>D157*E157</f>
        <v/>
      </c>
      <c r="G157" s="93" t="n"/>
      <c r="H157" s="93" t="n"/>
      <c r="I157" s="93" t="n"/>
    </row>
    <row r="158">
      <c r="A158" s="9" t="n">
        <v>147</v>
      </c>
      <c r="B158" t="n">
        <v>4.96</v>
      </c>
      <c r="C158" s="90" t="n">
        <v>128</v>
      </c>
      <c r="D158" s="90">
        <f>D157</f>
        <v/>
      </c>
      <c r="E158" s="90" t="n">
        <v>70.19</v>
      </c>
      <c r="F158" s="92">
        <f>D158*E158</f>
        <v/>
      </c>
      <c r="G158" s="93" t="n"/>
      <c r="H158" s="93" t="n"/>
      <c r="I158" s="93" t="n"/>
    </row>
    <row r="159">
      <c r="A159" s="9" t="n">
        <v>148</v>
      </c>
      <c r="B159" t="n">
        <v>4.98</v>
      </c>
      <c r="C159" s="90" t="n">
        <v>129</v>
      </c>
      <c r="D159" s="90">
        <f>D158</f>
        <v/>
      </c>
      <c r="E159" s="90" t="n">
        <v>70.39</v>
      </c>
      <c r="F159" s="92">
        <f>D159*E159</f>
        <v/>
      </c>
      <c r="G159" s="93" t="n"/>
      <c r="H159" s="93" t="n"/>
      <c r="I159" s="93" t="n"/>
    </row>
    <row r="160">
      <c r="A160" s="9" t="n">
        <v>149</v>
      </c>
      <c r="B160" t="n">
        <v>5.02</v>
      </c>
      <c r="C160" s="90" t="n">
        <v>130</v>
      </c>
      <c r="D160" s="90">
        <f>D159</f>
        <v/>
      </c>
      <c r="E160" s="90" t="n">
        <v>70.59</v>
      </c>
      <c r="F160" s="92">
        <f>D160*E160</f>
        <v/>
      </c>
      <c r="G160" s="93" t="n"/>
      <c r="H160" s="93" t="n"/>
      <c r="I160" s="93" t="n"/>
    </row>
    <row r="161">
      <c r="A161" s="9" t="n">
        <v>150</v>
      </c>
      <c r="B161" t="n">
        <v>5.04</v>
      </c>
      <c r="C161" s="90" t="n">
        <v>131</v>
      </c>
      <c r="D161" s="90">
        <f>D160</f>
        <v/>
      </c>
      <c r="E161" s="90" t="n">
        <v>70.79000000000001</v>
      </c>
      <c r="F161" s="92">
        <f>D161*E161</f>
        <v/>
      </c>
      <c r="G161" s="93" t="n"/>
      <c r="H161" s="93" t="n"/>
      <c r="I161" s="93" t="n"/>
    </row>
    <row r="162">
      <c r="A162" s="9" t="n">
        <v>151</v>
      </c>
      <c r="B162" t="n">
        <v>5.08</v>
      </c>
      <c r="C162" s="90" t="n">
        <v>132</v>
      </c>
      <c r="D162" s="90">
        <f>D161</f>
        <v/>
      </c>
      <c r="E162" s="90" t="n">
        <v>70.98999999999999</v>
      </c>
      <c r="F162" s="92">
        <f>D162*E162</f>
        <v/>
      </c>
      <c r="G162" s="93" t="n"/>
      <c r="H162" s="93" t="n"/>
      <c r="I162" s="93" t="n"/>
    </row>
    <row r="163">
      <c r="A163" s="9" t="n">
        <v>152</v>
      </c>
      <c r="B163" t="n">
        <v>5.1</v>
      </c>
      <c r="C163" s="90" t="n">
        <v>133</v>
      </c>
      <c r="D163" s="90">
        <f>D162</f>
        <v/>
      </c>
      <c r="E163" s="90" t="n">
        <v>71.19</v>
      </c>
      <c r="F163" s="92">
        <f>D163*E163</f>
        <v/>
      </c>
      <c r="G163" s="93" t="n"/>
      <c r="H163" s="93" t="n"/>
      <c r="I163" s="93" t="n"/>
    </row>
    <row r="164">
      <c r="A164" s="9" t="n">
        <v>153</v>
      </c>
      <c r="B164" t="n">
        <v>5.14</v>
      </c>
      <c r="C164" s="90" t="n">
        <v>134</v>
      </c>
      <c r="D164" s="90">
        <f>D163</f>
        <v/>
      </c>
      <c r="E164" s="90" t="n">
        <v>71.39</v>
      </c>
      <c r="F164" s="92">
        <f>D164*E164</f>
        <v/>
      </c>
      <c r="G164" s="93" t="n"/>
      <c r="H164" s="93" t="n"/>
      <c r="I164" s="93" t="n"/>
    </row>
    <row r="165">
      <c r="A165" s="9" t="n">
        <v>154</v>
      </c>
      <c r="B165" t="n">
        <v>5.16</v>
      </c>
      <c r="C165" s="90" t="n">
        <v>135</v>
      </c>
      <c r="D165" s="90">
        <f>D164</f>
        <v/>
      </c>
      <c r="E165" s="90" t="n">
        <v>71.59</v>
      </c>
      <c r="F165" s="92">
        <f>D165*E165</f>
        <v/>
      </c>
      <c r="G165" s="93" t="n"/>
      <c r="H165" s="93" t="n"/>
      <c r="I165" s="93" t="n"/>
    </row>
    <row r="166">
      <c r="A166" s="9" t="n">
        <v>155</v>
      </c>
      <c r="B166" t="n">
        <v>5.2</v>
      </c>
      <c r="C166" s="90" t="n">
        <v>136</v>
      </c>
      <c r="D166" s="90">
        <f>D165</f>
        <v/>
      </c>
      <c r="E166" s="90" t="n">
        <v>71.79000000000001</v>
      </c>
      <c r="F166" s="92">
        <f>D166*E166</f>
        <v/>
      </c>
      <c r="G166" s="93" t="n"/>
      <c r="H166" s="93" t="n"/>
      <c r="I166" s="93" t="n"/>
    </row>
    <row r="167">
      <c r="A167" s="9" t="n">
        <v>156</v>
      </c>
      <c r="B167" t="n">
        <v>5.22</v>
      </c>
      <c r="C167" s="90" t="n">
        <v>137</v>
      </c>
      <c r="D167" s="90">
        <f>D166</f>
        <v/>
      </c>
      <c r="E167" s="90" t="n">
        <v>71.98999999999999</v>
      </c>
      <c r="F167" s="92">
        <f>D167*E167</f>
        <v/>
      </c>
      <c r="G167" s="93" t="n"/>
      <c r="H167" s="93" t="n"/>
      <c r="I167" s="93" t="n"/>
    </row>
    <row r="168">
      <c r="A168" s="9" t="n">
        <v>157</v>
      </c>
      <c r="B168" t="n">
        <v>5.26</v>
      </c>
      <c r="C168" s="90" t="n">
        <v>138</v>
      </c>
      <c r="D168" s="90">
        <f>D167</f>
        <v/>
      </c>
      <c r="E168" s="90" t="n">
        <v>72.19</v>
      </c>
      <c r="F168" s="92">
        <f>D168*E168</f>
        <v/>
      </c>
      <c r="G168" s="93" t="n"/>
      <c r="H168" s="93" t="n"/>
      <c r="I168" s="93" t="n"/>
    </row>
    <row r="169">
      <c r="A169" s="9" t="n">
        <v>158</v>
      </c>
      <c r="B169" t="n">
        <v>5.28</v>
      </c>
      <c r="C169" s="90" t="n">
        <v>139</v>
      </c>
      <c r="D169" s="90">
        <f>D168</f>
        <v/>
      </c>
      <c r="E169" s="90" t="n">
        <v>72.39</v>
      </c>
      <c r="F169" s="92">
        <f>D169*E169</f>
        <v/>
      </c>
      <c r="G169" s="93" t="n"/>
      <c r="H169" s="93" t="n"/>
      <c r="I169" s="93" t="n"/>
    </row>
    <row r="170">
      <c r="A170" s="9" t="n">
        <v>159</v>
      </c>
      <c r="B170" t="n">
        <v>5.32</v>
      </c>
      <c r="C170" s="90" t="n">
        <v>140</v>
      </c>
      <c r="D170" s="90">
        <f>D169</f>
        <v/>
      </c>
      <c r="E170" s="90" t="n">
        <v>72.59</v>
      </c>
      <c r="F170" s="92">
        <f>D170*E170</f>
        <v/>
      </c>
      <c r="G170" s="93" t="n"/>
      <c r="H170" s="93" t="n"/>
      <c r="I170" s="93" t="n"/>
    </row>
    <row r="171">
      <c r="A171" s="9" t="n">
        <v>160</v>
      </c>
      <c r="B171" t="n">
        <v>5.34</v>
      </c>
      <c r="C171" s="90" t="n">
        <v>141</v>
      </c>
      <c r="D171" s="90">
        <f>D170</f>
        <v/>
      </c>
      <c r="E171" s="90" t="n">
        <v>72.79000000000001</v>
      </c>
      <c r="F171" s="92">
        <f>D171*E171</f>
        <v/>
      </c>
      <c r="G171" s="93" t="n"/>
      <c r="H171" s="93" t="n"/>
      <c r="I171" s="93" t="n"/>
    </row>
    <row r="172">
      <c r="A172" s="9" t="n">
        <v>161</v>
      </c>
      <c r="B172" t="n">
        <v>5.38</v>
      </c>
      <c r="C172" s="90" t="n">
        <v>142</v>
      </c>
      <c r="D172" s="90">
        <f>D171</f>
        <v/>
      </c>
      <c r="E172" s="90" t="n">
        <v>72.98999999999999</v>
      </c>
      <c r="F172" s="92">
        <f>D172*E172</f>
        <v/>
      </c>
      <c r="G172" s="93" t="n"/>
      <c r="H172" s="93" t="n"/>
      <c r="I172" s="93" t="n"/>
    </row>
    <row r="173">
      <c r="A173" s="9" t="n">
        <v>162</v>
      </c>
      <c r="B173" t="n">
        <v>5.4</v>
      </c>
      <c r="C173" s="90" t="n">
        <v>143</v>
      </c>
      <c r="D173" s="90">
        <f>D172</f>
        <v/>
      </c>
      <c r="E173" s="90" t="n">
        <v>73.19</v>
      </c>
      <c r="F173" s="92">
        <f>D173*E173</f>
        <v/>
      </c>
      <c r="G173" s="93" t="n"/>
      <c r="H173" s="93" t="n"/>
      <c r="I173" s="93" t="n"/>
    </row>
    <row r="174">
      <c r="A174" s="9" t="n">
        <v>163</v>
      </c>
      <c r="B174" t="n">
        <v>5.44</v>
      </c>
      <c r="C174" s="90" t="n">
        <v>144</v>
      </c>
      <c r="D174" s="90">
        <f>D173</f>
        <v/>
      </c>
      <c r="E174" s="90" t="n">
        <v>73.39</v>
      </c>
      <c r="F174" s="92">
        <f>D174*E174</f>
        <v/>
      </c>
      <c r="G174" s="93" t="n"/>
      <c r="H174" s="93" t="n"/>
      <c r="I174" s="93" t="n"/>
    </row>
    <row r="175">
      <c r="A175" s="9" t="n">
        <v>164</v>
      </c>
      <c r="B175" t="n">
        <v>5.46</v>
      </c>
      <c r="C175" s="90" t="n">
        <v>145</v>
      </c>
      <c r="D175" s="90">
        <f>D174</f>
        <v/>
      </c>
      <c r="E175" s="90" t="n">
        <v>73.59</v>
      </c>
      <c r="F175" s="92">
        <f>D175*E175</f>
        <v/>
      </c>
      <c r="G175" s="93" t="n"/>
      <c r="H175" s="93" t="n"/>
      <c r="I175" s="93" t="n"/>
    </row>
    <row r="176">
      <c r="A176" s="9" t="n">
        <v>165</v>
      </c>
      <c r="B176" t="n">
        <v>5.48</v>
      </c>
      <c r="C176" s="90" t="n">
        <v>146</v>
      </c>
      <c r="D176" s="90">
        <f>D175</f>
        <v/>
      </c>
      <c r="E176" s="90" t="n">
        <v>73.79000000000001</v>
      </c>
      <c r="F176" s="92">
        <f>D176*E176</f>
        <v/>
      </c>
      <c r="G176" s="93" t="n"/>
      <c r="H176" s="93" t="n"/>
      <c r="I176" s="93" t="n"/>
    </row>
    <row r="177">
      <c r="A177" s="9" t="n">
        <v>166</v>
      </c>
      <c r="B177" t="n">
        <v>5.52</v>
      </c>
      <c r="C177" s="90" t="n">
        <v>147</v>
      </c>
      <c r="D177" s="90">
        <f>D176</f>
        <v/>
      </c>
      <c r="E177" s="90" t="n">
        <v>73.98999999999999</v>
      </c>
      <c r="F177" s="92">
        <f>D177*E177</f>
        <v/>
      </c>
      <c r="G177" s="93" t="n"/>
      <c r="H177" s="93" t="n"/>
      <c r="I177" s="93" t="n"/>
    </row>
    <row r="178">
      <c r="A178" s="9" t="n">
        <v>167</v>
      </c>
      <c r="B178" t="n">
        <v>5.54</v>
      </c>
      <c r="C178" s="90" t="n">
        <v>148</v>
      </c>
      <c r="D178" s="90">
        <f>D177</f>
        <v/>
      </c>
      <c r="E178" s="90" t="n">
        <v>74.19</v>
      </c>
      <c r="F178" s="92">
        <f>D178*E178</f>
        <v/>
      </c>
      <c r="G178" s="93" t="n"/>
      <c r="H178" s="93" t="n"/>
      <c r="I178" s="93" t="n"/>
    </row>
    <row r="179">
      <c r="A179" s="9" t="n">
        <v>168</v>
      </c>
      <c r="B179" t="n">
        <v>5.58</v>
      </c>
      <c r="C179" s="90" t="n">
        <v>149</v>
      </c>
      <c r="D179" s="90">
        <f>D178</f>
        <v/>
      </c>
      <c r="E179" s="90" t="n">
        <v>74.3899999999999</v>
      </c>
      <c r="F179" s="92">
        <f>D179*E179</f>
        <v/>
      </c>
      <c r="G179" s="93" t="n"/>
      <c r="H179" s="93" t="n"/>
      <c r="I179" s="93" t="n"/>
    </row>
    <row r="180">
      <c r="A180" s="9" t="n">
        <v>169</v>
      </c>
      <c r="B180" t="n">
        <v>5.6</v>
      </c>
      <c r="C180" s="90" t="n">
        <v>150</v>
      </c>
      <c r="D180" s="90">
        <f>D179</f>
        <v/>
      </c>
      <c r="E180" s="90" t="n">
        <v>74.5899999999999</v>
      </c>
      <c r="F180" s="92">
        <f>D180*E180</f>
        <v/>
      </c>
      <c r="G180" s="93" t="n"/>
      <c r="H180" s="93" t="n"/>
      <c r="I180" s="93" t="n"/>
    </row>
    <row r="181">
      <c r="A181" s="9" t="n">
        <v>170</v>
      </c>
      <c r="B181" t="n">
        <v>5.64</v>
      </c>
      <c r="C181" s="90" t="n">
        <v>151</v>
      </c>
      <c r="D181" s="90">
        <f>D180</f>
        <v/>
      </c>
      <c r="E181" s="90" t="n">
        <v>74.73999999999999</v>
      </c>
      <c r="F181" s="92">
        <f>D181*E181</f>
        <v/>
      </c>
      <c r="G181" s="93" t="n"/>
      <c r="H181" s="93" t="n"/>
      <c r="I181" s="93" t="n"/>
    </row>
    <row r="182">
      <c r="A182" s="9" t="n">
        <v>171</v>
      </c>
      <c r="B182" t="n">
        <v>5.66</v>
      </c>
      <c r="C182" s="90" t="n">
        <v>152</v>
      </c>
      <c r="D182" s="90">
        <f>D181</f>
        <v/>
      </c>
      <c r="E182" s="90" t="n">
        <v>74.89</v>
      </c>
      <c r="F182" s="92">
        <f>D182*E182</f>
        <v/>
      </c>
      <c r="G182" s="93" t="n"/>
      <c r="H182" s="93" t="n"/>
      <c r="I182" s="93" t="n"/>
    </row>
    <row r="183">
      <c r="A183" s="9" t="n">
        <v>172</v>
      </c>
      <c r="B183" t="n">
        <v>5.7</v>
      </c>
      <c r="C183" s="90" t="n">
        <v>153</v>
      </c>
      <c r="D183" s="90">
        <f>D182</f>
        <v/>
      </c>
      <c r="E183" s="90" t="n">
        <v>75.04000000000001</v>
      </c>
      <c r="F183" s="92">
        <f>D183*E183</f>
        <v/>
      </c>
      <c r="G183" s="93" t="n"/>
      <c r="H183" s="93" t="n"/>
      <c r="I183" s="93" t="n"/>
    </row>
    <row r="184">
      <c r="A184" s="9" t="n">
        <v>173</v>
      </c>
      <c r="B184" t="n">
        <v>5.72</v>
      </c>
      <c r="C184" s="90" t="n">
        <v>154</v>
      </c>
      <c r="D184" s="90">
        <f>D183</f>
        <v/>
      </c>
      <c r="E184" s="90" t="n">
        <v>75.19</v>
      </c>
      <c r="F184" s="92">
        <f>D184*E184</f>
        <v/>
      </c>
      <c r="G184" s="93" t="n"/>
      <c r="H184" s="93" t="n"/>
      <c r="I184" s="93" t="n"/>
    </row>
    <row r="185">
      <c r="A185" s="9" t="n">
        <v>174</v>
      </c>
      <c r="B185" t="n">
        <v>5.76</v>
      </c>
      <c r="C185" s="90" t="n">
        <v>155</v>
      </c>
      <c r="D185" s="90">
        <f>D184</f>
        <v/>
      </c>
      <c r="E185" s="90" t="n">
        <v>75.34</v>
      </c>
      <c r="F185" s="92">
        <f>D185*E185</f>
        <v/>
      </c>
      <c r="G185" s="93" t="n"/>
      <c r="H185" s="93" t="n"/>
      <c r="I185" s="93" t="n"/>
    </row>
    <row r="186">
      <c r="A186" s="9" t="n">
        <v>175</v>
      </c>
      <c r="B186" t="n">
        <v>5.78</v>
      </c>
      <c r="C186" s="90" t="n">
        <v>156</v>
      </c>
      <c r="D186" s="90">
        <f>D185</f>
        <v/>
      </c>
      <c r="E186" s="90" t="n">
        <v>75.48999999999999</v>
      </c>
      <c r="F186" s="92">
        <f>D186*E186</f>
        <v/>
      </c>
      <c r="G186" s="93" t="n"/>
      <c r="H186" s="93" t="n"/>
      <c r="I186" s="93" t="n"/>
    </row>
    <row r="187">
      <c r="A187" s="9" t="n">
        <v>176</v>
      </c>
      <c r="B187" t="n">
        <v>5.82</v>
      </c>
      <c r="C187" s="90" t="n">
        <v>157</v>
      </c>
      <c r="D187" s="90">
        <f>D186</f>
        <v/>
      </c>
      <c r="E187" s="90" t="n">
        <v>75.64</v>
      </c>
      <c r="F187" s="92">
        <f>D187*E187</f>
        <v/>
      </c>
      <c r="G187" s="93" t="n"/>
      <c r="H187" s="93" t="n"/>
      <c r="I187" s="93" t="n"/>
    </row>
    <row r="188">
      <c r="A188" s="9" t="n">
        <v>177</v>
      </c>
      <c r="B188" t="n">
        <v>5.84</v>
      </c>
      <c r="C188" s="90" t="n">
        <v>158</v>
      </c>
      <c r="D188" s="90">
        <f>D187</f>
        <v/>
      </c>
      <c r="E188" s="90" t="n">
        <v>75.79000000000001</v>
      </c>
      <c r="F188" s="92">
        <f>D188*E188</f>
        <v/>
      </c>
      <c r="G188" s="93" t="n"/>
      <c r="H188" s="93" t="n"/>
      <c r="I188" s="93" t="n"/>
    </row>
    <row r="189">
      <c r="A189" s="9" t="n">
        <v>178</v>
      </c>
      <c r="B189" t="n">
        <v>5.88</v>
      </c>
      <c r="C189" s="90" t="n">
        <v>159</v>
      </c>
      <c r="D189" s="90">
        <f>D188</f>
        <v/>
      </c>
      <c r="E189" s="90" t="n">
        <v>75.94</v>
      </c>
      <c r="F189" s="92">
        <f>D189*E189</f>
        <v/>
      </c>
      <c r="G189" s="93" t="n"/>
      <c r="H189" s="93" t="n"/>
      <c r="I189" s="93" t="n"/>
    </row>
    <row r="190">
      <c r="A190" s="9" t="n">
        <v>179</v>
      </c>
      <c r="B190" t="n">
        <v>5.9</v>
      </c>
      <c r="C190" s="90" t="n">
        <v>160</v>
      </c>
      <c r="D190" s="90">
        <f>D189</f>
        <v/>
      </c>
      <c r="E190" s="90" t="n">
        <v>76.09</v>
      </c>
      <c r="F190" s="92">
        <f>D190*E190</f>
        <v/>
      </c>
      <c r="G190" s="93" t="n"/>
      <c r="H190" s="93" t="n"/>
      <c r="I190" s="93" t="n"/>
    </row>
    <row r="191">
      <c r="A191" s="9" t="n">
        <v>180</v>
      </c>
      <c r="B191" t="n">
        <v>5.94</v>
      </c>
      <c r="C191" s="90" t="n">
        <v>161</v>
      </c>
      <c r="D191" s="90">
        <f>D190</f>
        <v/>
      </c>
      <c r="E191" s="90" t="n">
        <v>76.24000000000009</v>
      </c>
      <c r="F191" s="92">
        <f>D191*E191</f>
        <v/>
      </c>
      <c r="G191" s="93" t="n"/>
      <c r="H191" s="93" t="n"/>
      <c r="I191" s="93" t="n"/>
    </row>
    <row r="192">
      <c r="A192" s="9" t="n">
        <v>181</v>
      </c>
      <c r="B192" t="n">
        <v>5.96</v>
      </c>
      <c r="C192" s="90" t="n">
        <v>162</v>
      </c>
      <c r="D192" s="90">
        <f>D191</f>
        <v/>
      </c>
      <c r="E192" s="90" t="n">
        <v>76.3900000000001</v>
      </c>
      <c r="F192" s="92">
        <f>D192*E192</f>
        <v/>
      </c>
      <c r="G192" s="93" t="n"/>
      <c r="H192" s="93" t="n"/>
      <c r="I192" s="93" t="n"/>
    </row>
    <row r="193">
      <c r="A193" s="9" t="n">
        <v>182</v>
      </c>
      <c r="B193" t="n">
        <v>5.99</v>
      </c>
      <c r="C193" s="90" t="n">
        <v>163</v>
      </c>
      <c r="D193" s="90">
        <f>D192</f>
        <v/>
      </c>
      <c r="E193" s="90" t="n">
        <v>76.54000000000011</v>
      </c>
      <c r="F193" s="92">
        <f>D193*E193</f>
        <v/>
      </c>
      <c r="G193" s="93" t="n"/>
      <c r="H193" s="93" t="n"/>
      <c r="I193" s="93" t="n"/>
    </row>
    <row r="194">
      <c r="A194" s="9" t="n">
        <v>183</v>
      </c>
      <c r="B194" t="n">
        <v>6.02</v>
      </c>
      <c r="C194" s="90" t="n">
        <v>164</v>
      </c>
      <c r="D194" s="90">
        <f>D193</f>
        <v/>
      </c>
      <c r="E194" s="90" t="n">
        <v>76.6900000000001</v>
      </c>
      <c r="F194" s="92">
        <f>D194*E194</f>
        <v/>
      </c>
      <c r="G194" s="93" t="n"/>
      <c r="H194" s="93" t="n"/>
      <c r="I194" s="93" t="n"/>
    </row>
    <row r="195">
      <c r="A195" s="9" t="n">
        <v>184</v>
      </c>
      <c r="B195" t="n">
        <v>6.05</v>
      </c>
      <c r="C195" s="90" t="n">
        <v>165</v>
      </c>
      <c r="D195" s="90">
        <f>D194</f>
        <v/>
      </c>
      <c r="E195" s="90" t="n">
        <v>76.8400000000001</v>
      </c>
      <c r="F195" s="92">
        <f>D195*E195</f>
        <v/>
      </c>
      <c r="G195" s="93" t="n"/>
      <c r="H195" s="93" t="n"/>
      <c r="I195" s="93" t="n"/>
    </row>
    <row r="196">
      <c r="A196" s="9" t="n">
        <v>185</v>
      </c>
      <c r="B196" t="n">
        <v>6.08</v>
      </c>
      <c r="C196" s="90" t="n">
        <v>166</v>
      </c>
      <c r="D196" s="90">
        <f>D195</f>
        <v/>
      </c>
      <c r="E196" s="90" t="n">
        <v>76.99000000000009</v>
      </c>
      <c r="F196" s="92">
        <f>D196*E196</f>
        <v/>
      </c>
      <c r="G196" s="93" t="n"/>
      <c r="H196" s="93" t="n"/>
      <c r="I196" s="93" t="n"/>
    </row>
    <row r="197">
      <c r="A197" s="9" t="n">
        <v>186</v>
      </c>
      <c r="B197" t="n">
        <v>6.11</v>
      </c>
      <c r="C197" s="90" t="n">
        <v>167</v>
      </c>
      <c r="D197" s="90">
        <f>D196</f>
        <v/>
      </c>
      <c r="E197" s="90" t="n">
        <v>77.1400000000001</v>
      </c>
      <c r="F197" s="92">
        <f>D197*E197</f>
        <v/>
      </c>
      <c r="G197" s="93" t="n"/>
      <c r="H197" s="93" t="n"/>
      <c r="I197" s="93" t="n"/>
    </row>
    <row r="198">
      <c r="A198" s="9" t="n">
        <v>187</v>
      </c>
      <c r="B198" t="n">
        <v>6.14</v>
      </c>
      <c r="C198" s="90" t="n">
        <v>168</v>
      </c>
      <c r="D198" s="90">
        <f>D197</f>
        <v/>
      </c>
      <c r="E198" s="90" t="n">
        <v>77.29000000000011</v>
      </c>
      <c r="F198" s="92">
        <f>D198*E198</f>
        <v/>
      </c>
      <c r="G198" s="93" t="n"/>
      <c r="H198" s="93" t="n"/>
      <c r="I198" s="93" t="n"/>
    </row>
    <row r="199">
      <c r="A199" s="9" t="n">
        <v>188</v>
      </c>
      <c r="B199" t="n">
        <v>6.17</v>
      </c>
      <c r="C199" s="90" t="n">
        <v>169</v>
      </c>
      <c r="D199" s="90">
        <f>D198</f>
        <v/>
      </c>
      <c r="E199" s="90" t="n">
        <v>77.4400000000001</v>
      </c>
      <c r="F199" s="92">
        <f>D199*E199</f>
        <v/>
      </c>
      <c r="G199" s="93" t="n"/>
      <c r="H199" s="93" t="n"/>
      <c r="I199" s="93" t="n"/>
    </row>
    <row r="200">
      <c r="A200" s="9" t="n">
        <v>189</v>
      </c>
      <c r="B200" t="n">
        <v>6.2</v>
      </c>
      <c r="C200" s="90" t="n">
        <v>170</v>
      </c>
      <c r="D200" s="90">
        <f>D199</f>
        <v/>
      </c>
      <c r="E200" s="90" t="n">
        <v>77.5900000000001</v>
      </c>
      <c r="F200" s="92">
        <f>D200*E200</f>
        <v/>
      </c>
      <c r="G200" s="93" t="n"/>
      <c r="H200" s="93" t="n"/>
      <c r="I200" s="93" t="n"/>
    </row>
    <row r="201">
      <c r="A201" s="9" t="n">
        <v>190</v>
      </c>
      <c r="B201" t="n">
        <v>6.23</v>
      </c>
      <c r="C201" s="90" t="n">
        <v>171</v>
      </c>
      <c r="D201" s="90">
        <f>D200</f>
        <v/>
      </c>
      <c r="E201" s="90" t="n">
        <v>77.73999999999999</v>
      </c>
      <c r="F201" s="92">
        <f>D201*E201</f>
        <v/>
      </c>
      <c r="G201" s="93" t="n"/>
      <c r="H201" s="93" t="n"/>
      <c r="I201" s="93" t="n"/>
    </row>
    <row r="202">
      <c r="A202" s="9" t="n">
        <v>191</v>
      </c>
      <c r="B202" t="n">
        <v>6.26</v>
      </c>
      <c r="C202" s="90" t="n">
        <v>172</v>
      </c>
      <c r="D202" s="90">
        <f>D201</f>
        <v/>
      </c>
      <c r="E202" s="90" t="n">
        <v>77.89</v>
      </c>
      <c r="F202" s="92">
        <f>D202*E202</f>
        <v/>
      </c>
      <c r="G202" s="93" t="n"/>
      <c r="H202" s="93" t="n"/>
      <c r="I202" s="93" t="n"/>
    </row>
    <row r="203">
      <c r="A203" s="9" t="n">
        <v>192</v>
      </c>
      <c r="B203" t="n">
        <v>6.29</v>
      </c>
      <c r="C203" s="90" t="n">
        <v>173</v>
      </c>
      <c r="D203" s="90">
        <f>D202</f>
        <v/>
      </c>
      <c r="E203" s="90" t="n">
        <v>78.04000000000001</v>
      </c>
      <c r="F203" s="92">
        <f>D203*E203</f>
        <v/>
      </c>
      <c r="G203" s="93" t="n"/>
      <c r="H203" s="93" t="n"/>
      <c r="I203" s="93" t="n"/>
    </row>
    <row r="204">
      <c r="A204" s="9" t="n">
        <v>193</v>
      </c>
      <c r="B204" t="n">
        <v>6.31</v>
      </c>
      <c r="C204" s="90" t="n">
        <v>174</v>
      </c>
      <c r="D204" s="90">
        <f>D203</f>
        <v/>
      </c>
      <c r="E204" s="90" t="n">
        <v>78.19</v>
      </c>
      <c r="F204" s="92">
        <f>D204*E204</f>
        <v/>
      </c>
      <c r="G204" s="93" t="n"/>
      <c r="H204" s="93" t="n"/>
      <c r="I204" s="93" t="n"/>
    </row>
    <row r="205">
      <c r="A205" s="9" t="n">
        <v>194</v>
      </c>
      <c r="B205" t="n">
        <v>6.35</v>
      </c>
      <c r="C205" s="90" t="n">
        <v>175</v>
      </c>
      <c r="D205" s="90">
        <f>D204</f>
        <v/>
      </c>
      <c r="E205" s="90" t="n">
        <v>78.34</v>
      </c>
      <c r="F205" s="92">
        <f>D205*E205</f>
        <v/>
      </c>
      <c r="G205" s="93" t="n"/>
      <c r="H205" s="93" t="n"/>
      <c r="I205" s="93" t="n"/>
    </row>
    <row r="206">
      <c r="A206" s="9" t="n">
        <v>195</v>
      </c>
      <c r="B206" t="n">
        <v>6.37</v>
      </c>
      <c r="C206" s="90" t="n">
        <v>176</v>
      </c>
      <c r="D206" s="90">
        <f>D205</f>
        <v/>
      </c>
      <c r="E206" s="90" t="n">
        <v>78.44</v>
      </c>
      <c r="F206" s="92">
        <f>D206*E206</f>
        <v/>
      </c>
      <c r="G206" s="93" t="n"/>
      <c r="H206" s="93" t="n"/>
      <c r="I206" s="93" t="n"/>
    </row>
    <row r="207">
      <c r="A207" s="9" t="n">
        <v>196</v>
      </c>
      <c r="B207" t="n">
        <v>6.41</v>
      </c>
      <c r="C207" s="90" t="n">
        <v>177</v>
      </c>
      <c r="D207" s="90">
        <f>D206</f>
        <v/>
      </c>
      <c r="E207" s="90" t="n">
        <v>78.54000000000001</v>
      </c>
      <c r="F207" s="92">
        <f>D207*E207</f>
        <v/>
      </c>
      <c r="G207" s="93" t="n"/>
      <c r="H207" s="93" t="n"/>
      <c r="I207" s="93" t="n"/>
    </row>
    <row r="208">
      <c r="A208" s="9" t="n">
        <v>197</v>
      </c>
      <c r="B208" t="n">
        <v>6.43</v>
      </c>
      <c r="C208" s="90" t="n">
        <v>178</v>
      </c>
      <c r="D208" s="90">
        <f>D207</f>
        <v/>
      </c>
      <c r="E208" s="90" t="n">
        <v>78.64</v>
      </c>
      <c r="F208" s="92">
        <f>D208*E208</f>
        <v/>
      </c>
      <c r="G208" s="93" t="n"/>
      <c r="H208" s="93" t="n"/>
      <c r="I208" s="93" t="n"/>
    </row>
    <row r="209">
      <c r="A209" s="9" t="n">
        <v>198</v>
      </c>
      <c r="B209" t="n">
        <v>6.47</v>
      </c>
      <c r="C209" s="90" t="n">
        <v>179</v>
      </c>
      <c r="D209" s="90">
        <f>D208</f>
        <v/>
      </c>
      <c r="E209" s="90" t="n">
        <v>78.73999999999999</v>
      </c>
      <c r="F209" s="92">
        <f>D209*E209</f>
        <v/>
      </c>
      <c r="G209" s="93" t="n"/>
      <c r="H209" s="93" t="n"/>
      <c r="I209" s="93" t="n"/>
    </row>
    <row r="210">
      <c r="A210" s="9" t="n">
        <v>199</v>
      </c>
      <c r="B210" t="n">
        <v>6.49</v>
      </c>
      <c r="C210" s="90" t="n">
        <v>180</v>
      </c>
      <c r="D210" s="90">
        <f>D209</f>
        <v/>
      </c>
      <c r="E210" s="90" t="n">
        <v>78.84</v>
      </c>
      <c r="F210" s="92">
        <f>D210*E210</f>
        <v/>
      </c>
      <c r="G210" s="93" t="n"/>
      <c r="H210" s="93" t="n"/>
      <c r="I210" s="93" t="n"/>
    </row>
    <row r="211">
      <c r="A211" s="9" t="n">
        <v>200</v>
      </c>
      <c r="B211" t="n">
        <v>6.52</v>
      </c>
      <c r="C211" s="90" t="n">
        <v>181</v>
      </c>
      <c r="D211" s="90">
        <f>D210</f>
        <v/>
      </c>
      <c r="E211" s="90" t="n">
        <v>78.94</v>
      </c>
      <c r="F211" s="92">
        <f>D211*E211</f>
        <v/>
      </c>
      <c r="G211" s="93" t="n"/>
      <c r="H211" s="93" t="n"/>
      <c r="I211" s="93" t="n"/>
    </row>
    <row r="212">
      <c r="A212" s="9" t="n">
        <v>201</v>
      </c>
      <c r="B212" t="n">
        <v>6.55</v>
      </c>
      <c r="C212" s="90" t="n">
        <v>182</v>
      </c>
      <c r="D212" s="90">
        <f>D211</f>
        <v/>
      </c>
      <c r="E212" s="90" t="n">
        <v>79.04000000000001</v>
      </c>
      <c r="F212" s="92">
        <f>D212*E212</f>
        <v/>
      </c>
      <c r="G212" s="93" t="n"/>
      <c r="H212" s="93" t="n"/>
      <c r="I212" s="93" t="n"/>
    </row>
    <row r="213">
      <c r="A213" s="9" t="n">
        <v>202</v>
      </c>
      <c r="B213" t="n">
        <v>6.58</v>
      </c>
      <c r="C213" s="90" t="n">
        <v>183</v>
      </c>
      <c r="D213" s="90">
        <f>D212</f>
        <v/>
      </c>
      <c r="E213" s="90" t="n">
        <v>79.14</v>
      </c>
      <c r="F213" s="92">
        <f>D213*E213</f>
        <v/>
      </c>
      <c r="G213" s="93" t="n"/>
      <c r="H213" s="93" t="n"/>
      <c r="I213" s="93" t="n"/>
    </row>
    <row r="214">
      <c r="A214" s="9" t="n">
        <v>203</v>
      </c>
      <c r="B214" t="n">
        <v>6.61</v>
      </c>
      <c r="C214" s="90" t="n">
        <v>184</v>
      </c>
      <c r="D214" s="90">
        <f>D213</f>
        <v/>
      </c>
      <c r="E214" s="90" t="n">
        <v>79.23999999999999</v>
      </c>
      <c r="F214" s="92">
        <f>D214*E214</f>
        <v/>
      </c>
      <c r="G214" s="93" t="n"/>
      <c r="H214" s="93" t="n"/>
      <c r="I214" s="93" t="n"/>
    </row>
    <row r="215">
      <c r="A215" s="9" t="n">
        <v>204</v>
      </c>
      <c r="B215" t="n">
        <v>6.64</v>
      </c>
      <c r="C215" s="90" t="n">
        <v>185</v>
      </c>
      <c r="D215" s="90">
        <f>D214</f>
        <v/>
      </c>
      <c r="E215" s="90" t="n">
        <v>79.34</v>
      </c>
      <c r="F215" s="92">
        <f>D215*E215</f>
        <v/>
      </c>
      <c r="G215" s="93" t="n"/>
      <c r="H215" s="93" t="n"/>
      <c r="I215" s="93" t="n"/>
    </row>
    <row r="216">
      <c r="A216" s="9" t="n">
        <v>205</v>
      </c>
      <c r="B216" t="n">
        <v>6.67</v>
      </c>
      <c r="C216" s="90" t="n">
        <v>186</v>
      </c>
      <c r="D216" s="90">
        <f>D215</f>
        <v/>
      </c>
      <c r="E216" s="90" t="n">
        <v>79.44</v>
      </c>
      <c r="F216" s="92">
        <f>D216*E216</f>
        <v/>
      </c>
      <c r="G216" s="93" t="n"/>
      <c r="H216" s="93" t="n"/>
      <c r="I216" s="93" t="n"/>
    </row>
    <row r="217">
      <c r="A217" s="9" t="n">
        <v>206</v>
      </c>
      <c r="B217" t="n">
        <v>6.7</v>
      </c>
      <c r="C217" s="90" t="n">
        <v>187</v>
      </c>
      <c r="D217" s="90">
        <f>D216</f>
        <v/>
      </c>
      <c r="E217" s="90" t="n">
        <v>79.53999999999991</v>
      </c>
      <c r="F217" s="92">
        <f>D217*E217</f>
        <v/>
      </c>
      <c r="G217" s="93" t="n"/>
      <c r="H217" s="93" t="n"/>
      <c r="I217" s="93" t="n"/>
    </row>
    <row r="218">
      <c r="A218" s="9" t="n">
        <v>207</v>
      </c>
      <c r="B218" t="n">
        <v>6.72</v>
      </c>
      <c r="C218" s="90" t="n">
        <v>188</v>
      </c>
      <c r="D218" s="90">
        <f>D217</f>
        <v/>
      </c>
      <c r="E218" s="90" t="n">
        <v>79.6399999999999</v>
      </c>
      <c r="F218" s="92">
        <f>D218*E218</f>
        <v/>
      </c>
      <c r="G218" s="93" t="n"/>
      <c r="H218" s="93" t="n"/>
      <c r="I218" s="93" t="n"/>
    </row>
    <row r="219">
      <c r="A219" s="9" t="n">
        <v>208</v>
      </c>
      <c r="B219" t="n">
        <v>6.76</v>
      </c>
      <c r="C219" s="90" t="n">
        <v>189</v>
      </c>
      <c r="D219" s="90">
        <f>D218</f>
        <v/>
      </c>
      <c r="E219" s="90" t="n">
        <v>79.7399999999999</v>
      </c>
      <c r="F219" s="92">
        <f>D219*E219</f>
        <v/>
      </c>
      <c r="G219" s="93" t="n"/>
      <c r="H219" s="93" t="n"/>
      <c r="I219" s="93" t="n"/>
    </row>
    <row r="220">
      <c r="A220" s="9" t="n">
        <v>209</v>
      </c>
      <c r="B220" t="n">
        <v>6.78</v>
      </c>
      <c r="C220" s="90" t="n">
        <v>190</v>
      </c>
      <c r="D220" s="90">
        <f>D219</f>
        <v/>
      </c>
      <c r="E220" s="90" t="n">
        <v>79.8399999999999</v>
      </c>
      <c r="F220" s="92">
        <f>D220*E220</f>
        <v/>
      </c>
      <c r="G220" s="93" t="n"/>
      <c r="H220" s="93" t="n"/>
      <c r="I220" s="93" t="n"/>
    </row>
    <row r="221">
      <c r="A221" s="9" t="n">
        <v>210</v>
      </c>
      <c r="B221" t="n">
        <v>6.82</v>
      </c>
      <c r="C221" s="90" t="n">
        <v>191</v>
      </c>
      <c r="D221" s="90">
        <f>D220</f>
        <v/>
      </c>
      <c r="E221" s="90" t="n">
        <v>79.9399999999999</v>
      </c>
      <c r="F221" s="92">
        <f>D221*E221</f>
        <v/>
      </c>
      <c r="G221" s="93" t="n"/>
      <c r="H221" s="93" t="n"/>
      <c r="I221" s="93" t="n"/>
    </row>
    <row r="222">
      <c r="A222" s="9" t="n">
        <v>211</v>
      </c>
      <c r="B222" t="n">
        <v>6.84</v>
      </c>
      <c r="C222" s="90" t="n">
        <v>192</v>
      </c>
      <c r="D222" s="90">
        <f>D221</f>
        <v/>
      </c>
      <c r="E222" s="90" t="n">
        <v>80.03999999999991</v>
      </c>
      <c r="F222" s="92">
        <f>D222*E222</f>
        <v/>
      </c>
      <c r="G222" s="93" t="n"/>
      <c r="H222" s="93" t="n"/>
      <c r="I222" s="93" t="n"/>
    </row>
    <row r="223">
      <c r="A223" s="9" t="n">
        <v>212</v>
      </c>
      <c r="B223" t="n">
        <v>6.88</v>
      </c>
      <c r="C223" s="90" t="n">
        <v>193</v>
      </c>
      <c r="D223" s="90">
        <f>D222</f>
        <v/>
      </c>
      <c r="E223" s="90" t="n">
        <v>80.1399999999999</v>
      </c>
      <c r="F223" s="92">
        <f>D223*E223</f>
        <v/>
      </c>
      <c r="G223" s="93" t="n"/>
      <c r="H223" s="93" t="n"/>
      <c r="I223" s="93" t="n"/>
    </row>
    <row r="224">
      <c r="A224" s="9" t="n">
        <v>213</v>
      </c>
      <c r="B224" t="n">
        <v>6.9</v>
      </c>
      <c r="C224" s="90" t="n">
        <v>194</v>
      </c>
      <c r="D224" s="90">
        <f>D223</f>
        <v/>
      </c>
      <c r="E224" s="90" t="n">
        <v>80.2399999999999</v>
      </c>
      <c r="F224" s="92">
        <f>D224*E224</f>
        <v/>
      </c>
      <c r="G224" s="93" t="n"/>
      <c r="H224" s="93" t="n"/>
      <c r="I224" s="93" t="n"/>
    </row>
    <row r="225">
      <c r="A225" s="9" t="n">
        <v>214</v>
      </c>
      <c r="B225" t="n">
        <v>6.92</v>
      </c>
      <c r="C225" s="90" t="n">
        <v>195</v>
      </c>
      <c r="D225" s="90">
        <f>D224</f>
        <v/>
      </c>
      <c r="E225" s="90" t="n">
        <v>80.3399999999999</v>
      </c>
      <c r="F225" s="92">
        <f>D225*E225</f>
        <v/>
      </c>
      <c r="G225" s="93" t="n"/>
      <c r="H225" s="93" t="n"/>
      <c r="I225" s="93" t="n"/>
    </row>
    <row r="226">
      <c r="A226" s="9" t="n">
        <v>215</v>
      </c>
      <c r="B226" t="n">
        <v>6.96</v>
      </c>
      <c r="C226" s="90" t="n">
        <v>196</v>
      </c>
      <c r="D226" s="90">
        <f>D225</f>
        <v/>
      </c>
      <c r="E226" s="90" t="n">
        <v>80.4399999999999</v>
      </c>
      <c r="F226" s="92">
        <f>D226*E226</f>
        <v/>
      </c>
      <c r="G226" s="93" t="n"/>
      <c r="H226" s="93" t="n"/>
      <c r="I226" s="93" t="n"/>
    </row>
    <row r="227">
      <c r="A227" s="9" t="n">
        <v>216</v>
      </c>
      <c r="B227" t="n">
        <v>6.98</v>
      </c>
      <c r="C227" s="90" t="n">
        <v>197</v>
      </c>
      <c r="D227" s="90">
        <f>D226</f>
        <v/>
      </c>
      <c r="E227" s="90" t="n">
        <v>80.53999999999991</v>
      </c>
      <c r="F227" s="92">
        <f>D227*E227</f>
        <v/>
      </c>
      <c r="G227" s="93" t="n"/>
      <c r="H227" s="93" t="n"/>
      <c r="I227" s="93" t="n"/>
    </row>
    <row r="228">
      <c r="A228" s="9" t="n">
        <v>217</v>
      </c>
      <c r="B228" t="n">
        <v>7.02</v>
      </c>
      <c r="C228" s="90" t="n">
        <v>198</v>
      </c>
      <c r="D228" s="90">
        <f>D227</f>
        <v/>
      </c>
      <c r="E228" s="90" t="n">
        <v>80.6399999999999</v>
      </c>
      <c r="F228" s="92">
        <f>D228*E228</f>
        <v/>
      </c>
      <c r="G228" s="93" t="n"/>
      <c r="H228" s="93" t="n"/>
      <c r="I228" s="93" t="n"/>
    </row>
    <row r="229">
      <c r="A229" s="9" t="n">
        <v>218</v>
      </c>
      <c r="B229" t="n">
        <v>7.04</v>
      </c>
      <c r="C229" s="90" t="n">
        <v>199</v>
      </c>
      <c r="D229" s="90">
        <f>D228</f>
        <v/>
      </c>
      <c r="E229" s="90" t="n">
        <v>80.7399999999999</v>
      </c>
      <c r="F229" s="92">
        <f>D229*E229</f>
        <v/>
      </c>
      <c r="G229" s="93" t="n"/>
      <c r="H229" s="93" t="n"/>
      <c r="I229" s="93" t="n"/>
    </row>
    <row r="230">
      <c r="A230" s="9" t="n">
        <v>219</v>
      </c>
      <c r="B230" t="n">
        <v>7.07</v>
      </c>
      <c r="C230" s="90" t="n">
        <v>200</v>
      </c>
      <c r="D230" s="90">
        <f>D229</f>
        <v/>
      </c>
      <c r="E230" s="90" t="n">
        <v>80.8399999999999</v>
      </c>
      <c r="F230" s="92">
        <f>D230*E230</f>
        <v/>
      </c>
      <c r="G230" s="93" t="n"/>
      <c r="H230" s="93" t="n"/>
      <c r="I230" s="93" t="n"/>
    </row>
    <row r="231">
      <c r="A231" s="9" t="n">
        <v>220</v>
      </c>
      <c r="B231" t="n">
        <v>7.1</v>
      </c>
      <c r="C231" s="90" t="n">
        <v>201</v>
      </c>
      <c r="D231" s="90">
        <f>D230</f>
        <v/>
      </c>
      <c r="E231" s="90" t="n">
        <v>80.89</v>
      </c>
      <c r="F231" s="92">
        <f>D231*E231</f>
        <v/>
      </c>
      <c r="G231" s="93" t="n"/>
      <c r="H231" s="93" t="n"/>
      <c r="I231" s="93" t="n"/>
    </row>
    <row r="232">
      <c r="A232" s="9" t="n">
        <v>221</v>
      </c>
      <c r="B232" t="n">
        <v>7.13</v>
      </c>
      <c r="C232" s="90" t="n">
        <v>202</v>
      </c>
      <c r="D232" s="90">
        <f>D231</f>
        <v/>
      </c>
      <c r="E232" s="90" t="n">
        <v>80.94</v>
      </c>
      <c r="F232" s="92">
        <f>D232*E232</f>
        <v/>
      </c>
      <c r="G232" s="93" t="n"/>
      <c r="H232" s="93" t="n"/>
      <c r="I232" s="93" t="n"/>
    </row>
    <row r="233">
      <c r="A233" s="9" t="n">
        <v>222</v>
      </c>
      <c r="B233" t="n">
        <v>7.16</v>
      </c>
      <c r="C233" s="90" t="n">
        <v>203</v>
      </c>
      <c r="D233" s="90">
        <f>D232</f>
        <v/>
      </c>
      <c r="E233" s="90" t="n">
        <v>80.98999999999999</v>
      </c>
      <c r="F233" s="92">
        <f>D233*E233</f>
        <v/>
      </c>
      <c r="G233" s="93" t="n"/>
      <c r="H233" s="93" t="n"/>
      <c r="I233" s="93" t="n"/>
    </row>
    <row r="234">
      <c r="A234" s="9" t="n">
        <v>223</v>
      </c>
      <c r="B234" t="n">
        <v>7.19</v>
      </c>
      <c r="C234" s="90" t="n">
        <v>204</v>
      </c>
      <c r="D234" s="90">
        <f>D233</f>
        <v/>
      </c>
      <c r="E234" s="90" t="n">
        <v>81.04000000000001</v>
      </c>
      <c r="F234" s="92">
        <f>D234*E234</f>
        <v/>
      </c>
      <c r="G234" s="93" t="n"/>
      <c r="H234" s="93" t="n"/>
      <c r="I234" s="93" t="n"/>
    </row>
    <row r="235">
      <c r="A235" s="9" t="n">
        <v>224</v>
      </c>
      <c r="B235" t="n">
        <v>7.21</v>
      </c>
      <c r="C235" s="90" t="n">
        <v>205</v>
      </c>
      <c r="D235" s="90">
        <f>D234</f>
        <v/>
      </c>
      <c r="E235" s="90" t="n">
        <v>81.09</v>
      </c>
      <c r="F235" s="92">
        <f>D235*E235</f>
        <v/>
      </c>
      <c r="G235" s="93" t="n"/>
      <c r="H235" s="93" t="n"/>
      <c r="I235" s="93" t="n"/>
    </row>
    <row r="236">
      <c r="A236" s="9" t="n">
        <v>225</v>
      </c>
      <c r="B236" t="n">
        <v>7.25</v>
      </c>
      <c r="C236" s="90" t="n">
        <v>206</v>
      </c>
      <c r="D236" s="90">
        <f>D235</f>
        <v/>
      </c>
      <c r="E236" s="90" t="n">
        <v>81.14</v>
      </c>
      <c r="F236" s="92">
        <f>D236*E236</f>
        <v/>
      </c>
      <c r="G236" s="93" t="n"/>
      <c r="H236" s="93" t="n"/>
      <c r="I236" s="93" t="n"/>
    </row>
    <row r="237">
      <c r="A237" s="9" t="n">
        <v>226</v>
      </c>
      <c r="B237" t="n">
        <v>7.27</v>
      </c>
      <c r="C237" s="90" t="n">
        <v>207</v>
      </c>
      <c r="D237" s="90">
        <f>D236</f>
        <v/>
      </c>
      <c r="E237" s="90" t="n">
        <v>81.19</v>
      </c>
      <c r="F237" s="92">
        <f>D237*E237</f>
        <v/>
      </c>
      <c r="G237" s="93" t="n"/>
      <c r="H237" s="93" t="n"/>
      <c r="I237" s="93" t="n"/>
    </row>
    <row r="238">
      <c r="A238" s="9" t="n">
        <v>227</v>
      </c>
      <c r="B238" t="n">
        <v>7.31</v>
      </c>
      <c r="C238" s="90" t="n">
        <v>208</v>
      </c>
      <c r="D238" s="90">
        <f>D237</f>
        <v/>
      </c>
      <c r="E238" s="90" t="n">
        <v>81.23999999999999</v>
      </c>
      <c r="F238" s="92">
        <f>D238*E238</f>
        <v/>
      </c>
      <c r="G238" s="93" t="n"/>
      <c r="H238" s="93" t="n"/>
      <c r="I238" s="93" t="n"/>
    </row>
    <row r="239">
      <c r="A239" s="9" t="n">
        <v>228</v>
      </c>
      <c r="B239" t="n">
        <v>7.33</v>
      </c>
      <c r="C239" s="90" t="n">
        <v>209</v>
      </c>
      <c r="D239" s="90">
        <f>D238</f>
        <v/>
      </c>
      <c r="E239" s="90" t="n">
        <v>81.29000000000001</v>
      </c>
      <c r="F239" s="92">
        <f>D239*E239</f>
        <v/>
      </c>
      <c r="G239" s="93" t="n"/>
      <c r="H239" s="93" t="n"/>
      <c r="I239" s="93" t="n"/>
    </row>
    <row r="240">
      <c r="A240" s="9" t="n">
        <v>229</v>
      </c>
      <c r="B240" t="n">
        <v>7.36</v>
      </c>
      <c r="C240" s="90" t="n">
        <v>210</v>
      </c>
      <c r="D240" s="90">
        <f>D239</f>
        <v/>
      </c>
      <c r="E240" s="90" t="n">
        <v>81.34</v>
      </c>
      <c r="F240" s="92">
        <f>D240*E240</f>
        <v/>
      </c>
      <c r="G240" s="93" t="n"/>
      <c r="H240" s="93" t="n"/>
      <c r="I240" s="93" t="n"/>
    </row>
    <row r="241">
      <c r="A241" s="9" t="n">
        <v>230</v>
      </c>
      <c r="B241" t="n">
        <v>7.39</v>
      </c>
      <c r="C241" s="90" t="n">
        <v>211</v>
      </c>
      <c r="D241" s="90">
        <f>D240</f>
        <v/>
      </c>
      <c r="E241" s="90" t="n">
        <v>81.39</v>
      </c>
      <c r="F241" s="92">
        <f>D241*E241</f>
        <v/>
      </c>
      <c r="G241" s="93" t="n"/>
      <c r="H241" s="93" t="n"/>
      <c r="I241" s="93" t="n"/>
    </row>
    <row r="242">
      <c r="A242" s="9" t="n">
        <v>231</v>
      </c>
      <c r="B242" t="n">
        <v>7.42</v>
      </c>
      <c r="C242" s="90" t="n">
        <v>212</v>
      </c>
      <c r="D242" s="90">
        <f>D241</f>
        <v/>
      </c>
      <c r="E242" s="90" t="n">
        <v>81.44</v>
      </c>
      <c r="F242" s="92">
        <f>D242*E242</f>
        <v/>
      </c>
      <c r="G242" s="93" t="n"/>
      <c r="H242" s="93" t="n"/>
      <c r="I242" s="93" t="n"/>
    </row>
    <row r="243">
      <c r="A243" s="9" t="n">
        <v>232</v>
      </c>
      <c r="B243" t="n">
        <v>7.45</v>
      </c>
      <c r="C243" s="90" t="n">
        <v>213</v>
      </c>
      <c r="D243" s="90">
        <f>D242</f>
        <v/>
      </c>
      <c r="E243" s="90" t="n">
        <v>81.48999999999999</v>
      </c>
      <c r="F243" s="92">
        <f>D243*E243</f>
        <v/>
      </c>
      <c r="G243" s="93" t="n"/>
      <c r="H243" s="93" t="n"/>
      <c r="I243" s="93" t="n"/>
    </row>
    <row r="244">
      <c r="A244" s="9" t="n">
        <v>233</v>
      </c>
      <c r="B244" t="n">
        <v>7.48</v>
      </c>
      <c r="C244" s="90" t="n">
        <v>214</v>
      </c>
      <c r="D244" s="90">
        <f>D243</f>
        <v/>
      </c>
      <c r="E244" s="90" t="n">
        <v>81.54000000000001</v>
      </c>
      <c r="F244" s="92">
        <f>D244*E244</f>
        <v/>
      </c>
      <c r="G244" s="93" t="n"/>
      <c r="H244" s="93" t="n"/>
      <c r="I244" s="93" t="n"/>
    </row>
    <row r="245">
      <c r="A245" s="9" t="n">
        <v>234</v>
      </c>
      <c r="B245" t="n">
        <v>7.5</v>
      </c>
      <c r="C245" s="90" t="n">
        <v>215</v>
      </c>
      <c r="D245" s="90">
        <f>D244</f>
        <v/>
      </c>
      <c r="E245" s="90" t="n">
        <v>81.59</v>
      </c>
      <c r="F245" s="92">
        <f>D245*E245</f>
        <v/>
      </c>
      <c r="G245" s="93" t="n"/>
      <c r="H245" s="93" t="n"/>
      <c r="I245" s="93" t="n"/>
    </row>
    <row r="246">
      <c r="A246" s="9" t="n">
        <v>235</v>
      </c>
      <c r="B246" t="n">
        <v>7.54</v>
      </c>
      <c r="C246" s="90" t="n">
        <v>216</v>
      </c>
      <c r="D246" s="90">
        <f>D245</f>
        <v/>
      </c>
      <c r="E246" s="90" t="n">
        <v>81.64</v>
      </c>
      <c r="F246" s="92">
        <f>D246*E246</f>
        <v/>
      </c>
      <c r="G246" s="93" t="n"/>
      <c r="H246" s="93" t="n"/>
      <c r="I246" s="93" t="n"/>
    </row>
    <row r="247">
      <c r="A247" s="9" t="n">
        <v>236</v>
      </c>
      <c r="B247" t="n">
        <v>7.56</v>
      </c>
      <c r="C247" s="90" t="n">
        <v>217</v>
      </c>
      <c r="D247" s="90">
        <f>D246</f>
        <v/>
      </c>
      <c r="E247" s="90" t="n">
        <v>81.69</v>
      </c>
      <c r="F247" s="92">
        <f>D247*E247</f>
        <v/>
      </c>
      <c r="G247" s="93" t="n"/>
      <c r="H247" s="93" t="n"/>
      <c r="I247" s="93" t="n"/>
    </row>
    <row r="248">
      <c r="A248" s="9" t="n">
        <v>237</v>
      </c>
      <c r="B248" t="n">
        <v>7.6</v>
      </c>
      <c r="C248" s="90" t="n">
        <v>218</v>
      </c>
      <c r="D248" s="90">
        <f>D247</f>
        <v/>
      </c>
      <c r="E248" s="90" t="n">
        <v>81.73999999999999</v>
      </c>
      <c r="F248" s="92">
        <f>D248*E248</f>
        <v/>
      </c>
      <c r="G248" s="93" t="n"/>
      <c r="H248" s="93" t="n"/>
      <c r="I248" s="93" t="n"/>
    </row>
    <row r="249">
      <c r="A249" s="9" t="n">
        <v>238</v>
      </c>
      <c r="B249" t="n">
        <v>7.62</v>
      </c>
      <c r="C249" s="90" t="n">
        <v>219</v>
      </c>
      <c r="D249" s="90">
        <f>D248</f>
        <v/>
      </c>
      <c r="E249" s="90" t="n">
        <v>81.79000000000001</v>
      </c>
      <c r="F249" s="92">
        <f>D249*E249</f>
        <v/>
      </c>
      <c r="G249" s="93" t="n"/>
      <c r="H249" s="93" t="n"/>
      <c r="I249" s="93" t="n"/>
    </row>
    <row r="250">
      <c r="A250" s="9" t="n">
        <v>239</v>
      </c>
      <c r="B250" t="n">
        <v>7.64</v>
      </c>
      <c r="C250" s="90" t="n">
        <v>220</v>
      </c>
      <c r="D250" s="90">
        <f>D249</f>
        <v/>
      </c>
      <c r="E250" s="90" t="n">
        <v>81.84</v>
      </c>
      <c r="F250" s="92">
        <f>D250*E250</f>
        <v/>
      </c>
      <c r="G250" s="93" t="n"/>
      <c r="H250" s="93" t="n"/>
      <c r="I250" s="93" t="n"/>
    </row>
    <row r="251">
      <c r="A251" s="9" t="n">
        <v>240</v>
      </c>
      <c r="B251" t="n">
        <v>7.68</v>
      </c>
      <c r="C251" s="90" t="n">
        <v>221</v>
      </c>
      <c r="D251" s="90">
        <f>D250</f>
        <v/>
      </c>
      <c r="E251" s="90" t="n">
        <v>81.89</v>
      </c>
      <c r="F251" s="92">
        <f>D251*E251</f>
        <v/>
      </c>
      <c r="G251" s="93" t="n"/>
      <c r="H251" s="93" t="n"/>
      <c r="I251" s="93" t="n"/>
    </row>
    <row r="252">
      <c r="A252" s="9" t="n">
        <v>241</v>
      </c>
      <c r="B252" t="n">
        <v>7.7</v>
      </c>
      <c r="C252" s="90" t="n">
        <v>222</v>
      </c>
      <c r="D252" s="90">
        <f>D251</f>
        <v/>
      </c>
      <c r="E252" s="90" t="n">
        <v>81.94</v>
      </c>
      <c r="F252" s="92">
        <f>D252*E252</f>
        <v/>
      </c>
      <c r="G252" s="93" t="n"/>
      <c r="H252" s="93" t="n"/>
      <c r="I252" s="93" t="n"/>
    </row>
    <row r="253">
      <c r="A253" s="9" t="n">
        <v>242</v>
      </c>
      <c r="B253" t="n">
        <v>7.74</v>
      </c>
      <c r="C253" s="90" t="n">
        <v>223</v>
      </c>
      <c r="D253" s="90">
        <f>D252</f>
        <v/>
      </c>
      <c r="E253" s="90" t="n">
        <v>81.98999999999999</v>
      </c>
      <c r="F253" s="92">
        <f>D253*E253</f>
        <v/>
      </c>
      <c r="G253" s="93" t="n"/>
      <c r="H253" s="93" t="n"/>
      <c r="I253" s="93" t="n"/>
    </row>
    <row r="254">
      <c r="A254" s="9" t="n">
        <v>243</v>
      </c>
      <c r="B254" t="n">
        <v>7.76</v>
      </c>
      <c r="C254" s="90" t="n">
        <v>224</v>
      </c>
      <c r="D254" s="90">
        <f>D253</f>
        <v/>
      </c>
      <c r="E254" s="90" t="n">
        <v>82.04000000000001</v>
      </c>
      <c r="F254" s="92">
        <f>D254*E254</f>
        <v/>
      </c>
      <c r="G254" s="93" t="n"/>
      <c r="H254" s="93" t="n"/>
      <c r="I254" s="93" t="n"/>
    </row>
    <row r="255">
      <c r="A255" s="9" t="n">
        <v>244</v>
      </c>
      <c r="B255" t="n">
        <v>7.79</v>
      </c>
      <c r="C255" s="90" t="n">
        <v>225</v>
      </c>
      <c r="D255" s="90">
        <f>D254</f>
        <v/>
      </c>
      <c r="E255" s="90" t="n">
        <v>82.09</v>
      </c>
      <c r="F255" s="92">
        <f>D255*E255</f>
        <v/>
      </c>
      <c r="G255" s="93" t="n"/>
      <c r="H255" s="93" t="n"/>
      <c r="I255" s="93" t="n"/>
    </row>
    <row r="256">
      <c r="A256" s="9" t="n">
        <v>245</v>
      </c>
      <c r="B256" t="n">
        <v>7.82</v>
      </c>
      <c r="C256" s="90" t="n">
        <v>226</v>
      </c>
      <c r="D256" s="90">
        <f>D255</f>
        <v/>
      </c>
      <c r="E256" s="90" t="n">
        <v>82.12</v>
      </c>
      <c r="F256" s="92">
        <f>D256*E256</f>
        <v/>
      </c>
      <c r="G256" s="93" t="n"/>
      <c r="H256" s="93" t="n"/>
      <c r="I256" s="93" t="n"/>
    </row>
    <row r="257">
      <c r="A257" s="9" t="n">
        <v>246</v>
      </c>
      <c r="B257" t="n">
        <v>7.85</v>
      </c>
      <c r="C257" s="90" t="n">
        <v>227</v>
      </c>
      <c r="D257" s="90">
        <f>D256</f>
        <v/>
      </c>
      <c r="E257" s="90" t="n">
        <v>82.15000000000001</v>
      </c>
      <c r="F257" s="92">
        <f>D257*E257</f>
        <v/>
      </c>
      <c r="G257" s="93" t="n"/>
      <c r="H257" s="93" t="n"/>
      <c r="I257" s="93" t="n"/>
    </row>
    <row r="258">
      <c r="A258" s="9" t="n">
        <v>247</v>
      </c>
      <c r="B258" t="n">
        <v>7.87</v>
      </c>
      <c r="C258" s="90" t="n">
        <v>228</v>
      </c>
      <c r="D258" s="90">
        <f>D257</f>
        <v/>
      </c>
      <c r="E258" s="90" t="n">
        <v>82.18000000000001</v>
      </c>
      <c r="F258" s="92">
        <f>D258*E258</f>
        <v/>
      </c>
      <c r="G258" s="93" t="n"/>
      <c r="H258" s="93" t="n"/>
      <c r="I258" s="93" t="n"/>
    </row>
    <row r="259">
      <c r="A259" s="9" t="n">
        <v>248</v>
      </c>
      <c r="B259" t="n">
        <v>7.91</v>
      </c>
      <c r="C259" s="90" t="n">
        <v>229</v>
      </c>
      <c r="D259" s="90">
        <f>D258</f>
        <v/>
      </c>
      <c r="E259" s="90" t="n">
        <v>82.20999999999999</v>
      </c>
      <c r="F259" s="92">
        <f>D259*E259</f>
        <v/>
      </c>
      <c r="G259" s="93" t="n"/>
      <c r="H259" s="93" t="n"/>
      <c r="I259" s="93" t="n"/>
    </row>
    <row r="260">
      <c r="A260" s="9" t="n">
        <v>249</v>
      </c>
      <c r="B260" t="n">
        <v>7.93</v>
      </c>
      <c r="C260" s="90" t="n">
        <v>230</v>
      </c>
      <c r="D260" s="90">
        <f>D259</f>
        <v/>
      </c>
      <c r="E260" s="90" t="n">
        <v>82.23999999999999</v>
      </c>
      <c r="F260" s="92">
        <f>D260*E260</f>
        <v/>
      </c>
      <c r="G260" s="93" t="n"/>
      <c r="H260" s="93" t="n"/>
      <c r="I260" s="93" t="n"/>
    </row>
    <row r="261">
      <c r="A261" s="9" t="n">
        <v>250</v>
      </c>
      <c r="B261" t="n">
        <v>7.97</v>
      </c>
      <c r="C261" s="90" t="n">
        <v>231</v>
      </c>
      <c r="D261" s="90">
        <f>D260</f>
        <v/>
      </c>
      <c r="E261" s="90" t="n">
        <v>82.27</v>
      </c>
      <c r="F261" s="92">
        <f>D261*E261</f>
        <v/>
      </c>
      <c r="G261" s="93" t="n"/>
      <c r="H261" s="93" t="n"/>
      <c r="I261" s="93" t="n"/>
    </row>
    <row r="262">
      <c r="A262" s="9" t="n">
        <v>251</v>
      </c>
      <c r="B262" t="n">
        <v>7.99</v>
      </c>
      <c r="C262" s="90" t="n">
        <v>232</v>
      </c>
      <c r="D262" s="90">
        <f>D261</f>
        <v/>
      </c>
      <c r="E262" s="90" t="n">
        <v>82.3</v>
      </c>
      <c r="F262" s="92">
        <f>D262*E262</f>
        <v/>
      </c>
      <c r="G262" s="93" t="n"/>
      <c r="H262" s="93" t="n"/>
      <c r="I262" s="93" t="n"/>
    </row>
    <row r="263">
      <c r="A263" s="9" t="n">
        <v>252</v>
      </c>
      <c r="B263" t="n">
        <v>8.02</v>
      </c>
      <c r="C263" s="90" t="n">
        <v>233</v>
      </c>
      <c r="D263" s="90">
        <f>D262</f>
        <v/>
      </c>
      <c r="E263" s="90" t="n">
        <v>82.33</v>
      </c>
      <c r="F263" s="92">
        <f>D263*E263</f>
        <v/>
      </c>
      <c r="G263" s="93" t="n"/>
      <c r="H263" s="93" t="n"/>
      <c r="I263" s="93" t="n"/>
    </row>
    <row r="264">
      <c r="A264" s="9" t="n">
        <v>253</v>
      </c>
      <c r="B264" t="n">
        <v>8.050000000000001</v>
      </c>
      <c r="C264" s="90" t="n">
        <v>234</v>
      </c>
      <c r="D264" s="90">
        <f>D263</f>
        <v/>
      </c>
      <c r="E264" s="90" t="n">
        <v>82.3599999999999</v>
      </c>
      <c r="F264" s="92">
        <f>D264*E264</f>
        <v/>
      </c>
      <c r="G264" s="93" t="n"/>
      <c r="H264" s="93" t="n"/>
      <c r="I264" s="93" t="n"/>
    </row>
    <row r="265">
      <c r="A265" s="9" t="n">
        <v>254</v>
      </c>
      <c r="B265" t="n">
        <v>8.08</v>
      </c>
      <c r="C265" s="90" t="n">
        <v>235</v>
      </c>
      <c r="D265" s="90">
        <f>D264</f>
        <v/>
      </c>
      <c r="E265" s="90" t="n">
        <v>82.3899999999999</v>
      </c>
      <c r="F265" s="92">
        <f>D265*E265</f>
        <v/>
      </c>
      <c r="G265" s="93" t="n"/>
      <c r="H265" s="93" t="n"/>
      <c r="I265" s="93" t="n"/>
    </row>
    <row r="266">
      <c r="A266" s="9" t="n">
        <v>255</v>
      </c>
      <c r="B266" t="n">
        <v>8.1</v>
      </c>
      <c r="C266" s="90" t="n">
        <v>236</v>
      </c>
      <c r="D266" s="90">
        <f>D265</f>
        <v/>
      </c>
      <c r="E266" s="90" t="n">
        <v>82.4199999999999</v>
      </c>
      <c r="F266" s="92">
        <f>D266*E266</f>
        <v/>
      </c>
      <c r="G266" s="93" t="n"/>
      <c r="H266" s="93" t="n"/>
      <c r="I266" s="93" t="n"/>
    </row>
    <row r="267">
      <c r="A267" s="9" t="n">
        <v>256</v>
      </c>
      <c r="B267" t="n">
        <v>8.140000000000001</v>
      </c>
      <c r="C267" s="90" t="n">
        <v>237</v>
      </c>
      <c r="D267" s="90">
        <f>D266</f>
        <v/>
      </c>
      <c r="E267" s="90" t="n">
        <v>82.4499999999999</v>
      </c>
      <c r="F267" s="92">
        <f>D267*E267</f>
        <v/>
      </c>
      <c r="G267" s="93" t="n"/>
      <c r="H267" s="93" t="n"/>
      <c r="I267" s="93" t="n"/>
    </row>
    <row r="268">
      <c r="A268" s="9" t="n">
        <v>257</v>
      </c>
      <c r="B268" t="n">
        <v>8.16</v>
      </c>
      <c r="C268" s="90" t="n">
        <v>238</v>
      </c>
      <c r="D268" s="90">
        <f>D267</f>
        <v/>
      </c>
      <c r="E268" s="90" t="n">
        <v>82.4799999999999</v>
      </c>
      <c r="F268" s="92">
        <f>D268*E268</f>
        <v/>
      </c>
      <c r="G268" s="93" t="n"/>
      <c r="H268" s="93" t="n"/>
      <c r="I268" s="93" t="n"/>
    </row>
    <row r="269">
      <c r="A269" s="9" t="n">
        <v>258</v>
      </c>
      <c r="B269" t="n">
        <v>8.199999999999999</v>
      </c>
      <c r="C269" s="90" t="n">
        <v>239</v>
      </c>
      <c r="D269" s="90">
        <f>D268</f>
        <v/>
      </c>
      <c r="E269" s="90" t="n">
        <v>82.5</v>
      </c>
      <c r="F269" s="92">
        <f>D269*E269</f>
        <v/>
      </c>
      <c r="G269" s="93" t="n"/>
      <c r="H269" s="93" t="n"/>
      <c r="I269" s="93" t="n"/>
    </row>
    <row r="270">
      <c r="A270" s="9" t="n">
        <v>259</v>
      </c>
      <c r="B270" t="n">
        <v>8.220000000000001</v>
      </c>
      <c r="C270" s="90" t="n">
        <v>240</v>
      </c>
      <c r="D270" s="90">
        <f>D269</f>
        <v/>
      </c>
      <c r="E270" s="90" t="n">
        <v>82.52</v>
      </c>
      <c r="F270" s="92">
        <f>D270*E270</f>
        <v/>
      </c>
      <c r="G270" s="93" t="n"/>
      <c r="H270" s="93" t="n"/>
      <c r="I270" s="93" t="n"/>
    </row>
    <row r="271">
      <c r="A271" s="9" t="n">
        <v>260</v>
      </c>
      <c r="B271" t="n">
        <v>8.24</v>
      </c>
      <c r="C271" s="90" t="n">
        <v>241</v>
      </c>
      <c r="D271" s="90">
        <f>D270</f>
        <v/>
      </c>
      <c r="E271" s="90" t="n">
        <v>82.54000000000001</v>
      </c>
      <c r="F271" s="92">
        <f>D271*E271</f>
        <v/>
      </c>
      <c r="G271" s="93" t="n"/>
      <c r="H271" s="93" t="n"/>
      <c r="I271" s="93" t="n"/>
    </row>
    <row r="272">
      <c r="A272" s="9" t="n">
        <v>261</v>
      </c>
      <c r="B272" t="n">
        <v>8.279999999999999</v>
      </c>
      <c r="C272" s="90" t="n">
        <v>242</v>
      </c>
      <c r="D272" s="90">
        <f>D271</f>
        <v/>
      </c>
      <c r="E272" s="90" t="n">
        <v>82.56</v>
      </c>
      <c r="F272" s="92">
        <f>D272*E272</f>
        <v/>
      </c>
      <c r="G272" s="93" t="n"/>
      <c r="H272" s="93" t="n"/>
      <c r="I272" s="93" t="n"/>
    </row>
    <row r="273">
      <c r="A273" s="9" t="n">
        <v>262</v>
      </c>
      <c r="B273" t="n">
        <v>8.300000000000001</v>
      </c>
      <c r="C273" s="90" t="n">
        <v>243</v>
      </c>
      <c r="D273" s="90">
        <f>D272</f>
        <v/>
      </c>
      <c r="E273" s="90" t="n">
        <v>82.58</v>
      </c>
      <c r="F273" s="92">
        <f>D273*E273</f>
        <v/>
      </c>
      <c r="G273" s="93" t="n"/>
      <c r="H273" s="93" t="n"/>
      <c r="I273" s="93" t="n"/>
    </row>
    <row r="274">
      <c r="A274" s="9" t="n">
        <v>263</v>
      </c>
      <c r="B274" t="n">
        <v>8.33</v>
      </c>
      <c r="C274" s="90" t="n">
        <v>244</v>
      </c>
      <c r="D274" s="90">
        <f>D273</f>
        <v/>
      </c>
      <c r="E274" s="90" t="n">
        <v>82.59999999999999</v>
      </c>
      <c r="F274" s="92">
        <f>D274*E274</f>
        <v/>
      </c>
      <c r="G274" s="93" t="n"/>
      <c r="H274" s="93" t="n"/>
      <c r="I274" s="93" t="n"/>
    </row>
    <row r="275">
      <c r="A275" s="9" t="n">
        <v>264</v>
      </c>
      <c r="B275" t="n">
        <v>8.359999999999999</v>
      </c>
      <c r="C275" s="90" t="n">
        <v>245</v>
      </c>
      <c r="D275" s="90">
        <f>D274</f>
        <v/>
      </c>
      <c r="E275" s="90" t="n">
        <v>82.62</v>
      </c>
      <c r="F275" s="92">
        <f>D275*E275</f>
        <v/>
      </c>
      <c r="G275" s="93" t="n"/>
      <c r="H275" s="93" t="n"/>
      <c r="I275" s="93" t="n"/>
    </row>
    <row r="276">
      <c r="A276" s="9" t="n">
        <v>265</v>
      </c>
      <c r="B276" t="n">
        <v>8.390000000000001</v>
      </c>
      <c r="C276" s="90" t="n">
        <v>246</v>
      </c>
      <c r="D276" s="90">
        <f>D275</f>
        <v/>
      </c>
      <c r="E276" s="90" t="n">
        <v>82.64</v>
      </c>
      <c r="F276" s="92">
        <f>D276*E276</f>
        <v/>
      </c>
      <c r="G276" s="93" t="n"/>
      <c r="H276" s="93" t="n"/>
      <c r="I276" s="93" t="n"/>
    </row>
    <row r="277">
      <c r="A277" s="9" t="n">
        <v>266</v>
      </c>
      <c r="B277" t="n">
        <v>8.41</v>
      </c>
      <c r="C277" s="90" t="n">
        <v>247</v>
      </c>
      <c r="D277" s="90">
        <f>D276</f>
        <v/>
      </c>
      <c r="E277" s="90" t="n">
        <v>82.66</v>
      </c>
      <c r="F277" s="92">
        <f>D277*E277</f>
        <v/>
      </c>
      <c r="G277" s="93" t="n"/>
      <c r="H277" s="93" t="n"/>
      <c r="I277" s="93" t="n"/>
    </row>
    <row r="278">
      <c r="A278" s="9" t="n">
        <v>267</v>
      </c>
      <c r="B278" t="n">
        <v>8.449999999999999</v>
      </c>
      <c r="C278" s="90" t="n">
        <v>248</v>
      </c>
      <c r="D278" s="90">
        <f>D277</f>
        <v/>
      </c>
      <c r="E278" s="90" t="n">
        <v>82.68000000000001</v>
      </c>
      <c r="F278" s="92">
        <f>D278*E278</f>
        <v/>
      </c>
      <c r="G278" s="93" t="n"/>
      <c r="H278" s="93" t="n"/>
      <c r="I278" s="93" t="n"/>
    </row>
    <row r="279">
      <c r="A279" s="9" t="n">
        <v>268</v>
      </c>
      <c r="B279" t="n">
        <v>8.470000000000001</v>
      </c>
      <c r="C279" s="90" t="n">
        <v>249</v>
      </c>
      <c r="D279" s="90">
        <f>D278</f>
        <v/>
      </c>
      <c r="E279" s="90" t="n">
        <v>82.7</v>
      </c>
      <c r="F279" s="92">
        <f>D279*E279</f>
        <v/>
      </c>
      <c r="G279" s="93" t="n"/>
      <c r="H279" s="93" t="n"/>
      <c r="I279" s="93" t="n"/>
    </row>
    <row r="280">
      <c r="A280" s="9" t="n">
        <v>269</v>
      </c>
      <c r="B280" t="n">
        <v>8.51</v>
      </c>
      <c r="C280" s="90" t="n">
        <v>250</v>
      </c>
      <c r="D280" s="90">
        <f>D279</f>
        <v/>
      </c>
      <c r="E280" s="90" t="n">
        <v>82.72</v>
      </c>
      <c r="F280" s="92">
        <f>D280*E280</f>
        <v/>
      </c>
      <c r="G280" s="93" t="n"/>
      <c r="H280" s="93" t="n"/>
      <c r="I280" s="93" t="n"/>
    </row>
    <row r="281">
      <c r="A281" s="9" t="n">
        <v>270</v>
      </c>
      <c r="B281" t="n">
        <v>8.529999999999999</v>
      </c>
      <c r="C281" s="90" t="n">
        <v>251</v>
      </c>
      <c r="D281" s="90">
        <f>D280</f>
        <v/>
      </c>
      <c r="E281" s="90" t="n">
        <v>82.73</v>
      </c>
      <c r="F281" s="92">
        <f>D281*E281</f>
        <v/>
      </c>
      <c r="G281" s="93" t="n"/>
      <c r="H281" s="93" t="n"/>
      <c r="I281" s="93" t="n"/>
    </row>
    <row r="282">
      <c r="A282" s="9" t="n">
        <v>271</v>
      </c>
      <c r="B282" t="n">
        <v>8.56</v>
      </c>
      <c r="C282" s="90" t="n">
        <v>252</v>
      </c>
      <c r="D282" s="90">
        <f>D281</f>
        <v/>
      </c>
      <c r="E282" s="90" t="n">
        <v>82.73999999999999</v>
      </c>
      <c r="F282" s="92">
        <f>D282*E282</f>
        <v/>
      </c>
      <c r="G282" s="93" t="n"/>
      <c r="H282" s="93" t="n"/>
      <c r="I282" s="93" t="n"/>
    </row>
    <row r="283">
      <c r="A283" s="9" t="n">
        <v>272</v>
      </c>
      <c r="B283" t="n">
        <v>8.59</v>
      </c>
      <c r="C283" s="90" t="n">
        <v>253</v>
      </c>
      <c r="D283" s="90">
        <f>D282</f>
        <v/>
      </c>
      <c r="E283" s="90" t="n">
        <v>82.75</v>
      </c>
      <c r="F283" s="92">
        <f>D283*E283</f>
        <v/>
      </c>
      <c r="G283" s="93" t="n"/>
      <c r="H283" s="93" t="n"/>
      <c r="I283" s="93" t="n"/>
    </row>
    <row r="284">
      <c r="A284" s="9" t="n">
        <v>273</v>
      </c>
      <c r="B284" t="n">
        <v>8.619999999999999</v>
      </c>
      <c r="C284" s="90" t="n">
        <v>254</v>
      </c>
      <c r="D284" s="90">
        <f>D283</f>
        <v/>
      </c>
      <c r="E284" s="90" t="n">
        <v>82.76000000000001</v>
      </c>
      <c r="F284" s="92">
        <f>D284*E284</f>
        <v/>
      </c>
      <c r="G284" s="93" t="n"/>
      <c r="H284" s="93" t="n"/>
      <c r="I284" s="93" t="n"/>
    </row>
    <row r="285">
      <c r="A285" s="9" t="n">
        <v>274</v>
      </c>
      <c r="B285" t="n">
        <v>8.640000000000001</v>
      </c>
      <c r="C285" s="90" t="n">
        <v>255</v>
      </c>
      <c r="D285" s="90">
        <f>D284</f>
        <v/>
      </c>
      <c r="E285" s="90" t="n">
        <v>82.77</v>
      </c>
      <c r="F285" s="92">
        <f>D285*E285</f>
        <v/>
      </c>
      <c r="G285" s="93" t="n"/>
      <c r="H285" s="93" t="n"/>
      <c r="I285" s="93" t="n"/>
    </row>
    <row r="286">
      <c r="A286" s="9" t="n">
        <v>275</v>
      </c>
      <c r="B286" t="n">
        <v>8.68</v>
      </c>
      <c r="C286" s="90" t="n">
        <v>256</v>
      </c>
      <c r="D286" s="90">
        <f>D285</f>
        <v/>
      </c>
      <c r="E286" s="90" t="n">
        <v>82.78</v>
      </c>
      <c r="F286" s="92">
        <f>D286*E286</f>
        <v/>
      </c>
      <c r="G286" s="93" t="n"/>
      <c r="H286" s="93" t="n"/>
      <c r="I286" s="93" t="n"/>
    </row>
    <row r="287">
      <c r="A287" s="9" t="n">
        <v>276</v>
      </c>
      <c r="B287" t="n">
        <v>8.699999999999999</v>
      </c>
      <c r="C287" s="90" t="n">
        <v>257</v>
      </c>
      <c r="D287" s="90">
        <f>D286</f>
        <v/>
      </c>
      <c r="E287" s="90" t="n">
        <v>82.79000000000001</v>
      </c>
      <c r="F287" s="92">
        <f>D287*E287</f>
        <v/>
      </c>
      <c r="G287" s="93" t="n"/>
      <c r="H287" s="93" t="n"/>
      <c r="I287" s="93" t="n"/>
    </row>
    <row r="288">
      <c r="A288" s="9" t="n">
        <v>277</v>
      </c>
      <c r="B288" t="n">
        <v>8.720000000000001</v>
      </c>
      <c r="C288" s="90" t="n">
        <v>258</v>
      </c>
      <c r="D288" s="90">
        <f>D287</f>
        <v/>
      </c>
      <c r="E288" s="90" t="n">
        <v>82.8</v>
      </c>
      <c r="F288" s="92">
        <f>D288*E288</f>
        <v/>
      </c>
      <c r="G288" s="93" t="n"/>
      <c r="H288" s="93" t="n"/>
      <c r="I288" s="93" t="n"/>
    </row>
    <row r="289">
      <c r="A289" s="9" t="n">
        <v>278</v>
      </c>
      <c r="B289" t="n">
        <v>8.76</v>
      </c>
      <c r="C289" s="90" t="n">
        <v>259</v>
      </c>
      <c r="D289" s="90">
        <f>D288</f>
        <v/>
      </c>
      <c r="E289" s="90" t="n">
        <v>82.81</v>
      </c>
      <c r="F289" s="92">
        <f>D289*E289</f>
        <v/>
      </c>
      <c r="G289" s="93" t="n"/>
      <c r="H289" s="93" t="n"/>
      <c r="I289" s="93" t="n"/>
    </row>
    <row r="290">
      <c r="A290" s="9" t="n">
        <v>279</v>
      </c>
      <c r="B290" t="n">
        <v>8.779999999999999</v>
      </c>
      <c r="C290" s="90" t="n">
        <v>260</v>
      </c>
      <c r="D290" s="90">
        <f>D289</f>
        <v/>
      </c>
      <c r="E290" s="90" t="n">
        <v>82.82000000000011</v>
      </c>
      <c r="F290" s="92">
        <f>D290*E290</f>
        <v/>
      </c>
      <c r="G290" s="93" t="n"/>
      <c r="H290" s="93" t="n"/>
      <c r="I290" s="93" t="n"/>
    </row>
    <row r="291">
      <c r="A291" s="9" t="n">
        <v>280</v>
      </c>
      <c r="B291" t="n">
        <v>8.81</v>
      </c>
      <c r="C291" s="90" t="n">
        <v>261</v>
      </c>
      <c r="D291" s="90">
        <f>D290</f>
        <v/>
      </c>
      <c r="E291" s="90" t="n">
        <v>82.8300000000001</v>
      </c>
      <c r="F291" s="92">
        <f>D291*E291</f>
        <v/>
      </c>
      <c r="G291" s="93" t="n"/>
      <c r="H291" s="93" t="n"/>
      <c r="I291" s="93" t="n"/>
    </row>
    <row r="292">
      <c r="A292" s="9" t="n">
        <v>281</v>
      </c>
      <c r="B292" t="n">
        <v>8.84</v>
      </c>
      <c r="C292" s="90" t="n">
        <v>262</v>
      </c>
      <c r="D292" s="90">
        <f>D291</f>
        <v/>
      </c>
      <c r="E292" s="90" t="n">
        <v>82.8400000000001</v>
      </c>
      <c r="F292" s="92">
        <f>D292*E292</f>
        <v/>
      </c>
      <c r="G292" s="93" t="n"/>
      <c r="H292" s="93" t="n"/>
      <c r="I292" s="93" t="n"/>
    </row>
    <row r="293">
      <c r="A293" s="9" t="n">
        <v>282</v>
      </c>
      <c r="B293" t="n">
        <v>8.869999999999999</v>
      </c>
      <c r="C293" s="90" t="n">
        <v>263</v>
      </c>
      <c r="D293" s="90">
        <f>D292</f>
        <v/>
      </c>
      <c r="E293" s="90" t="n">
        <v>82.85000000000009</v>
      </c>
      <c r="F293" s="92">
        <f>D293*E293</f>
        <v/>
      </c>
      <c r="G293" s="93" t="n"/>
      <c r="H293" s="93" t="n"/>
      <c r="I293" s="93" t="n"/>
    </row>
    <row r="294">
      <c r="A294" s="9" t="n">
        <v>283</v>
      </c>
      <c r="B294" t="n">
        <v>8.890000000000001</v>
      </c>
      <c r="C294" s="90" t="n">
        <v>264</v>
      </c>
      <c r="D294" s="90">
        <f>D293</f>
        <v/>
      </c>
      <c r="E294" s="90" t="n">
        <v>82.8600000000001</v>
      </c>
      <c r="F294" s="92">
        <f>D294*E294</f>
        <v/>
      </c>
      <c r="G294" s="93" t="n"/>
      <c r="H294" s="93" t="n"/>
      <c r="I294" s="93" t="n"/>
    </row>
    <row r="295">
      <c r="A295" s="9" t="n">
        <v>284</v>
      </c>
      <c r="B295" t="n">
        <v>8.93</v>
      </c>
      <c r="C295" s="90" t="n">
        <v>265</v>
      </c>
      <c r="D295" s="90">
        <f>D294</f>
        <v/>
      </c>
      <c r="E295" s="90" t="n">
        <v>82.8700000000001</v>
      </c>
      <c r="F295" s="92">
        <f>D295*E295</f>
        <v/>
      </c>
      <c r="G295" s="93" t="n"/>
      <c r="H295" s="93" t="n"/>
      <c r="I295" s="93" t="n"/>
    </row>
    <row r="296">
      <c r="A296" s="9" t="n">
        <v>285</v>
      </c>
      <c r="B296" t="n">
        <v>8.949999999999999</v>
      </c>
      <c r="C296" s="90" t="n">
        <v>266</v>
      </c>
      <c r="D296" s="90">
        <f>D295</f>
        <v/>
      </c>
      <c r="E296" s="90" t="n">
        <v>82.88000000000009</v>
      </c>
      <c r="F296" s="92">
        <f>D296*E296</f>
        <v/>
      </c>
      <c r="G296" s="93" t="n"/>
      <c r="H296" s="93" t="n"/>
      <c r="I296" s="93" t="n"/>
    </row>
    <row r="297">
      <c r="A297" s="9" t="n">
        <v>286</v>
      </c>
      <c r="B297" t="n">
        <v>8.99</v>
      </c>
      <c r="C297" s="90" t="n">
        <v>267</v>
      </c>
      <c r="D297" s="90">
        <f>D296</f>
        <v/>
      </c>
      <c r="E297" s="90" t="n">
        <v>82.8900000000001</v>
      </c>
      <c r="F297" s="92">
        <f>D297*E297</f>
        <v/>
      </c>
      <c r="G297" s="93" t="n"/>
      <c r="H297" s="93" t="n"/>
      <c r="I297" s="93" t="n"/>
    </row>
    <row r="298">
      <c r="A298" s="9" t="n">
        <v>287</v>
      </c>
      <c r="B298" t="n">
        <v>9.01</v>
      </c>
      <c r="C298" s="90" t="n">
        <v>268</v>
      </c>
      <c r="D298" s="90">
        <f>D297</f>
        <v/>
      </c>
      <c r="E298" s="90" t="n">
        <v>82.90000000000011</v>
      </c>
      <c r="F298" s="92">
        <f>D298*E298</f>
        <v/>
      </c>
      <c r="G298" s="93" t="n"/>
      <c r="H298" s="93" t="n"/>
      <c r="I298" s="93" t="n"/>
    </row>
    <row r="299">
      <c r="A299" s="9" t="n">
        <v>288</v>
      </c>
      <c r="B299" t="n">
        <v>9.039999999999999</v>
      </c>
      <c r="C299" s="90" t="n">
        <v>269</v>
      </c>
      <c r="D299" s="90">
        <f>D298</f>
        <v/>
      </c>
      <c r="E299" s="90" t="n">
        <v>82.9100000000001</v>
      </c>
      <c r="F299" s="92">
        <f>D299*E299</f>
        <v/>
      </c>
      <c r="G299" s="93" t="n"/>
      <c r="H299" s="93" t="n"/>
      <c r="I299" s="93" t="n"/>
    </row>
    <row r="300">
      <c r="A300" s="9" t="n">
        <v>289</v>
      </c>
      <c r="B300" t="n">
        <v>9.07</v>
      </c>
      <c r="C300" s="90" t="n">
        <v>270</v>
      </c>
      <c r="D300" s="90">
        <f>D299</f>
        <v/>
      </c>
      <c r="E300" s="90" t="n">
        <v>82.9200000000001</v>
      </c>
      <c r="F300" s="92">
        <f>D300*E300</f>
        <v/>
      </c>
      <c r="G300" s="93" t="n"/>
      <c r="H300" s="93" t="n"/>
      <c r="I300" s="93" t="n"/>
    </row>
    <row r="301">
      <c r="A301" s="9" t="n">
        <v>290</v>
      </c>
      <c r="B301" t="n">
        <v>9.1</v>
      </c>
      <c r="C301" s="90" t="n">
        <v>271</v>
      </c>
      <c r="D301" s="90">
        <f>D300</f>
        <v/>
      </c>
      <c r="E301" s="90" t="n">
        <v>82.93000000000011</v>
      </c>
      <c r="F301" s="92">
        <f>D301*E301</f>
        <v/>
      </c>
      <c r="G301" s="93" t="n"/>
      <c r="H301" s="93" t="n"/>
      <c r="I301" s="93" t="n"/>
    </row>
    <row r="302">
      <c r="A302" s="9" t="n">
        <v>291</v>
      </c>
      <c r="B302" t="n">
        <v>9.119999999999999</v>
      </c>
      <c r="C302" s="90" t="n">
        <v>272</v>
      </c>
      <c r="D302" s="90">
        <f>D301</f>
        <v/>
      </c>
      <c r="E302" s="90" t="n">
        <v>82.9400000000001</v>
      </c>
      <c r="F302" s="92">
        <f>D302*E302</f>
        <v/>
      </c>
      <c r="G302" s="93" t="n"/>
      <c r="H302" s="93" t="n"/>
      <c r="I302" s="93" t="n"/>
    </row>
    <row r="303">
      <c r="A303" s="9" t="n">
        <v>292</v>
      </c>
      <c r="B303" t="n">
        <v>9.16</v>
      </c>
      <c r="C303" s="90" t="n">
        <v>273</v>
      </c>
      <c r="D303" s="90">
        <f>D302</f>
        <v/>
      </c>
      <c r="E303" s="90" t="n">
        <v>82.9500000000001</v>
      </c>
      <c r="F303" s="92">
        <f>D303*E303</f>
        <v/>
      </c>
      <c r="G303" s="93" t="n"/>
      <c r="H303" s="93" t="n"/>
      <c r="I303" s="93" t="n"/>
    </row>
    <row r="304">
      <c r="A304" s="9" t="n">
        <v>293</v>
      </c>
      <c r="B304" t="n">
        <v>9.18</v>
      </c>
      <c r="C304" s="90" t="n">
        <v>274</v>
      </c>
      <c r="D304" s="90">
        <f>D303</f>
        <v/>
      </c>
      <c r="E304" s="90" t="n">
        <v>82.96000000000009</v>
      </c>
      <c r="F304" s="92">
        <f>D304*E304</f>
        <v/>
      </c>
      <c r="G304" s="93" t="n"/>
      <c r="H304" s="93" t="n"/>
      <c r="I304" s="93" t="n"/>
    </row>
    <row r="305">
      <c r="A305" s="9" t="n">
        <v>294</v>
      </c>
      <c r="B305" t="n">
        <v>9.199999999999999</v>
      </c>
      <c r="C305" s="90" t="n">
        <v>275</v>
      </c>
      <c r="D305" s="90">
        <f>D304</f>
        <v/>
      </c>
      <c r="E305" s="90" t="n">
        <v>82.9700000000001</v>
      </c>
      <c r="F305" s="92">
        <f>D305*E305</f>
        <v/>
      </c>
      <c r="G305" s="93" t="n"/>
      <c r="H305" s="93" t="n"/>
      <c r="I305" s="93" t="n"/>
    </row>
    <row r="306">
      <c r="A306" s="9" t="n">
        <v>295</v>
      </c>
      <c r="B306" t="n">
        <v>9.24</v>
      </c>
      <c r="C306" s="90" t="n">
        <v>276</v>
      </c>
      <c r="D306" s="90">
        <f>D305</f>
        <v/>
      </c>
      <c r="E306" s="90" t="n">
        <v>82.9800000000001</v>
      </c>
      <c r="F306" s="92">
        <f>D306*E306</f>
        <v/>
      </c>
      <c r="G306" s="93" t="n"/>
      <c r="H306" s="93" t="n"/>
      <c r="I306" s="93" t="n"/>
    </row>
    <row r="307">
      <c r="A307" s="9" t="n">
        <v>296</v>
      </c>
      <c r="B307" t="n">
        <v>9.26</v>
      </c>
      <c r="C307" s="90" t="n">
        <v>277</v>
      </c>
      <c r="D307" s="90">
        <f>D306</f>
        <v/>
      </c>
      <c r="E307" s="90" t="n">
        <v>82.99000000000009</v>
      </c>
      <c r="F307" s="92">
        <f>D307*E307</f>
        <v/>
      </c>
      <c r="G307" s="93" t="n"/>
      <c r="H307" s="93" t="n"/>
      <c r="I307" s="93" t="n"/>
    </row>
    <row r="308">
      <c r="A308" s="9" t="n">
        <v>297</v>
      </c>
      <c r="B308" t="n">
        <v>9.289999999999999</v>
      </c>
      <c r="C308" s="90" t="n">
        <v>278</v>
      </c>
      <c r="D308" s="90">
        <f>D307</f>
        <v/>
      </c>
      <c r="E308" s="90" t="n">
        <v>83</v>
      </c>
      <c r="F308" s="92">
        <f>D308*E308</f>
        <v/>
      </c>
      <c r="G308" s="93" t="n"/>
      <c r="H308" s="93" t="n"/>
      <c r="I308" s="93" t="n"/>
    </row>
    <row r="309">
      <c r="A309" s="9" t="n">
        <v>298</v>
      </c>
      <c r="B309" t="n">
        <v>9.32</v>
      </c>
      <c r="C309" s="90" t="n">
        <v>279</v>
      </c>
      <c r="D309" s="90">
        <f>D308</f>
        <v/>
      </c>
      <c r="E309" s="90" t="n">
        <v>83</v>
      </c>
      <c r="F309" s="92">
        <f>D309*E309</f>
        <v/>
      </c>
      <c r="G309" s="93" t="n"/>
      <c r="H309" s="93" t="n"/>
      <c r="I309" s="93" t="n"/>
    </row>
    <row r="310">
      <c r="A310" s="9" t="n">
        <v>299</v>
      </c>
      <c r="B310" t="n">
        <v>9.35</v>
      </c>
      <c r="C310" s="90" t="n">
        <v>280</v>
      </c>
      <c r="D310" s="90">
        <f>D309</f>
        <v/>
      </c>
      <c r="E310" s="90" t="n">
        <v>83</v>
      </c>
      <c r="F310" s="92">
        <f>D310*E310</f>
        <v/>
      </c>
      <c r="G310" s="93" t="n"/>
      <c r="H310" s="93" t="n"/>
      <c r="I310" s="93" t="n"/>
    </row>
    <row r="311">
      <c r="A311" s="9" t="n">
        <v>300</v>
      </c>
      <c r="B311" t="n">
        <v>9.369999999999999</v>
      </c>
      <c r="C311" s="90" t="n">
        <v>281</v>
      </c>
      <c r="D311" s="90">
        <f>D310</f>
        <v/>
      </c>
      <c r="E311" s="90" t="n">
        <v>83</v>
      </c>
      <c r="F311" s="92">
        <f>D311*E311</f>
        <v/>
      </c>
      <c r="G311" s="93" t="n"/>
      <c r="H311" s="93" t="n"/>
      <c r="I311" s="93" t="n"/>
    </row>
    <row r="312">
      <c r="A312" s="9" t="n">
        <v>301</v>
      </c>
      <c r="B312" t="n">
        <v>9.41</v>
      </c>
      <c r="C312" s="90" t="n">
        <v>282</v>
      </c>
      <c r="D312" s="90">
        <f>D311</f>
        <v/>
      </c>
      <c r="E312" s="90" t="n">
        <v>83</v>
      </c>
      <c r="F312" s="92">
        <f>D312*E312</f>
        <v/>
      </c>
      <c r="G312" s="93" t="n"/>
      <c r="H312" s="93" t="n"/>
      <c r="I312" s="93" t="n"/>
    </row>
    <row r="313">
      <c r="A313" s="9" t="n">
        <v>302</v>
      </c>
      <c r="B313" t="n">
        <v>9.43</v>
      </c>
      <c r="C313" s="90" t="n">
        <v>283</v>
      </c>
      <c r="D313" s="90">
        <f>D312</f>
        <v/>
      </c>
      <c r="E313" s="90" t="n">
        <v>83</v>
      </c>
      <c r="F313" s="92">
        <f>D313*E313</f>
        <v/>
      </c>
      <c r="G313" s="93" t="n"/>
      <c r="H313" s="93" t="n"/>
      <c r="I313" s="93" t="n"/>
    </row>
    <row r="314">
      <c r="A314" s="9" t="n">
        <v>303</v>
      </c>
      <c r="B314" t="n">
        <v>9.460000000000001</v>
      </c>
      <c r="C314" s="90" t="n">
        <v>284</v>
      </c>
      <c r="D314" s="90">
        <f>D313</f>
        <v/>
      </c>
      <c r="E314" s="90" t="n">
        <v>83</v>
      </c>
      <c r="F314" s="92">
        <f>D314*E314</f>
        <v/>
      </c>
      <c r="G314" s="93" t="n"/>
      <c r="H314" s="93" t="n"/>
      <c r="I314" s="93" t="n"/>
    </row>
    <row r="315">
      <c r="A315" s="9" t="n">
        <v>304</v>
      </c>
      <c r="B315" t="n">
        <v>9.49</v>
      </c>
      <c r="C315" s="90" t="n">
        <v>285</v>
      </c>
      <c r="D315" s="90">
        <f>D314</f>
        <v/>
      </c>
      <c r="E315" s="90" t="n">
        <v>83</v>
      </c>
      <c r="F315" s="92">
        <f>D315*E315</f>
        <v/>
      </c>
      <c r="G315" s="93" t="n"/>
      <c r="H315" s="93" t="n"/>
      <c r="I315" s="93" t="n"/>
    </row>
    <row r="316">
      <c r="A316" s="9" t="n">
        <v>305</v>
      </c>
      <c r="B316" t="n">
        <v>9.52</v>
      </c>
      <c r="C316" s="90" t="n">
        <v>286</v>
      </c>
      <c r="D316" s="90">
        <f>D315</f>
        <v/>
      </c>
      <c r="E316" s="90" t="n">
        <v>83</v>
      </c>
      <c r="F316" s="92">
        <f>D316*E316</f>
        <v/>
      </c>
      <c r="G316" s="93" t="n"/>
      <c r="H316" s="93" t="n"/>
      <c r="I316" s="93" t="n"/>
    </row>
    <row r="317">
      <c r="A317" s="9" t="n">
        <v>306</v>
      </c>
      <c r="B317" t="n">
        <v>9.539999999999999</v>
      </c>
      <c r="C317" s="90" t="n">
        <v>287</v>
      </c>
      <c r="D317" s="90">
        <f>D316</f>
        <v/>
      </c>
      <c r="E317" s="90" t="n">
        <v>83</v>
      </c>
      <c r="F317" s="92">
        <f>D317*E317</f>
        <v/>
      </c>
      <c r="G317" s="93" t="n"/>
      <c r="H317" s="93" t="n"/>
      <c r="I317" s="93" t="n"/>
    </row>
    <row r="318">
      <c r="A318" s="9" t="n">
        <v>307</v>
      </c>
      <c r="B318" t="n">
        <v>9.58</v>
      </c>
      <c r="C318" s="90" t="n">
        <v>288</v>
      </c>
      <c r="D318" s="90">
        <f>D317</f>
        <v/>
      </c>
      <c r="E318" s="90" t="n">
        <v>83</v>
      </c>
      <c r="F318" s="92">
        <f>D318*E318</f>
        <v/>
      </c>
      <c r="G318" s="93" t="n"/>
      <c r="H318" s="93" t="n"/>
      <c r="I318" s="93" t="n"/>
    </row>
    <row r="319">
      <c r="A319" s="9" t="n">
        <v>308</v>
      </c>
      <c r="B319" t="n">
        <v>9.6</v>
      </c>
      <c r="C319" s="90" t="n">
        <v>289</v>
      </c>
      <c r="D319" s="90">
        <f>D318</f>
        <v/>
      </c>
      <c r="E319" s="90" t="n">
        <v>83</v>
      </c>
      <c r="F319" s="92">
        <f>D319*E319</f>
        <v/>
      </c>
      <c r="G319" s="93" t="n"/>
      <c r="H319" s="93" t="n"/>
      <c r="I319" s="93" t="n"/>
    </row>
    <row r="320">
      <c r="A320" s="9" t="n">
        <v>309</v>
      </c>
      <c r="B320" t="n">
        <v>9.619999999999999</v>
      </c>
      <c r="C320" s="90" t="n">
        <v>290</v>
      </c>
      <c r="D320" s="90">
        <f>D319</f>
        <v/>
      </c>
      <c r="E320" s="90" t="n">
        <v>83</v>
      </c>
      <c r="F320" s="92">
        <f>D320*E320</f>
        <v/>
      </c>
      <c r="G320" s="93" t="n"/>
      <c r="H320" s="93" t="n"/>
      <c r="I320" s="93" t="n"/>
    </row>
    <row r="321">
      <c r="A321" s="9" t="n">
        <v>310</v>
      </c>
      <c r="B321" t="n">
        <v>9.65</v>
      </c>
      <c r="C321" s="90" t="n">
        <v>291</v>
      </c>
      <c r="D321" s="90">
        <f>D320</f>
        <v/>
      </c>
      <c r="E321" s="90" t="n">
        <v>83</v>
      </c>
      <c r="F321" s="92">
        <f>D321*E321</f>
        <v/>
      </c>
      <c r="G321" s="93" t="n"/>
      <c r="H321" s="93" t="n"/>
      <c r="I321" s="93" t="n"/>
    </row>
    <row r="322">
      <c r="A322" s="9" t="n">
        <v>311</v>
      </c>
      <c r="B322" t="n">
        <v>9.68</v>
      </c>
      <c r="C322" s="90" t="n">
        <v>292</v>
      </c>
      <c r="D322" s="90">
        <f>D321</f>
        <v/>
      </c>
      <c r="E322" s="90" t="n">
        <v>83</v>
      </c>
      <c r="F322" s="92">
        <f>D322*E322</f>
        <v/>
      </c>
      <c r="G322" s="93" t="n"/>
      <c r="H322" s="93" t="n"/>
      <c r="I322" s="93" t="n"/>
    </row>
    <row r="323">
      <c r="A323" s="9" t="n">
        <v>312</v>
      </c>
      <c r="B323" t="n">
        <v>9.710000000000001</v>
      </c>
      <c r="C323" s="90" t="n">
        <v>293</v>
      </c>
      <c r="D323" s="90">
        <f>D322</f>
        <v/>
      </c>
      <c r="E323" s="90" t="n">
        <v>83</v>
      </c>
      <c r="F323" s="92">
        <f>D323*E323</f>
        <v/>
      </c>
      <c r="G323" s="93" t="n"/>
      <c r="H323" s="93" t="n"/>
      <c r="I323" s="93" t="n"/>
    </row>
    <row r="324">
      <c r="A324" s="9" t="n">
        <v>313</v>
      </c>
      <c r="B324" t="n">
        <v>9.73</v>
      </c>
      <c r="C324" s="90" t="n">
        <v>294</v>
      </c>
      <c r="D324" s="90">
        <f>D323</f>
        <v/>
      </c>
      <c r="E324" s="90" t="n">
        <v>83</v>
      </c>
      <c r="F324" s="92">
        <f>D324*E324</f>
        <v/>
      </c>
      <c r="G324" s="93" t="n"/>
      <c r="H324" s="93" t="n"/>
      <c r="I324" s="93" t="n"/>
    </row>
    <row r="325">
      <c r="A325" s="9" t="n">
        <v>314</v>
      </c>
      <c r="B325" t="n">
        <v>9.77</v>
      </c>
      <c r="C325" s="90" t="n">
        <v>295</v>
      </c>
      <c r="D325" s="90">
        <f>D324</f>
        <v/>
      </c>
      <c r="E325" s="90" t="n">
        <v>83</v>
      </c>
      <c r="F325" s="92">
        <f>D325*E325</f>
        <v/>
      </c>
      <c r="G325" s="93" t="n"/>
      <c r="H325" s="93" t="n"/>
      <c r="I325" s="93" t="n"/>
    </row>
    <row r="326">
      <c r="A326" s="9" t="n">
        <v>315</v>
      </c>
      <c r="B326" t="n">
        <v>9.789999999999999</v>
      </c>
      <c r="C326" s="90" t="n">
        <v>296</v>
      </c>
      <c r="D326" s="90">
        <f>D325</f>
        <v/>
      </c>
      <c r="E326" s="90" t="n">
        <v>83</v>
      </c>
      <c r="F326" s="92">
        <f>D326*E326</f>
        <v/>
      </c>
      <c r="G326" s="93" t="n"/>
      <c r="H326" s="93" t="n"/>
      <c r="I326" s="93" t="n"/>
    </row>
    <row r="327">
      <c r="A327" s="9" t="n">
        <v>316</v>
      </c>
      <c r="B327" t="n">
        <v>9.82</v>
      </c>
      <c r="C327" s="90" t="n">
        <v>297</v>
      </c>
      <c r="D327" s="90">
        <f>D326</f>
        <v/>
      </c>
      <c r="E327" s="90" t="n">
        <v>83</v>
      </c>
      <c r="F327" s="92">
        <f>D327*E327</f>
        <v/>
      </c>
      <c r="G327" s="93" t="n"/>
      <c r="H327" s="93" t="n"/>
      <c r="I327" s="93" t="n"/>
    </row>
    <row r="328">
      <c r="A328" s="9" t="n">
        <v>317</v>
      </c>
      <c r="B328" t="n">
        <v>9.85</v>
      </c>
      <c r="C328" s="90" t="n">
        <v>298</v>
      </c>
      <c r="D328" s="90">
        <f>D327</f>
        <v/>
      </c>
      <c r="E328" s="90" t="n">
        <v>83</v>
      </c>
      <c r="F328" s="92">
        <f>D328*E328</f>
        <v/>
      </c>
      <c r="G328" s="93" t="n"/>
      <c r="H328" s="93" t="n"/>
      <c r="I328" s="93" t="n"/>
    </row>
    <row r="329">
      <c r="A329" s="9" t="n">
        <v>318</v>
      </c>
      <c r="B329" t="n">
        <v>9.880000000000001</v>
      </c>
      <c r="C329" s="90" t="n">
        <v>299</v>
      </c>
      <c r="D329" s="90">
        <f>D328</f>
        <v/>
      </c>
      <c r="E329" s="90" t="n">
        <v>83</v>
      </c>
      <c r="F329" s="92">
        <f>D329*E329</f>
        <v/>
      </c>
      <c r="G329" s="93" t="n"/>
      <c r="H329" s="93" t="n"/>
      <c r="I329" s="93" t="n"/>
    </row>
    <row r="330">
      <c r="A330" s="9" t="n">
        <v>319</v>
      </c>
      <c r="B330" t="n">
        <v>9.9</v>
      </c>
      <c r="C330" s="90" t="n">
        <v>300</v>
      </c>
      <c r="D330" s="90">
        <f>D329</f>
        <v/>
      </c>
      <c r="E330" s="90" t="n">
        <v>83</v>
      </c>
      <c r="F330" s="92">
        <f>D330*E330</f>
        <v/>
      </c>
      <c r="G330" s="93" t="n"/>
      <c r="H330" s="93" t="n"/>
      <c r="I330" s="93" t="n"/>
    </row>
    <row r="331">
      <c r="A331" s="9" t="n">
        <v>320</v>
      </c>
      <c r="B331" t="n">
        <v>9.94</v>
      </c>
    </row>
    <row r="332">
      <c r="A332" s="9" t="n">
        <v>321</v>
      </c>
      <c r="B332" t="n">
        <v>9.960000000000001</v>
      </c>
    </row>
    <row r="333">
      <c r="A333" s="9" t="n">
        <v>322</v>
      </c>
      <c r="B333" t="n">
        <v>9.98</v>
      </c>
    </row>
    <row r="334">
      <c r="A334" s="9" t="n">
        <v>323</v>
      </c>
      <c r="B334" t="n">
        <v>10.02</v>
      </c>
    </row>
    <row r="335">
      <c r="A335" s="9" t="n">
        <v>324</v>
      </c>
      <c r="B335" t="n">
        <v>10.04</v>
      </c>
    </row>
    <row r="336">
      <c r="A336" s="9" t="n">
        <v>325</v>
      </c>
      <c r="B336" t="n">
        <v>10.07</v>
      </c>
    </row>
    <row r="337">
      <c r="A337" s="9" t="n">
        <v>326</v>
      </c>
      <c r="B337" t="n">
        <v>10.1</v>
      </c>
    </row>
    <row r="338">
      <c r="A338" s="9" t="n">
        <v>327</v>
      </c>
      <c r="B338" t="n">
        <v>10.13</v>
      </c>
    </row>
    <row r="339">
      <c r="A339" s="9" t="n">
        <v>328</v>
      </c>
      <c r="B339" t="n">
        <v>10.15</v>
      </c>
    </row>
    <row r="340">
      <c r="A340" s="9" t="n">
        <v>329</v>
      </c>
      <c r="B340" t="n">
        <v>10.18</v>
      </c>
    </row>
    <row r="341">
      <c r="A341" s="9" t="n">
        <v>330</v>
      </c>
      <c r="B341" t="n">
        <v>10.21</v>
      </c>
    </row>
    <row r="342">
      <c r="A342" s="9" t="n">
        <v>331</v>
      </c>
      <c r="B342" t="n">
        <v>10.24</v>
      </c>
    </row>
    <row r="343">
      <c r="A343" s="9" t="n">
        <v>332</v>
      </c>
      <c r="B343" t="n">
        <v>10.26</v>
      </c>
    </row>
    <row r="344">
      <c r="A344" s="9" t="n">
        <v>333</v>
      </c>
      <c r="B344" t="n">
        <v>10.3</v>
      </c>
    </row>
    <row r="345">
      <c r="A345" s="9" t="n">
        <v>334</v>
      </c>
      <c r="B345" t="n">
        <v>10.32</v>
      </c>
    </row>
    <row r="346">
      <c r="A346" s="9" t="n">
        <v>335</v>
      </c>
      <c r="B346" t="n">
        <v>10.34</v>
      </c>
    </row>
    <row r="347">
      <c r="A347" s="9" t="n">
        <v>336</v>
      </c>
      <c r="B347" t="n">
        <v>10.38</v>
      </c>
    </row>
    <row r="348">
      <c r="A348" s="9" t="n">
        <v>337</v>
      </c>
      <c r="B348" t="n">
        <v>10.4</v>
      </c>
    </row>
    <row r="349">
      <c r="A349" s="9" t="n">
        <v>338</v>
      </c>
      <c r="B349" t="n">
        <v>10.43</v>
      </c>
    </row>
    <row r="350">
      <c r="A350" s="9" t="n">
        <v>339</v>
      </c>
      <c r="B350" t="n">
        <v>10.46</v>
      </c>
    </row>
    <row r="351">
      <c r="A351" s="9" t="n">
        <v>340</v>
      </c>
      <c r="B351" t="n">
        <v>10.49</v>
      </c>
    </row>
    <row r="352">
      <c r="A352" s="9" t="n">
        <v>341</v>
      </c>
      <c r="B352" t="n">
        <v>10.51</v>
      </c>
    </row>
    <row r="353">
      <c r="A353" s="9" t="n">
        <v>342</v>
      </c>
      <c r="B353" t="n">
        <v>10.54</v>
      </c>
    </row>
    <row r="354">
      <c r="A354" s="9" t="n">
        <v>343</v>
      </c>
      <c r="B354" t="n">
        <v>10.57</v>
      </c>
    </row>
    <row r="355">
      <c r="A355" s="9" t="n">
        <v>344</v>
      </c>
      <c r="B355" t="n">
        <v>10.6</v>
      </c>
    </row>
    <row r="356">
      <c r="A356" s="9" t="n">
        <v>345</v>
      </c>
      <c r="B356" t="n">
        <v>10.62</v>
      </c>
    </row>
    <row r="357">
      <c r="A357" s="9" t="n">
        <v>346</v>
      </c>
      <c r="B357" t="n">
        <v>10.66</v>
      </c>
    </row>
    <row r="358">
      <c r="A358" s="9" t="n">
        <v>347</v>
      </c>
      <c r="B358" t="n">
        <v>10.68</v>
      </c>
    </row>
    <row r="359">
      <c r="A359" s="9" t="n">
        <v>348</v>
      </c>
      <c r="B359" t="n">
        <v>10.7</v>
      </c>
    </row>
    <row r="360">
      <c r="A360" s="9" t="n">
        <v>349</v>
      </c>
      <c r="B360" t="n">
        <v>10.74</v>
      </c>
    </row>
    <row r="361">
      <c r="A361" s="9" t="n">
        <v>350</v>
      </c>
      <c r="B361" t="n">
        <v>10.76</v>
      </c>
    </row>
    <row r="362">
      <c r="A362" s="9" t="n">
        <v>351</v>
      </c>
      <c r="B362" t="n">
        <v>10.79</v>
      </c>
    </row>
    <row r="363">
      <c r="A363" s="9" t="n">
        <v>352</v>
      </c>
      <c r="B363" t="n">
        <v>10.81</v>
      </c>
    </row>
    <row r="364">
      <c r="A364" s="9" t="n">
        <v>353</v>
      </c>
      <c r="B364" t="n">
        <v>10.85</v>
      </c>
    </row>
    <row r="365">
      <c r="A365" s="9" t="n">
        <v>354</v>
      </c>
      <c r="B365" t="n">
        <v>10.87</v>
      </c>
    </row>
    <row r="366">
      <c r="A366" s="9" t="n">
        <v>355</v>
      </c>
      <c r="B366" t="n">
        <v>10.9</v>
      </c>
    </row>
    <row r="367">
      <c r="A367" s="9" t="n">
        <v>356</v>
      </c>
      <c r="B367" t="n">
        <v>10.93</v>
      </c>
    </row>
    <row r="368">
      <c r="A368" s="9" t="n">
        <v>357</v>
      </c>
      <c r="B368" t="n">
        <v>10.96</v>
      </c>
    </row>
    <row r="369">
      <c r="A369" s="9" t="n">
        <v>358</v>
      </c>
      <c r="B369" t="n">
        <v>10.98</v>
      </c>
    </row>
    <row r="370">
      <c r="A370" s="9" t="n">
        <v>359</v>
      </c>
      <c r="B370" t="n">
        <v>11</v>
      </c>
    </row>
    <row r="371">
      <c r="A371" s="9" t="n">
        <v>360</v>
      </c>
      <c r="B371" t="n">
        <v>11.04</v>
      </c>
    </row>
    <row r="372">
      <c r="A372" s="9" t="n">
        <v>361</v>
      </c>
      <c r="B372" t="n">
        <v>11.06</v>
      </c>
    </row>
    <row r="373">
      <c r="A373" s="9" t="n">
        <v>362</v>
      </c>
      <c r="B373" t="n">
        <v>11.09</v>
      </c>
    </row>
    <row r="374">
      <c r="A374" s="9" t="n">
        <v>363</v>
      </c>
      <c r="B374" t="n">
        <v>11.12</v>
      </c>
    </row>
    <row r="375">
      <c r="A375" s="9" t="n">
        <v>364</v>
      </c>
      <c r="B375" t="n">
        <v>11.15</v>
      </c>
    </row>
    <row r="376">
      <c r="A376" s="9" t="n">
        <v>365</v>
      </c>
      <c r="B376" t="n">
        <v>11.17</v>
      </c>
    </row>
    <row r="377">
      <c r="A377" s="9" t="n">
        <v>366</v>
      </c>
      <c r="B377" t="n">
        <v>11.2</v>
      </c>
    </row>
    <row r="378">
      <c r="A378" s="9" t="n">
        <v>367</v>
      </c>
      <c r="B378" t="n">
        <v>11.23</v>
      </c>
    </row>
    <row r="379">
      <c r="A379" s="9" t="n">
        <v>368</v>
      </c>
      <c r="B379" t="n">
        <v>11.26</v>
      </c>
    </row>
    <row r="380">
      <c r="A380" s="9" t="n">
        <v>369</v>
      </c>
      <c r="B380" t="n">
        <v>11.28</v>
      </c>
    </row>
    <row r="381">
      <c r="A381" s="9" t="n">
        <v>370</v>
      </c>
      <c r="B381" t="n">
        <v>11.32</v>
      </c>
    </row>
    <row r="382">
      <c r="A382" s="9" t="n">
        <v>371</v>
      </c>
      <c r="B382" t="n">
        <v>11.34</v>
      </c>
    </row>
    <row r="383">
      <c r="A383" s="9" t="n">
        <v>372</v>
      </c>
      <c r="B383" t="n">
        <v>11.36</v>
      </c>
    </row>
    <row r="384">
      <c r="A384" s="9" t="n">
        <v>373</v>
      </c>
      <c r="B384" t="n">
        <v>11.39</v>
      </c>
    </row>
    <row r="385">
      <c r="A385" s="9" t="n">
        <v>374</v>
      </c>
      <c r="B385" t="n">
        <v>11.42</v>
      </c>
    </row>
    <row r="386">
      <c r="A386" s="9" t="n">
        <v>375</v>
      </c>
      <c r="B386" t="n">
        <v>11.45</v>
      </c>
    </row>
    <row r="387">
      <c r="A387" s="9" t="n">
        <v>376</v>
      </c>
      <c r="B387" t="n">
        <v>11.47</v>
      </c>
    </row>
    <row r="388">
      <c r="A388" s="9" t="n">
        <v>377</v>
      </c>
      <c r="B388" t="n">
        <v>11.5</v>
      </c>
    </row>
    <row r="389">
      <c r="A389" s="9" t="n">
        <v>378</v>
      </c>
      <c r="B389" t="n">
        <v>11.53</v>
      </c>
    </row>
    <row r="390">
      <c r="A390" s="9" t="n">
        <v>379</v>
      </c>
      <c r="B390" t="n">
        <v>11.56</v>
      </c>
    </row>
    <row r="391">
      <c r="A391" s="9" t="n">
        <v>380</v>
      </c>
      <c r="B391" t="n">
        <v>11.58</v>
      </c>
    </row>
    <row r="392">
      <c r="A392" s="9" t="n">
        <v>381</v>
      </c>
      <c r="B392" t="n">
        <v>11.62</v>
      </c>
    </row>
    <row r="393">
      <c r="A393" s="9" t="n">
        <v>382</v>
      </c>
      <c r="B393" t="n">
        <v>11.64</v>
      </c>
    </row>
    <row r="394">
      <c r="A394" s="9" t="n">
        <v>383</v>
      </c>
      <c r="B394" t="n">
        <v>11.66</v>
      </c>
    </row>
    <row r="395">
      <c r="A395" s="9" t="n">
        <v>384</v>
      </c>
      <c r="B395" t="n">
        <v>11.69</v>
      </c>
    </row>
    <row r="396">
      <c r="A396" s="9" t="n">
        <v>385</v>
      </c>
      <c r="B396" t="n">
        <v>11.72</v>
      </c>
    </row>
    <row r="397">
      <c r="A397" s="9" t="n">
        <v>386</v>
      </c>
      <c r="B397" t="n">
        <v>11.75</v>
      </c>
    </row>
    <row r="398">
      <c r="A398" s="9" t="n">
        <v>387</v>
      </c>
      <c r="B398" t="n">
        <v>11.77</v>
      </c>
    </row>
    <row r="399">
      <c r="A399" s="9" t="n">
        <v>388</v>
      </c>
      <c r="B399" t="n">
        <v>11.8</v>
      </c>
    </row>
    <row r="400">
      <c r="A400" s="9" t="n">
        <v>389</v>
      </c>
      <c r="B400" t="n">
        <v>11.83</v>
      </c>
    </row>
    <row r="401">
      <c r="A401" s="9" t="n">
        <v>390</v>
      </c>
      <c r="B401" t="n">
        <v>11.86</v>
      </c>
    </row>
    <row r="402">
      <c r="A402" s="9" t="n">
        <v>391</v>
      </c>
      <c r="B402" t="n">
        <v>11.88</v>
      </c>
    </row>
    <row r="403">
      <c r="A403" s="9" t="n">
        <v>392</v>
      </c>
      <c r="B403" t="n">
        <v>11.92</v>
      </c>
    </row>
    <row r="404">
      <c r="A404" s="9" t="n">
        <v>393</v>
      </c>
      <c r="B404" t="n">
        <v>11.94</v>
      </c>
    </row>
    <row r="405">
      <c r="A405" s="9" t="n">
        <v>394</v>
      </c>
      <c r="B405" t="n">
        <v>11.96</v>
      </c>
    </row>
    <row r="406">
      <c r="A406" s="9" t="n">
        <v>395</v>
      </c>
      <c r="B406" t="n">
        <v>11.99</v>
      </c>
    </row>
    <row r="407">
      <c r="A407" s="9" t="n">
        <v>396</v>
      </c>
      <c r="B407" t="n">
        <v>12.02</v>
      </c>
    </row>
    <row r="408">
      <c r="A408" s="9" t="n">
        <v>397</v>
      </c>
      <c r="B408" t="n">
        <v>12.05</v>
      </c>
    </row>
    <row r="409">
      <c r="A409" s="9" t="n">
        <v>398</v>
      </c>
      <c r="B409" t="n">
        <v>12.07</v>
      </c>
    </row>
    <row r="410">
      <c r="A410" s="9" t="n">
        <v>399</v>
      </c>
      <c r="B410" t="n">
        <v>12.1</v>
      </c>
    </row>
    <row r="411">
      <c r="A411" s="9" t="n">
        <v>400</v>
      </c>
      <c r="B411" t="n">
        <v>12.13</v>
      </c>
    </row>
  </sheetData>
  <dataValidations count="2">
    <dataValidation sqref="K2" showDropDown="0" showInputMessage="1" showErrorMessage="1" allowBlank="1" errorTitle="Valor inválido" error="fator_potencia deve estar entre 0 e 1." type="whole">
      <formula1>0</formula1>
      <formula2>1</formula2>
    </dataValidation>
    <dataValidation sqref="F2:I26" showDropDown="0" showInputMessage="1" showErrorMessage="1" allowBlank="1" errorTitle="DIVISOR_R inválido" error="DIVISOR_R deve ser maior que zero." type="whole" operator="equal">
      <formula1>0</formula1>
    </dataValidation>
  </dataValidations>
  <pageMargins left="0.511811024" right="0.511811024" top="0.787401575" bottom="0.787401575" header="0.31496062" footer="0.31496062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H63"/>
  <sheetViews>
    <sheetView workbookViewId="0">
      <selection activeCell="H3" sqref="H3"/>
    </sheetView>
  </sheetViews>
  <sheetFormatPr baseColWidth="8" defaultRowHeight="14.4"/>
  <cols>
    <col width="11.33203125" bestFit="1" customWidth="1" style="179" min="3" max="3"/>
    <col width="10.88671875" customWidth="1" style="179" min="4" max="5"/>
  </cols>
  <sheetData>
    <row r="2">
      <c r="C2" s="9" t="inlineStr">
        <is>
          <t>PONTO</t>
        </is>
      </c>
      <c r="D2" s="9" t="inlineStr">
        <is>
          <t>X</t>
        </is>
      </c>
      <c r="E2" s="9" t="inlineStr">
        <is>
          <t>Y</t>
        </is>
      </c>
    </row>
    <row r="3">
      <c r="C3" s="54" t="n">
        <v>1</v>
      </c>
      <c r="D3" s="166" t="n">
        <v>635806</v>
      </c>
      <c r="E3" s="166" t="n">
        <v>7462003</v>
      </c>
      <c r="H3" t="inlineStr">
        <is>
          <t>23K  635806 7462003</t>
        </is>
      </c>
    </row>
    <row r="4">
      <c r="C4" s="54" t="n">
        <v>2</v>
      </c>
      <c r="D4" s="166" t="n">
        <v>635842</v>
      </c>
      <c r="E4" s="166" t="n">
        <v>7466204</v>
      </c>
    </row>
    <row r="5">
      <c r="C5" s="54" t="n">
        <v>3</v>
      </c>
      <c r="D5" s="166" t="n">
        <v>635871</v>
      </c>
      <c r="E5" s="166" t="n">
        <v>7462013</v>
      </c>
    </row>
    <row r="6">
      <c r="C6" s="54" t="n">
        <v>4</v>
      </c>
      <c r="D6" s="166" t="n">
        <v>635902</v>
      </c>
      <c r="E6" s="166" t="n">
        <v>746233</v>
      </c>
    </row>
    <row r="7">
      <c r="C7" s="54" t="n">
        <v>5</v>
      </c>
      <c r="D7" s="166" t="n">
        <v>635921</v>
      </c>
      <c r="E7" s="166" t="n">
        <v>7462020</v>
      </c>
    </row>
    <row r="8">
      <c r="C8" s="54" t="n">
        <v>6</v>
      </c>
      <c r="D8" s="166" t="n">
        <v>635940</v>
      </c>
      <c r="E8" s="166" t="n">
        <v>7462012</v>
      </c>
    </row>
    <row r="9">
      <c r="C9" s="54" t="n">
        <v>7</v>
      </c>
      <c r="D9" s="166" t="n">
        <v>635958</v>
      </c>
      <c r="E9" s="166" t="n">
        <v>7462020</v>
      </c>
    </row>
    <row r="10">
      <c r="C10" s="54" t="n">
        <v>8</v>
      </c>
      <c r="D10" s="166" t="n">
        <v>635985</v>
      </c>
      <c r="E10" s="166" t="n">
        <v>7462040</v>
      </c>
    </row>
    <row r="11">
      <c r="C11" s="54" t="n">
        <v>9</v>
      </c>
      <c r="D11" s="166" t="n">
        <v>63613</v>
      </c>
      <c r="E11" s="166" t="n">
        <v>7462062</v>
      </c>
    </row>
    <row r="12">
      <c r="C12" s="54" t="n">
        <v>10</v>
      </c>
      <c r="D12" s="166" t="n">
        <v>635924</v>
      </c>
      <c r="E12" s="166" t="n">
        <v>7462060</v>
      </c>
    </row>
    <row r="13">
      <c r="C13" s="54" t="n">
        <v>11</v>
      </c>
      <c r="D13" s="166" t="n">
        <v>635957</v>
      </c>
      <c r="E13" s="166" t="n">
        <v>7462079</v>
      </c>
    </row>
    <row r="14">
      <c r="C14" s="54" t="n">
        <v>12</v>
      </c>
      <c r="D14" s="166" t="n">
        <v>635986</v>
      </c>
      <c r="E14" s="166" t="n">
        <v>7462112</v>
      </c>
    </row>
    <row r="15">
      <c r="C15" s="54" t="n">
        <v>13</v>
      </c>
      <c r="D15" s="166" t="n">
        <v>636017</v>
      </c>
      <c r="E15" s="166" t="n">
        <v>7462129</v>
      </c>
    </row>
    <row r="16">
      <c r="C16" s="54" t="n">
        <v>14</v>
      </c>
      <c r="D16" s="166" t="n">
        <v>63645</v>
      </c>
      <c r="E16" s="166" t="n">
        <v>7462154</v>
      </c>
    </row>
    <row r="17">
      <c r="C17" s="54" t="n">
        <v>15</v>
      </c>
      <c r="D17" s="166" t="n">
        <v>636075</v>
      </c>
      <c r="E17" s="166" t="n">
        <v>7462174</v>
      </c>
    </row>
    <row r="18">
      <c r="C18" s="54" t="n">
        <v>16</v>
      </c>
      <c r="D18" s="167" t="n"/>
      <c r="E18" s="167" t="n"/>
    </row>
    <row r="19">
      <c r="C19" s="54" t="n">
        <v>17</v>
      </c>
      <c r="D19" s="167" t="n"/>
      <c r="E19" s="167" t="n"/>
    </row>
    <row r="20">
      <c r="C20" s="54" t="n">
        <v>18</v>
      </c>
      <c r="D20" s="167" t="n"/>
      <c r="E20" s="167" t="n"/>
    </row>
    <row r="21">
      <c r="C21" s="54" t="n">
        <v>19</v>
      </c>
      <c r="D21" s="167" t="n"/>
      <c r="E21" s="167" t="n"/>
    </row>
    <row r="22">
      <c r="C22" s="54" t="n">
        <v>20</v>
      </c>
      <c r="D22" s="167" t="n"/>
      <c r="E22" s="167" t="n"/>
    </row>
    <row r="23">
      <c r="C23" s="54" t="n">
        <v>21</v>
      </c>
      <c r="D23" s="167" t="n"/>
      <c r="E23" s="167" t="n"/>
    </row>
    <row r="24">
      <c r="C24" s="54" t="n">
        <v>22</v>
      </c>
      <c r="D24" s="167" t="n"/>
      <c r="E24" s="167" t="n"/>
    </row>
    <row r="25">
      <c r="C25" s="54" t="n">
        <v>23</v>
      </c>
      <c r="D25" s="167" t="n"/>
      <c r="E25" s="167" t="n"/>
    </row>
    <row r="26">
      <c r="C26" s="54" t="n">
        <v>24</v>
      </c>
      <c r="D26" s="167" t="n"/>
      <c r="E26" s="167" t="n"/>
    </row>
    <row r="27">
      <c r="C27" s="54" t="n">
        <v>25</v>
      </c>
      <c r="D27" s="167" t="n"/>
      <c r="E27" s="167" t="n"/>
    </row>
    <row r="28">
      <c r="C28" s="54" t="n">
        <v>26</v>
      </c>
      <c r="D28" s="167" t="n"/>
      <c r="E28" s="167" t="n"/>
    </row>
    <row r="29">
      <c r="C29" s="54" t="n">
        <v>27</v>
      </c>
      <c r="D29" s="167" t="n"/>
      <c r="E29" s="167" t="n"/>
    </row>
    <row r="30">
      <c r="C30" s="54" t="n">
        <v>28</v>
      </c>
      <c r="D30" s="167" t="n"/>
      <c r="E30" s="167" t="n"/>
    </row>
    <row r="31">
      <c r="C31" s="54" t="n">
        <v>29</v>
      </c>
      <c r="D31" s="167" t="n"/>
      <c r="E31" s="167" t="n"/>
    </row>
    <row r="32">
      <c r="C32" s="54" t="n">
        <v>30</v>
      </c>
      <c r="D32" s="167" t="n"/>
      <c r="E32" s="167" t="n"/>
    </row>
    <row r="33">
      <c r="C33" s="54" t="n">
        <v>31</v>
      </c>
      <c r="D33" s="167" t="n"/>
      <c r="E33" s="167" t="n"/>
    </row>
    <row r="34">
      <c r="C34" s="54" t="n">
        <v>32</v>
      </c>
      <c r="D34" s="167" t="n"/>
      <c r="E34" s="167" t="n"/>
    </row>
    <row r="35">
      <c r="C35" s="54" t="n">
        <v>33</v>
      </c>
      <c r="D35" s="167" t="n"/>
      <c r="E35" s="167" t="n"/>
    </row>
    <row r="36">
      <c r="C36" s="54" t="n">
        <v>34</v>
      </c>
      <c r="D36" s="167" t="n"/>
      <c r="E36" s="167" t="n"/>
    </row>
    <row r="37">
      <c r="C37" s="54" t="n">
        <v>35</v>
      </c>
      <c r="D37" s="167" t="n"/>
      <c r="E37" s="167" t="n"/>
    </row>
    <row r="38">
      <c r="C38" s="54" t="n">
        <v>36</v>
      </c>
      <c r="D38" s="167" t="n"/>
      <c r="E38" s="167" t="n"/>
    </row>
    <row r="39">
      <c r="C39" s="54" t="n">
        <v>37</v>
      </c>
      <c r="D39" s="167" t="n"/>
      <c r="E39" s="167" t="n"/>
    </row>
    <row r="40">
      <c r="C40" s="54" t="n">
        <v>38</v>
      </c>
      <c r="D40" s="167" t="n"/>
      <c r="E40" s="167" t="n"/>
    </row>
    <row r="41">
      <c r="C41" s="54" t="n">
        <v>38</v>
      </c>
      <c r="D41" s="167" t="n"/>
      <c r="E41" s="167" t="n"/>
    </row>
    <row r="42">
      <c r="C42" s="54" t="n">
        <v>39</v>
      </c>
      <c r="D42" s="167" t="n"/>
      <c r="E42" s="167" t="n"/>
    </row>
    <row r="43">
      <c r="C43" s="54" t="n">
        <v>40</v>
      </c>
      <c r="D43" s="167" t="n"/>
      <c r="E43" s="167" t="n"/>
    </row>
    <row r="44">
      <c r="C44" s="54" t="n">
        <v>41</v>
      </c>
      <c r="D44" s="167" t="n"/>
      <c r="E44" s="167" t="n"/>
    </row>
    <row r="45">
      <c r="C45" s="54" t="n">
        <v>42</v>
      </c>
      <c r="D45" s="167" t="n"/>
      <c r="E45" s="167" t="n"/>
    </row>
    <row r="46">
      <c r="C46" s="54" t="n">
        <v>43</v>
      </c>
      <c r="D46" s="167" t="n"/>
      <c r="E46" s="167" t="n"/>
    </row>
    <row r="47">
      <c r="C47" s="54" t="n">
        <v>44</v>
      </c>
      <c r="D47" s="167" t="n"/>
      <c r="E47" s="167" t="n"/>
    </row>
    <row r="48">
      <c r="C48" s="54" t="n">
        <v>45</v>
      </c>
      <c r="D48" s="167" t="n"/>
      <c r="E48" s="167" t="n"/>
    </row>
    <row r="49">
      <c r="C49" s="54" t="n">
        <v>46</v>
      </c>
      <c r="D49" s="167" t="n"/>
      <c r="E49" s="167" t="n"/>
    </row>
    <row r="50">
      <c r="C50" s="124" t="n">
        <v>47</v>
      </c>
      <c r="D50" s="167" t="n"/>
      <c r="E50" s="167" t="n"/>
    </row>
    <row r="51">
      <c r="C51" s="54" t="n">
        <v>48</v>
      </c>
      <c r="D51" s="167" t="n"/>
      <c r="E51" s="167" t="n"/>
    </row>
    <row r="52">
      <c r="C52" s="54" t="n">
        <v>49</v>
      </c>
      <c r="D52" s="167" t="n"/>
      <c r="E52" s="167" t="n"/>
    </row>
    <row r="53">
      <c r="C53" s="54" t="n">
        <v>50</v>
      </c>
      <c r="D53" s="167" t="n"/>
      <c r="E53" s="167" t="n"/>
    </row>
    <row r="54">
      <c r="C54" s="54" t="n">
        <v>51</v>
      </c>
      <c r="D54" s="167" t="n"/>
      <c r="E54" s="167" t="n"/>
    </row>
    <row r="55">
      <c r="C55" s="54" t="n">
        <v>52</v>
      </c>
      <c r="D55" s="167" t="n"/>
      <c r="E55" s="167" t="n"/>
    </row>
    <row r="56">
      <c r="C56" s="54" t="n">
        <v>53</v>
      </c>
      <c r="D56" s="167" t="n"/>
      <c r="E56" s="167" t="n"/>
    </row>
    <row r="57">
      <c r="C57" s="54" t="n">
        <v>54</v>
      </c>
      <c r="D57" s="167" t="n"/>
      <c r="E57" s="167" t="n"/>
    </row>
    <row r="58">
      <c r="C58" s="54" t="n">
        <v>55</v>
      </c>
      <c r="D58" s="167" t="n"/>
      <c r="E58" s="167" t="n"/>
    </row>
    <row r="59">
      <c r="C59" s="54" t="n">
        <v>56</v>
      </c>
      <c r="D59" s="167" t="n"/>
      <c r="E59" s="167" t="n"/>
    </row>
    <row r="60">
      <c r="C60" s="54" t="n">
        <v>57</v>
      </c>
      <c r="D60" s="167" t="n"/>
      <c r="E60" s="167" t="n"/>
    </row>
    <row r="61">
      <c r="C61" s="54" t="n">
        <v>58</v>
      </c>
      <c r="D61" s="167" t="n"/>
      <c r="E61" s="167" t="n"/>
    </row>
    <row r="62">
      <c r="C62" s="54" t="n">
        <v>59</v>
      </c>
      <c r="D62" s="167" t="n"/>
      <c r="E62" s="167" t="n"/>
    </row>
    <row r="63">
      <c r="C63" s="54" t="n">
        <v>60</v>
      </c>
      <c r="D63" s="167" t="n"/>
      <c r="E63" s="167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0"/>
  <sheetViews>
    <sheetView workbookViewId="0">
      <pane ySplit="13" topLeftCell="A32" activePane="bottomLeft" state="frozen"/>
      <selection pane="bottomLeft" activeCell="B34" sqref="B34"/>
    </sheetView>
  </sheetViews>
  <sheetFormatPr baseColWidth="8" defaultRowHeight="14.4"/>
  <cols>
    <col width="45.77734375" bestFit="1" customWidth="1" style="179" min="1" max="1"/>
    <col width="12" customWidth="1" style="179" min="2" max="3"/>
    <col width="14.109375" customWidth="1" style="179" min="4" max="4"/>
    <col width="12" customWidth="1" style="179" min="5" max="7"/>
    <col width="10" customWidth="1" style="179" min="8" max="8"/>
    <col width="12" customWidth="1" style="179" min="9" max="9"/>
    <col width="10" customWidth="1" style="179" min="10" max="10"/>
    <col width="21.88671875" bestFit="1" customWidth="1" style="179" min="11" max="11"/>
    <col hidden="1" width="13" customWidth="1" style="179" min="13" max="22"/>
    <col hidden="1" width="13" customWidth="1" style="179" min="24" max="33"/>
  </cols>
  <sheetData>
    <row r="1">
      <c r="A1" s="111" t="inlineStr">
        <is>
          <t>PAINEL DE SUGESTAO DE CORTES (HEURISTICO)</t>
        </is>
      </c>
      <c r="K1" s="118" t="inlineStr">
        <is>
          <t>PARAMETROS SCORE</t>
        </is>
      </c>
    </row>
    <row r="2">
      <c r="K2" s="119" t="inlineStr">
        <is>
          <t>Peso carga acumulada</t>
        </is>
      </c>
      <c r="L2" s="59" t="n">
        <v>0.4</v>
      </c>
    </row>
    <row r="3">
      <c r="A3" s="112" t="inlineStr">
        <is>
          <t>Arquivo analisado</t>
        </is>
      </c>
      <c r="D3" s="112" t="inlineStr">
        <is>
          <t>Cenario 2 trafos</t>
        </is>
      </c>
      <c r="K3" s="119" t="inlineStr">
        <is>
          <t>Peso QT</t>
        </is>
      </c>
      <c r="L3" s="59" t="n">
        <v>0.35</v>
      </c>
    </row>
    <row r="4">
      <c r="A4" s="112" t="inlineStr">
        <is>
          <t>Gerado em</t>
        </is>
      </c>
      <c r="D4" s="112" t="inlineStr">
        <is>
          <t>ESQ</t>
        </is>
      </c>
      <c r="E4" s="240">
        <f>SUMIFS(GERAL[TOTAL DO TRECHO],GERAL[LADO],"ESQUERDO")</f>
        <v/>
      </c>
      <c r="F4">
        <f>IF(E4*1.15&lt;=30,30,IF(E4*1.15&lt;=45,45,IF(E4*1.15&lt;=75,75,IF(E4*1.15&lt;=112.5,112.5,IF(E4*1.15&lt;=150,150,IF(E4*1.15&lt;=225,225,300))))))</f>
        <v/>
      </c>
      <c r="G4" s="115">
        <f>IFERROR(E4/F4,0)</f>
        <v/>
      </c>
      <c r="K4" s="119" t="inlineStr">
        <is>
          <t>Peso balanceamento</t>
        </is>
      </c>
      <c r="L4" s="59" t="n">
        <v>0.2</v>
      </c>
    </row>
    <row r="5">
      <c r="A5" s="112" t="inlineStr">
        <is>
          <t>Demanda atual (kVA)</t>
        </is>
      </c>
      <c r="B5">
        <f>DB!K7</f>
        <v/>
      </c>
      <c r="D5" s="112" t="inlineStr">
        <is>
          <t>DIR</t>
        </is>
      </c>
      <c r="E5" s="240">
        <f>SUMIFS(GERAL[TOTAL DO TRECHO],GERAL[LADO],"DIREITO")</f>
        <v/>
      </c>
      <c r="F5">
        <f>IF(E5*1.15&lt;=30,30,IF(E5*1.15&lt;=45,45,IF(E5*1.15&lt;=75,75,IF(E5*1.15&lt;=112.5,112.5,IF(E5*1.15&lt;=150,150,IF(E5*1.15&lt;=225,225,300))))))</f>
        <v/>
      </c>
      <c r="G5" s="115">
        <f>IFERROR(E5/F5,0)</f>
        <v/>
      </c>
      <c r="K5" s="119" t="inlineStr">
        <is>
          <t>Penalidade distancia</t>
        </is>
      </c>
      <c r="L5" s="59" t="n">
        <v>0.05</v>
      </c>
    </row>
    <row r="6">
      <c r="A6" s="112" t="inlineStr">
        <is>
          <t>Trafo atual (kVA)</t>
        </is>
      </c>
      <c r="B6">
        <f>DB!K6</f>
        <v/>
      </c>
      <c r="D6" s="112" t="inlineStr">
        <is>
          <t>Status</t>
        </is>
      </c>
      <c r="E6">
        <f>IF(AND(G4&lt;=0.85,G5&lt;=0.85),"OK","SPLIT_MAIOR_LADO")</f>
        <v/>
      </c>
      <c r="K6" s="119" t="inlineStr">
        <is>
          <t>Penalidade saturacao</t>
        </is>
      </c>
      <c r="L6" s="59" t="n">
        <v>0.3</v>
      </c>
    </row>
    <row r="7">
      <c r="A7" s="112" t="inlineStr">
        <is>
          <t>Saturacao atual</t>
        </is>
      </c>
      <c r="B7" s="115">
        <f>IFERROR(B5/B6,0)</f>
        <v/>
      </c>
      <c r="K7" s="119" t="inlineStr">
        <is>
          <t>Limite sat pos-corte</t>
        </is>
      </c>
      <c r="L7" s="59" t="n">
        <v>0.85</v>
      </c>
    </row>
    <row r="8">
      <c r="B8">
        <f>IFERROR(MINIFS(GERAL[SNAP],GERAL[LADO],"ESQUERDO"),0)</f>
        <v/>
      </c>
      <c r="E8">
        <f>IFERROR(MINIFS(GERAL[SNAP],GERAL[LADO],"DIREITO"),0)</f>
        <v/>
      </c>
      <c r="K8" s="119" t="inlineStr">
        <is>
          <t>Soma pesos (ideal 1,00)</t>
        </is>
      </c>
      <c r="L8" s="59">
        <f>L2+L3+L4</f>
        <v/>
      </c>
    </row>
    <row r="9">
      <c r="B9">
        <f>IFERROR(MAXIFS(GERAL[SNAP],GERAL[LADO],"ESQUERDO"),1)</f>
        <v/>
      </c>
      <c r="E9">
        <f>IFERROR(MAXIFS(GERAL[SNAP],GERAL[LADO],"DIREITO"),1)</f>
        <v/>
      </c>
    </row>
    <row r="10">
      <c r="A10" s="111" t="inlineStr">
        <is>
          <t>LADO ESQUERDO - TOP CORTES</t>
        </is>
      </c>
    </row>
    <row r="11">
      <c r="A11" t="inlineStr">
        <is>
          <t>TOTAL_LADO_KVA</t>
        </is>
      </c>
      <c r="B11" s="59">
        <f>E4</f>
        <v/>
      </c>
      <c r="C11" t="inlineStr">
        <is>
          <t>MAX_QT</t>
        </is>
      </c>
      <c r="D11">
        <f>IFERROR(MAX(Tabela7[QT %]),0)</f>
        <v/>
      </c>
    </row>
    <row r="13">
      <c r="A13" s="113" t="inlineStr">
        <is>
          <t>RANK</t>
        </is>
      </c>
      <c r="B13" s="113" t="inlineStr">
        <is>
          <t>PONTO</t>
        </is>
      </c>
      <c r="C13" s="113" t="inlineStr">
        <is>
          <t>SUB_KVA</t>
        </is>
      </c>
      <c r="D13" s="113" t="inlineStr">
        <is>
          <t>REM_KVA</t>
        </is>
      </c>
      <c r="E13" s="113" t="inlineStr">
        <is>
          <t>CAP_SUG</t>
        </is>
      </c>
      <c r="F13" s="113" t="inlineStr">
        <is>
          <t>SAT_NOVA</t>
        </is>
      </c>
      <c r="G13" s="113" t="inlineStr">
        <is>
          <t>QT_PONTO</t>
        </is>
      </c>
      <c r="H13" s="113" t="inlineStr">
        <is>
          <t>BAL</t>
        </is>
      </c>
      <c r="I13" s="113" t="inlineStr">
        <is>
          <t>DIST_NORM</t>
        </is>
      </c>
      <c r="J13" s="113" t="inlineStr">
        <is>
          <t>SCORE</t>
        </is>
      </c>
    </row>
    <row r="14">
      <c r="A14" s="9" t="n">
        <v>1</v>
      </c>
      <c r="B14" s="9">
        <f>IF($J14="","",INDEX($M$14:$M$200,MATCH($J14,$U$14:$U$200,0)))</f>
        <v/>
      </c>
      <c r="C14" s="93">
        <f>IF($J14="","",INDEX($N$14:$N$200,MATCH($J14,$U$14:$U$200,0)))</f>
        <v/>
      </c>
      <c r="D14" s="116">
        <f>IF($J14="","",INDEX($O$14:$O$200,MATCH($J14,$U$14:$U$200,0)))</f>
        <v/>
      </c>
      <c r="E14" s="9">
        <f>IF($J14="","",INDEX($P$14:$P$200,MATCH($J14,$U$14:$U$200,0)))</f>
        <v/>
      </c>
      <c r="F14" s="117">
        <f>IF($J14="","",INDEX($Q$14:$Q$200,MATCH($J14,$U$14:$U$200,0)))</f>
        <v/>
      </c>
      <c r="G14" s="59">
        <f>IF($J14="","",INDEX($R$14:$R$200,MATCH($J14,$U$14:$U$200,0)))</f>
        <v/>
      </c>
      <c r="H14" s="59">
        <f>IF($J14="","",INDEX($S$14:$S$200,MATCH($J14,$U$14:$U$200,0)))</f>
        <v/>
      </c>
      <c r="I14" s="59">
        <f>IF($J14="","",INDEX($T$14:$T$200,MATCH($J14,$U$14:$U$200,0)))</f>
        <v/>
      </c>
      <c r="J14" s="241">
        <f>IFERROR(LARGE($U$14:$U$200,1),"")</f>
        <v/>
      </c>
      <c r="M14">
        <f>IFERROR(INDEX(GERAL[PONTO],1),"")</f>
        <v/>
      </c>
      <c r="N14">
        <f>IF(M14="","",IFERROR(INDEX(GERAL[ACUMULADA],1),0))</f>
        <v/>
      </c>
      <c r="O14">
        <f>IF(N14="","",$B$11-N14)</f>
        <v/>
      </c>
      <c r="P14">
        <f>IF(N14="","",IF(N14*1.15&lt;=30,30,IF(N14*1.15&lt;=45,45,IF(N14*1.15&lt;=75,75,IF(N14*1.15&lt;=112.5,112.5,IF(N14*1.15&lt;=150,150,IF(N14*1.15&lt;=225,225,300)))))))</f>
        <v/>
      </c>
      <c r="Q14">
        <f>IF(P14="","",IFERROR(N14/P14,0))</f>
        <v/>
      </c>
      <c r="R14">
        <f>IF(M14="","",IFERROR(INDEX(Tabela7[QT %],MATCH(M14,Tabela7[PONTO],0)),0))</f>
        <v/>
      </c>
      <c r="S14">
        <f>IF(N14="","",IFERROR(1-ABS(N14-O14)/$B$11,0))</f>
        <v/>
      </c>
      <c r="T14">
        <f>IF(M14="","",IF($B$9&gt;$B$8,IFERROR((INDEX(GERAL[SNAP],1)-$B$8)/($B$9-$B$8),0),0))</f>
        <v/>
      </c>
      <c r="U14">
        <f>IF(OR(M14="",V14&lt;&gt;"ESQUERDO"),"",$L$2*IFERROR(N14/$B$11,0)+$L$3*IF($D$11&gt;0,IFERROR(R14/$D$11,0),0)+$L$4*IFERROR(S14,0)-$L$5*IFERROR(T14,0)-$L$6*MAX(0,IFERROR(Q14,0)-$L$7)+ROW()/1000000)</f>
        <v/>
      </c>
      <c r="V14">
        <f>IFERROR(INDEX(GERAL[LADO],1),"")</f>
        <v/>
      </c>
    </row>
    <row r="15">
      <c r="A15" s="9" t="n">
        <v>2</v>
      </c>
      <c r="B15" s="9">
        <f>IF($J15="","",INDEX($M$14:$M$200,MATCH($J15,$U$14:$U$200,0)))</f>
        <v/>
      </c>
      <c r="C15" s="93">
        <f>IF($J15="","",INDEX($N$14:$N$200,MATCH($J15,$U$14:$U$200,0)))</f>
        <v/>
      </c>
      <c r="D15" s="116">
        <f>IF($J15="","",INDEX($O$14:$O$200,MATCH($J15,$U$14:$U$200,0)))</f>
        <v/>
      </c>
      <c r="E15" s="9">
        <f>IF($J15="","",INDEX($P$14:$P$200,MATCH($J15,$U$14:$U$200,0)))</f>
        <v/>
      </c>
      <c r="F15" s="117">
        <f>IF($J15="","",INDEX($Q$14:$Q$200,MATCH($J15,$U$14:$U$200,0)))</f>
        <v/>
      </c>
      <c r="G15" s="59">
        <f>IF($J15="","",INDEX($R$14:$R$200,MATCH($J15,$U$14:$U$200,0)))</f>
        <v/>
      </c>
      <c r="H15" s="59">
        <f>IF($J15="","",INDEX($S$14:$S$200,MATCH($J15,$U$14:$U$200,0)))</f>
        <v/>
      </c>
      <c r="I15" s="59">
        <f>IF($J15="","",INDEX($T$14:$T$200,MATCH($J15,$U$14:$U$200,0)))</f>
        <v/>
      </c>
      <c r="J15" s="241">
        <f>IFERROR(LARGE($U$14:$U$200,2),"")</f>
        <v/>
      </c>
      <c r="M15">
        <f>IFERROR(INDEX(GERAL[PONTO],2),"")</f>
        <v/>
      </c>
      <c r="N15">
        <f>IF(M15="","",IFERROR(INDEX(GERAL[ACUMULADA],2),0))</f>
        <v/>
      </c>
      <c r="O15">
        <f>IF(N15="","",$B$11-N15)</f>
        <v/>
      </c>
      <c r="P15">
        <f>IF(N15="","",IF(N15*1.15&lt;=30,30,IF(N15*1.15&lt;=45,45,IF(N15*1.15&lt;=75,75,IF(N15*1.15&lt;=112.5,112.5,IF(N15*1.15&lt;=150,150,IF(N15*1.15&lt;=225,225,300)))))))</f>
        <v/>
      </c>
      <c r="Q15">
        <f>IF(P15="","",IFERROR(N15/P15,0))</f>
        <v/>
      </c>
      <c r="R15">
        <f>IF(M15="","",IFERROR(INDEX(Tabela7[QT %],MATCH(M15,Tabela7[PONTO],0)),0))</f>
        <v/>
      </c>
      <c r="S15">
        <f>IF(N15="","",IFERROR(1-ABS(N15-O15)/$B$11,0))</f>
        <v/>
      </c>
      <c r="T15">
        <f>IF(M15="","",IF($B$9&gt;$B$8,IFERROR((INDEX(GERAL[SNAP],2)-$B$8)/($B$9-$B$8),0),0))</f>
        <v/>
      </c>
      <c r="U15">
        <f>IF(OR(M15="",V15&lt;&gt;"ESQUERDO"),"",$L$2*IFERROR(N15/$B$11,0)+$L$3*IF($D$11&gt;0,IFERROR(R15/$D$11,0),0)+$L$4*IFERROR(S15,0)-$L$5*IFERROR(T15,0)-$L$6*MAX(0,IFERROR(Q15,0)-$L$7)+ROW()/1000000)</f>
        <v/>
      </c>
      <c r="V15">
        <f>IFERROR(INDEX(GERAL[LADO],2),"")</f>
        <v/>
      </c>
    </row>
    <row r="16">
      <c r="A16" s="9" t="n">
        <v>3</v>
      </c>
      <c r="B16" s="9">
        <f>IF($J16="","",INDEX($M$14:$M$200,MATCH($J16,$U$14:$U$200,0)))</f>
        <v/>
      </c>
      <c r="C16" s="93">
        <f>IF($J16="","",INDEX($N$14:$N$200,MATCH($J16,$U$14:$U$200,0)))</f>
        <v/>
      </c>
      <c r="D16" s="116">
        <f>IF($J16="","",INDEX($O$14:$O$200,MATCH($J16,$U$14:$U$200,0)))</f>
        <v/>
      </c>
      <c r="E16" s="9">
        <f>IF($J16="","",INDEX($P$14:$P$200,MATCH($J16,$U$14:$U$200,0)))</f>
        <v/>
      </c>
      <c r="F16" s="117">
        <f>IF($J16="","",INDEX($Q$14:$Q$200,MATCH($J16,$U$14:$U$200,0)))</f>
        <v/>
      </c>
      <c r="G16" s="59">
        <f>IF($J16="","",INDEX($R$14:$R$200,MATCH($J16,$U$14:$U$200,0)))</f>
        <v/>
      </c>
      <c r="H16" s="59">
        <f>IF($J16="","",INDEX($S$14:$S$200,MATCH($J16,$U$14:$U$200,0)))</f>
        <v/>
      </c>
      <c r="I16" s="59">
        <f>IF($J16="","",INDEX($T$14:$T$200,MATCH($J16,$U$14:$U$200,0)))</f>
        <v/>
      </c>
      <c r="J16" s="241">
        <f>IFERROR(LARGE($U$14:$U$200,3),"")</f>
        <v/>
      </c>
      <c r="M16">
        <f>IFERROR(INDEX(GERAL[PONTO],3),"")</f>
        <v/>
      </c>
      <c r="N16">
        <f>IF(M16="","",IFERROR(INDEX(GERAL[ACUMULADA],3),0))</f>
        <v/>
      </c>
      <c r="O16">
        <f>IF(N16="","",$B$11-N16)</f>
        <v/>
      </c>
      <c r="P16">
        <f>IF(N16="","",IF(N16*1.15&lt;=30,30,IF(N16*1.15&lt;=45,45,IF(N16*1.15&lt;=75,75,IF(N16*1.15&lt;=112.5,112.5,IF(N16*1.15&lt;=150,150,IF(N16*1.15&lt;=225,225,300)))))))</f>
        <v/>
      </c>
      <c r="Q16">
        <f>IF(P16="","",IFERROR(N16/P16,0))</f>
        <v/>
      </c>
      <c r="R16">
        <f>IF(M16="","",IFERROR(INDEX(Tabela7[QT %],MATCH(M16,Tabela7[PONTO],0)),0))</f>
        <v/>
      </c>
      <c r="S16">
        <f>IF(N16="","",IFERROR(1-ABS(N16-O16)/$B$11,0))</f>
        <v/>
      </c>
      <c r="T16">
        <f>IF(M16="","",IF($B$9&gt;$B$8,IFERROR((INDEX(GERAL[SNAP],3)-$B$8)/($B$9-$B$8),0),0))</f>
        <v/>
      </c>
      <c r="U16">
        <f>IF(OR(M16="",V16&lt;&gt;"ESQUERDO"),"",$L$2*IFERROR(N16/$B$11,0)+$L$3*IF($D$11&gt;0,IFERROR(R16/$D$11,0),0)+$L$4*IFERROR(S16,0)-$L$5*IFERROR(T16,0)-$L$6*MAX(0,IFERROR(Q16,0)-$L$7)+ROW()/1000000)</f>
        <v/>
      </c>
      <c r="V16">
        <f>IFERROR(INDEX(GERAL[LADO],3),"")</f>
        <v/>
      </c>
    </row>
    <row r="17">
      <c r="A17" s="9" t="n">
        <v>4</v>
      </c>
      <c r="B17" s="9">
        <f>IF($J17="","",INDEX($M$14:$M$200,MATCH($J17,$U$14:$U$200,0)))</f>
        <v/>
      </c>
      <c r="C17" s="93">
        <f>IF($J17="","",INDEX($N$14:$N$200,MATCH($J17,$U$14:$U$200,0)))</f>
        <v/>
      </c>
      <c r="D17" s="116">
        <f>IF($J17="","",INDEX($O$14:$O$200,MATCH($J17,$U$14:$U$200,0)))</f>
        <v/>
      </c>
      <c r="E17" s="9">
        <f>IF($J17="","",INDEX($P$14:$P$200,MATCH($J17,$U$14:$U$200,0)))</f>
        <v/>
      </c>
      <c r="F17" s="117">
        <f>IF($J17="","",INDEX($Q$14:$Q$200,MATCH($J17,$U$14:$U$200,0)))</f>
        <v/>
      </c>
      <c r="G17" s="59">
        <f>IF($J17="","",INDEX($R$14:$R$200,MATCH($J17,$U$14:$U$200,0)))</f>
        <v/>
      </c>
      <c r="H17" s="59">
        <f>IF($J17="","",INDEX($S$14:$S$200,MATCH($J17,$U$14:$U$200,0)))</f>
        <v/>
      </c>
      <c r="I17" s="59">
        <f>IF($J17="","",INDEX($T$14:$T$200,MATCH($J17,$U$14:$U$200,0)))</f>
        <v/>
      </c>
      <c r="J17" s="241">
        <f>IFERROR(LARGE($U$14:$U$200,4),"")</f>
        <v/>
      </c>
      <c r="M17">
        <f>IFERROR(INDEX(GERAL[PONTO],4),"")</f>
        <v/>
      </c>
      <c r="N17">
        <f>IF(M17="","",IFERROR(INDEX(GERAL[ACUMULADA],4),0))</f>
        <v/>
      </c>
      <c r="O17">
        <f>IF(N17="","",$B$11-N17)</f>
        <v/>
      </c>
      <c r="P17">
        <f>IF(N17="","",IF(N17*1.15&lt;=30,30,IF(N17*1.15&lt;=45,45,IF(N17*1.15&lt;=75,75,IF(N17*1.15&lt;=112.5,112.5,IF(N17*1.15&lt;=150,150,IF(N17*1.15&lt;=225,225,300)))))))</f>
        <v/>
      </c>
      <c r="Q17">
        <f>IF(P17="","",IFERROR(N17/P17,0))</f>
        <v/>
      </c>
      <c r="R17">
        <f>IF(M17="","",IFERROR(INDEX(Tabela7[QT %],MATCH(M17,Tabela7[PONTO],0)),0))</f>
        <v/>
      </c>
      <c r="S17">
        <f>IF(N17="","",IFERROR(1-ABS(N17-O17)/$B$11,0))</f>
        <v/>
      </c>
      <c r="T17">
        <f>IF(M17="","",IF($B$9&gt;$B$8,IFERROR((INDEX(GERAL[SNAP],4)-$B$8)/($B$9-$B$8),0),0))</f>
        <v/>
      </c>
      <c r="U17">
        <f>IF(OR(M17="",V17&lt;&gt;"ESQUERDO"),"",$L$2*IFERROR(N17/$B$11,0)+$L$3*IF($D$11&gt;0,IFERROR(R17/$D$11,0),0)+$L$4*IFERROR(S17,0)-$L$5*IFERROR(T17,0)-$L$6*MAX(0,IFERROR(Q17,0)-$L$7)+ROW()/1000000)</f>
        <v/>
      </c>
      <c r="V17">
        <f>IFERROR(INDEX(GERAL[LADO],4),"")</f>
        <v/>
      </c>
    </row>
    <row r="18">
      <c r="A18" s="9" t="n">
        <v>5</v>
      </c>
      <c r="B18" s="9">
        <f>IF($J18="","",INDEX($M$14:$M$200,MATCH($J18,$U$14:$U$200,0)))</f>
        <v/>
      </c>
      <c r="C18" s="93">
        <f>IF($J18="","",INDEX($N$14:$N$200,MATCH($J18,$U$14:$U$200,0)))</f>
        <v/>
      </c>
      <c r="D18" s="116">
        <f>IF($J18="","",INDEX($O$14:$O$200,MATCH($J18,$U$14:$U$200,0)))</f>
        <v/>
      </c>
      <c r="E18" s="9">
        <f>IF($J18="","",INDEX($P$14:$P$200,MATCH($J18,$U$14:$U$200,0)))</f>
        <v/>
      </c>
      <c r="F18" s="117">
        <f>IF($J18="","",INDEX($Q$14:$Q$200,MATCH($J18,$U$14:$U$200,0)))</f>
        <v/>
      </c>
      <c r="G18" s="59">
        <f>IF($J18="","",INDEX($R$14:$R$200,MATCH($J18,$U$14:$U$200,0)))</f>
        <v/>
      </c>
      <c r="H18" s="59">
        <f>IF($J18="","",INDEX($S$14:$S$200,MATCH($J18,$U$14:$U$200,0)))</f>
        <v/>
      </c>
      <c r="I18" s="59">
        <f>IF($J18="","",INDEX($T$14:$T$200,MATCH($J18,$U$14:$U$200,0)))</f>
        <v/>
      </c>
      <c r="J18" s="241">
        <f>IFERROR(LARGE($U$14:$U$200,5),"")</f>
        <v/>
      </c>
      <c r="M18">
        <f>IFERROR(INDEX(GERAL[PONTO],5),"")</f>
        <v/>
      </c>
      <c r="N18">
        <f>IF(M18="","",IFERROR(INDEX(GERAL[ACUMULADA],5),0))</f>
        <v/>
      </c>
      <c r="O18">
        <f>IF(N18="","",$B$11-N18)</f>
        <v/>
      </c>
      <c r="P18">
        <f>IF(N18="","",IF(N18*1.15&lt;=30,30,IF(N18*1.15&lt;=45,45,IF(N18*1.15&lt;=75,75,IF(N18*1.15&lt;=112.5,112.5,IF(N18*1.15&lt;=150,150,IF(N18*1.15&lt;=225,225,300)))))))</f>
        <v/>
      </c>
      <c r="Q18">
        <f>IF(P18="","",IFERROR(N18/P18,0))</f>
        <v/>
      </c>
      <c r="R18">
        <f>IF(M18="","",IFERROR(INDEX(Tabela7[QT %],MATCH(M18,Tabela7[PONTO],0)),0))</f>
        <v/>
      </c>
      <c r="S18">
        <f>IF(N18="","",IFERROR(1-ABS(N18-O18)/$B$11,0))</f>
        <v/>
      </c>
      <c r="T18">
        <f>IF(M18="","",IF($B$9&gt;$B$8,IFERROR((INDEX(GERAL[SNAP],5)-$B$8)/($B$9-$B$8),0),0))</f>
        <v/>
      </c>
      <c r="U18">
        <f>IF(OR(M18="",V18&lt;&gt;"ESQUERDO"),"",$L$2*IFERROR(N18/$B$11,0)+$L$3*IF($D$11&gt;0,IFERROR(R18/$D$11,0),0)+$L$4*IFERROR(S18,0)-$L$5*IFERROR(T18,0)-$L$6*MAX(0,IFERROR(Q18,0)-$L$7)+ROW()/1000000)</f>
        <v/>
      </c>
      <c r="V18">
        <f>IFERROR(INDEX(GERAL[LADO],5),"")</f>
        <v/>
      </c>
    </row>
    <row r="19">
      <c r="A19" s="9" t="n">
        <v>6</v>
      </c>
      <c r="B19" s="9">
        <f>IF($J19="","",INDEX($M$14:$M$200,MATCH($J19,$U$14:$U$200,0)))</f>
        <v/>
      </c>
      <c r="C19" s="93">
        <f>IF($J19="","",INDEX($N$14:$N$200,MATCH($J19,$U$14:$U$200,0)))</f>
        <v/>
      </c>
      <c r="D19" s="116">
        <f>IF($J19="","",INDEX($O$14:$O$200,MATCH($J19,$U$14:$U$200,0)))</f>
        <v/>
      </c>
      <c r="E19" s="9">
        <f>IF($J19="","",INDEX($P$14:$P$200,MATCH($J19,$U$14:$U$200,0)))</f>
        <v/>
      </c>
      <c r="F19" s="117">
        <f>IF($J19="","",INDEX($Q$14:$Q$200,MATCH($J19,$U$14:$U$200,0)))</f>
        <v/>
      </c>
      <c r="G19" s="59">
        <f>IF($J19="","",INDEX($R$14:$R$200,MATCH($J19,$U$14:$U$200,0)))</f>
        <v/>
      </c>
      <c r="H19" s="59">
        <f>IF($J19="","",INDEX($S$14:$S$200,MATCH($J19,$U$14:$U$200,0)))</f>
        <v/>
      </c>
      <c r="I19" s="59">
        <f>IF($J19="","",INDEX($T$14:$T$200,MATCH($J19,$U$14:$U$200,0)))</f>
        <v/>
      </c>
      <c r="J19" s="241">
        <f>IFERROR(LARGE($U$14:$U$200,6),"")</f>
        <v/>
      </c>
      <c r="M19">
        <f>IFERROR(INDEX(GERAL[PONTO],6),"")</f>
        <v/>
      </c>
      <c r="N19">
        <f>IF(M19="","",IFERROR(INDEX(GERAL[ACUMULADA],6),0))</f>
        <v/>
      </c>
      <c r="O19">
        <f>IF(N19="","",$B$11-N19)</f>
        <v/>
      </c>
      <c r="P19">
        <f>IF(N19="","",IF(N19*1.15&lt;=30,30,IF(N19*1.15&lt;=45,45,IF(N19*1.15&lt;=75,75,IF(N19*1.15&lt;=112.5,112.5,IF(N19*1.15&lt;=150,150,IF(N19*1.15&lt;=225,225,300)))))))</f>
        <v/>
      </c>
      <c r="Q19">
        <f>IF(P19="","",IFERROR(N19/P19,0))</f>
        <v/>
      </c>
      <c r="R19">
        <f>IF(M19="","",IFERROR(INDEX(Tabela7[QT %],MATCH(M19,Tabela7[PONTO],0)),0))</f>
        <v/>
      </c>
      <c r="S19">
        <f>IF(N19="","",IFERROR(1-ABS(N19-O19)/$B$11,0))</f>
        <v/>
      </c>
      <c r="T19">
        <f>IF(M19="","",IF($B$9&gt;$B$8,IFERROR((INDEX(GERAL[SNAP],6)-$B$8)/($B$9-$B$8),0),0))</f>
        <v/>
      </c>
      <c r="U19">
        <f>IF(OR(M19="",V19&lt;&gt;"ESQUERDO"),"",$L$2*IFERROR(N19/$B$11,0)+$L$3*IF($D$11&gt;0,IFERROR(R19/$D$11,0),0)+$L$4*IFERROR(S19,0)-$L$5*IFERROR(T19,0)-$L$6*MAX(0,IFERROR(Q19,0)-$L$7)+ROW()/1000000)</f>
        <v/>
      </c>
      <c r="V19">
        <f>IFERROR(INDEX(GERAL[LADO],6),"")</f>
        <v/>
      </c>
    </row>
    <row r="20">
      <c r="A20" s="9" t="n">
        <v>7</v>
      </c>
      <c r="B20" s="9">
        <f>IF($J20="","",INDEX($M$14:$M$200,MATCH($J20,$U$14:$U$200,0)))</f>
        <v/>
      </c>
      <c r="C20" s="93">
        <f>IF($J20="","",INDEX($N$14:$N$200,MATCH($J20,$U$14:$U$200,0)))</f>
        <v/>
      </c>
      <c r="D20" s="116">
        <f>IF($J20="","",INDEX($O$14:$O$200,MATCH($J20,$U$14:$U$200,0)))</f>
        <v/>
      </c>
      <c r="E20" s="9">
        <f>IF($J20="","",INDEX($P$14:$P$200,MATCH($J20,$U$14:$U$200,0)))</f>
        <v/>
      </c>
      <c r="F20" s="117">
        <f>IF($J20="","",INDEX($Q$14:$Q$200,MATCH($J20,$U$14:$U$200,0)))</f>
        <v/>
      </c>
      <c r="G20" s="59">
        <f>IF($J20="","",INDEX($R$14:$R$200,MATCH($J20,$U$14:$U$200,0)))</f>
        <v/>
      </c>
      <c r="H20" s="59">
        <f>IF($J20="","",INDEX($S$14:$S$200,MATCH($J20,$U$14:$U$200,0)))</f>
        <v/>
      </c>
      <c r="I20" s="59">
        <f>IF($J20="","",INDEX($T$14:$T$200,MATCH($J20,$U$14:$U$200,0)))</f>
        <v/>
      </c>
      <c r="J20" s="241">
        <f>IFERROR(LARGE($U$14:$U$200,7),"")</f>
        <v/>
      </c>
      <c r="M20">
        <f>IFERROR(INDEX(GERAL[PONTO],7),"")</f>
        <v/>
      </c>
      <c r="N20">
        <f>IF(M20="","",IFERROR(INDEX(GERAL[ACUMULADA],7),0))</f>
        <v/>
      </c>
      <c r="O20">
        <f>IF(N20="","",$B$11-N20)</f>
        <v/>
      </c>
      <c r="P20">
        <f>IF(N20="","",IF(N20*1.15&lt;=30,30,IF(N20*1.15&lt;=45,45,IF(N20*1.15&lt;=75,75,IF(N20*1.15&lt;=112.5,112.5,IF(N20*1.15&lt;=150,150,IF(N20*1.15&lt;=225,225,300)))))))</f>
        <v/>
      </c>
      <c r="Q20">
        <f>IF(P20="","",IFERROR(N20/P20,0))</f>
        <v/>
      </c>
      <c r="R20">
        <f>IF(M20="","",IFERROR(INDEX(Tabela7[QT %],MATCH(M20,Tabela7[PONTO],0)),0))</f>
        <v/>
      </c>
      <c r="S20">
        <f>IF(N20="","",IFERROR(1-ABS(N20-O20)/$B$11,0))</f>
        <v/>
      </c>
      <c r="T20">
        <f>IF(M20="","",IF($B$9&gt;$B$8,IFERROR((INDEX(GERAL[SNAP],7)-$B$8)/($B$9-$B$8),0),0))</f>
        <v/>
      </c>
      <c r="U20">
        <f>IF(OR(M20="",V20&lt;&gt;"ESQUERDO"),"",$L$2*IFERROR(N20/$B$11,0)+$L$3*IF($D$11&gt;0,IFERROR(R20/$D$11,0),0)+$L$4*IFERROR(S20,0)-$L$5*IFERROR(T20,0)-$L$6*MAX(0,IFERROR(Q20,0)-$L$7)+ROW()/1000000)</f>
        <v/>
      </c>
      <c r="V20">
        <f>IFERROR(INDEX(GERAL[LADO],7),"")</f>
        <v/>
      </c>
    </row>
    <row r="21">
      <c r="A21" s="9" t="n">
        <v>8</v>
      </c>
      <c r="B21" s="9">
        <f>IF($J21="","",INDEX($M$14:$M$200,MATCH($J21,$U$14:$U$200,0)))</f>
        <v/>
      </c>
      <c r="C21" s="93">
        <f>IF($J21="","",INDEX($N$14:$N$200,MATCH($J21,$U$14:$U$200,0)))</f>
        <v/>
      </c>
      <c r="D21" s="116">
        <f>IF($J21="","",INDEX($O$14:$O$200,MATCH($J21,$U$14:$U$200,0)))</f>
        <v/>
      </c>
      <c r="E21" s="9">
        <f>IF($J21="","",INDEX($P$14:$P$200,MATCH($J21,$U$14:$U$200,0)))</f>
        <v/>
      </c>
      <c r="F21" s="117">
        <f>IF($J21="","",INDEX($Q$14:$Q$200,MATCH($J21,$U$14:$U$200,0)))</f>
        <v/>
      </c>
      <c r="G21" s="59">
        <f>IF($J21="","",INDEX($R$14:$R$200,MATCH($J21,$U$14:$U$200,0)))</f>
        <v/>
      </c>
      <c r="H21" s="59">
        <f>IF($J21="","",INDEX($S$14:$S$200,MATCH($J21,$U$14:$U$200,0)))</f>
        <v/>
      </c>
      <c r="I21" s="59">
        <f>IF($J21="","",INDEX($T$14:$T$200,MATCH($J21,$U$14:$U$200,0)))</f>
        <v/>
      </c>
      <c r="J21" s="241">
        <f>IFERROR(LARGE($U$14:$U$200,8),"")</f>
        <v/>
      </c>
      <c r="M21">
        <f>IFERROR(INDEX(GERAL[PONTO],8),"")</f>
        <v/>
      </c>
      <c r="N21">
        <f>IF(M21="","",IFERROR(INDEX(GERAL[ACUMULADA],8),0))</f>
        <v/>
      </c>
      <c r="O21">
        <f>IF(N21="","",$B$11-N21)</f>
        <v/>
      </c>
      <c r="P21">
        <f>IF(N21="","",IF(N21*1.15&lt;=30,30,IF(N21*1.15&lt;=45,45,IF(N21*1.15&lt;=75,75,IF(N21*1.15&lt;=112.5,112.5,IF(N21*1.15&lt;=150,150,IF(N21*1.15&lt;=225,225,300)))))))</f>
        <v/>
      </c>
      <c r="Q21">
        <f>IF(P21="","",IFERROR(N21/P21,0))</f>
        <v/>
      </c>
      <c r="R21">
        <f>IF(M21="","",IFERROR(INDEX(Tabela7[QT %],MATCH(M21,Tabela7[PONTO],0)),0))</f>
        <v/>
      </c>
      <c r="S21">
        <f>IF(N21="","",IFERROR(1-ABS(N21-O21)/$B$11,0))</f>
        <v/>
      </c>
      <c r="T21">
        <f>IF(M21="","",IF($B$9&gt;$B$8,IFERROR((INDEX(GERAL[SNAP],8)-$B$8)/($B$9-$B$8),0),0))</f>
        <v/>
      </c>
      <c r="U21">
        <f>IF(OR(M21="",V21&lt;&gt;"ESQUERDO"),"",$L$2*IFERROR(N21/$B$11,0)+$L$3*IF($D$11&gt;0,IFERROR(R21/$D$11,0),0)+$L$4*IFERROR(S21,0)-$L$5*IFERROR(T21,0)-$L$6*MAX(0,IFERROR(Q21,0)-$L$7)+ROW()/1000000)</f>
        <v/>
      </c>
      <c r="V21">
        <f>IFERROR(INDEX(GERAL[LADO],8),"")</f>
        <v/>
      </c>
    </row>
    <row r="22">
      <c r="A22" s="9" t="n">
        <v>9</v>
      </c>
      <c r="B22" s="9">
        <f>IF($J22="","",INDEX($M$14:$M$200,MATCH($J22,$U$14:$U$200,0)))</f>
        <v/>
      </c>
      <c r="C22" s="93">
        <f>IF($J22="","",INDEX($N$14:$N$200,MATCH($J22,$U$14:$U$200,0)))</f>
        <v/>
      </c>
      <c r="D22" s="116">
        <f>IF($J22="","",INDEX($O$14:$O$200,MATCH($J22,$U$14:$U$200,0)))</f>
        <v/>
      </c>
      <c r="E22" s="9">
        <f>IF($J22="","",INDEX($P$14:$P$200,MATCH($J22,$U$14:$U$200,0)))</f>
        <v/>
      </c>
      <c r="F22" s="117">
        <f>IF($J22="","",INDEX($Q$14:$Q$200,MATCH($J22,$U$14:$U$200,0)))</f>
        <v/>
      </c>
      <c r="G22" s="59">
        <f>IF($J22="","",INDEX($R$14:$R$200,MATCH($J22,$U$14:$U$200,0)))</f>
        <v/>
      </c>
      <c r="H22" s="59">
        <f>IF($J22="","",INDEX($S$14:$S$200,MATCH($J22,$U$14:$U$200,0)))</f>
        <v/>
      </c>
      <c r="I22" s="59">
        <f>IF($J22="","",INDEX($T$14:$T$200,MATCH($J22,$U$14:$U$200,0)))</f>
        <v/>
      </c>
      <c r="J22" s="241">
        <f>IFERROR(LARGE($U$14:$U$200,9),"")</f>
        <v/>
      </c>
      <c r="M22">
        <f>IFERROR(INDEX(GERAL[PONTO],9),"")</f>
        <v/>
      </c>
      <c r="N22">
        <f>IF(M22="","",IFERROR(INDEX(GERAL[ACUMULADA],9),0))</f>
        <v/>
      </c>
      <c r="O22">
        <f>IF(N22="","",$B$11-N22)</f>
        <v/>
      </c>
      <c r="P22">
        <f>IF(N22="","",IF(N22*1.15&lt;=30,30,IF(N22*1.15&lt;=45,45,IF(N22*1.15&lt;=75,75,IF(N22*1.15&lt;=112.5,112.5,IF(N22*1.15&lt;=150,150,IF(N22*1.15&lt;=225,225,300)))))))</f>
        <v/>
      </c>
      <c r="Q22">
        <f>IF(P22="","",IFERROR(N22/P22,0))</f>
        <v/>
      </c>
      <c r="R22">
        <f>IF(M22="","",IFERROR(INDEX(Tabela7[QT %],MATCH(M22,Tabela7[PONTO],0)),0))</f>
        <v/>
      </c>
      <c r="S22">
        <f>IF(N22="","",IFERROR(1-ABS(N22-O22)/$B$11,0))</f>
        <v/>
      </c>
      <c r="T22">
        <f>IF(M22="","",IF($B$9&gt;$B$8,IFERROR((INDEX(GERAL[SNAP],9)-$B$8)/($B$9-$B$8),0),0))</f>
        <v/>
      </c>
      <c r="U22">
        <f>IF(OR(M22="",V22&lt;&gt;"ESQUERDO"),"",$L$2*IFERROR(N22/$B$11,0)+$L$3*IF($D$11&gt;0,IFERROR(R22/$D$11,0),0)+$L$4*IFERROR(S22,0)-$L$5*IFERROR(T22,0)-$L$6*MAX(0,IFERROR(Q22,0)-$L$7)+ROW()/1000000)</f>
        <v/>
      </c>
      <c r="V22">
        <f>IFERROR(INDEX(GERAL[LADO],9),"")</f>
        <v/>
      </c>
    </row>
    <row r="23">
      <c r="A23" s="9" t="n">
        <v>10</v>
      </c>
      <c r="B23" s="9">
        <f>IF($J23="","",INDEX($M$14:$M$200,MATCH($J23,$U$14:$U$200,0)))</f>
        <v/>
      </c>
      <c r="C23" s="93">
        <f>IF($J23="","",INDEX($N$14:$N$200,MATCH($J23,$U$14:$U$200,0)))</f>
        <v/>
      </c>
      <c r="D23" s="116">
        <f>IF($J23="","",INDEX($O$14:$O$200,MATCH($J23,$U$14:$U$200,0)))</f>
        <v/>
      </c>
      <c r="E23" s="9">
        <f>IF($J23="","",INDEX($P$14:$P$200,MATCH($J23,$U$14:$U$200,0)))</f>
        <v/>
      </c>
      <c r="F23" s="117">
        <f>IF($J23="","",INDEX($Q$14:$Q$200,MATCH($J23,$U$14:$U$200,0)))</f>
        <v/>
      </c>
      <c r="G23" s="59">
        <f>IF($J23="","",INDEX($R$14:$R$200,MATCH($J23,$U$14:$U$200,0)))</f>
        <v/>
      </c>
      <c r="H23" s="59">
        <f>IF($J23="","",INDEX($S$14:$S$200,MATCH($J23,$U$14:$U$200,0)))</f>
        <v/>
      </c>
      <c r="I23" s="59">
        <f>IF($J23="","",INDEX($T$14:$T$200,MATCH($J23,$U$14:$U$200,0)))</f>
        <v/>
      </c>
      <c r="J23" s="241">
        <f>IFERROR(LARGE($U$14:$U$200,10),"")</f>
        <v/>
      </c>
      <c r="M23">
        <f>IFERROR(INDEX(GERAL[PONTO],10),"")</f>
        <v/>
      </c>
      <c r="N23">
        <f>IF(M23="","",IFERROR(INDEX(GERAL[ACUMULADA],10),0))</f>
        <v/>
      </c>
      <c r="O23">
        <f>IF(N23="","",$B$11-N23)</f>
        <v/>
      </c>
      <c r="P23">
        <f>IF(N23="","",IF(N23*1.15&lt;=30,30,IF(N23*1.15&lt;=45,45,IF(N23*1.15&lt;=75,75,IF(N23*1.15&lt;=112.5,112.5,IF(N23*1.15&lt;=150,150,IF(N23*1.15&lt;=225,225,300)))))))</f>
        <v/>
      </c>
      <c r="Q23">
        <f>IF(P23="","",IFERROR(N23/P23,0))</f>
        <v/>
      </c>
      <c r="R23">
        <f>IF(M23="","",IFERROR(INDEX(Tabela7[QT %],MATCH(M23,Tabela7[PONTO],0)),0))</f>
        <v/>
      </c>
      <c r="S23">
        <f>IF(N23="","",IFERROR(1-ABS(N23-O23)/$B$11,0))</f>
        <v/>
      </c>
      <c r="T23">
        <f>IF(M23="","",IF($B$9&gt;$B$8,IFERROR((INDEX(GERAL[SNAP],10)-$B$8)/($B$9-$B$8),0),0))</f>
        <v/>
      </c>
      <c r="U23">
        <f>IF(OR(M23="",V23&lt;&gt;"ESQUERDO"),"",$L$2*IFERROR(N23/$B$11,0)+$L$3*IF($D$11&gt;0,IFERROR(R23/$D$11,0),0)+$L$4*IFERROR(S23,0)-$L$5*IFERROR(T23,0)-$L$6*MAX(0,IFERROR(Q23,0)-$L$7)+ROW()/1000000)</f>
        <v/>
      </c>
      <c r="V23">
        <f>IFERROR(INDEX(GERAL[LADO],10),"")</f>
        <v/>
      </c>
    </row>
    <row r="24">
      <c r="A24" s="9" t="n">
        <v>11</v>
      </c>
      <c r="B24" s="9">
        <f>IF($J24="","",INDEX($M$14:$M$200,MATCH($J24,$U$14:$U$200,0)))</f>
        <v/>
      </c>
      <c r="C24" s="93">
        <f>IF($J24="","",INDEX($N$14:$N$200,MATCH($J24,$U$14:$U$200,0)))</f>
        <v/>
      </c>
      <c r="D24" s="116">
        <f>IF($J24="","",INDEX($O$14:$O$200,MATCH($J24,$U$14:$U$200,0)))</f>
        <v/>
      </c>
      <c r="E24" s="9">
        <f>IF($J24="","",INDEX($P$14:$P$200,MATCH($J24,$U$14:$U$200,0)))</f>
        <v/>
      </c>
      <c r="F24" s="117">
        <f>IF($J24="","",INDEX($Q$14:$Q$200,MATCH($J24,$U$14:$U$200,0)))</f>
        <v/>
      </c>
      <c r="G24" s="59">
        <f>IF($J24="","",INDEX($R$14:$R$200,MATCH($J24,$U$14:$U$200,0)))</f>
        <v/>
      </c>
      <c r="H24" s="59">
        <f>IF($J24="","",INDEX($S$14:$S$200,MATCH($J24,$U$14:$U$200,0)))</f>
        <v/>
      </c>
      <c r="I24" s="59">
        <f>IF($J24="","",INDEX($T$14:$T$200,MATCH($J24,$U$14:$U$200,0)))</f>
        <v/>
      </c>
      <c r="J24" s="241">
        <f>IFERROR(LARGE($U$14:$U$200,11),"")</f>
        <v/>
      </c>
      <c r="M24">
        <f>IFERROR(INDEX(GERAL[PONTO],11),"")</f>
        <v/>
      </c>
      <c r="N24">
        <f>IF(M24="","",IFERROR(INDEX(GERAL[ACUMULADA],11),0))</f>
        <v/>
      </c>
      <c r="O24">
        <f>IF(N24="","",$B$11-N24)</f>
        <v/>
      </c>
      <c r="P24">
        <f>IF(N24="","",IF(N24*1.15&lt;=30,30,IF(N24*1.15&lt;=45,45,IF(N24*1.15&lt;=75,75,IF(N24*1.15&lt;=112.5,112.5,IF(N24*1.15&lt;=150,150,IF(N24*1.15&lt;=225,225,300)))))))</f>
        <v/>
      </c>
      <c r="Q24">
        <f>IF(P24="","",IFERROR(N24/P24,0))</f>
        <v/>
      </c>
      <c r="R24">
        <f>IF(M24="","",IFERROR(INDEX(Tabela7[QT %],MATCH(M24,Tabela7[PONTO],0)),0))</f>
        <v/>
      </c>
      <c r="S24">
        <f>IF(N24="","",IFERROR(1-ABS(N24-O24)/$B$11,0))</f>
        <v/>
      </c>
      <c r="T24">
        <f>IF(M24="","",IF($B$9&gt;$B$8,IFERROR((INDEX(GERAL[SNAP],11)-$B$8)/($B$9-$B$8),0),0))</f>
        <v/>
      </c>
      <c r="U24">
        <f>IF(OR(M24="",V24&lt;&gt;"ESQUERDO"),"",$L$2*IFERROR(N24/$B$11,0)+$L$3*IF($D$11&gt;0,IFERROR(R24/$D$11,0),0)+$L$4*IFERROR(S24,0)-$L$5*IFERROR(T24,0)-$L$6*MAX(0,IFERROR(Q24,0)-$L$7)+ROW()/1000000)</f>
        <v/>
      </c>
      <c r="V24">
        <f>IFERROR(INDEX(GERAL[LADO],11),"")</f>
        <v/>
      </c>
    </row>
    <row r="25">
      <c r="A25" s="9" t="n">
        <v>12</v>
      </c>
      <c r="B25" s="9">
        <f>IF($J25="","",INDEX($M$14:$M$200,MATCH($J25,$U$14:$U$200,0)))</f>
        <v/>
      </c>
      <c r="C25" s="93">
        <f>IF($J25="","",INDEX($N$14:$N$200,MATCH($J25,$U$14:$U$200,0)))</f>
        <v/>
      </c>
      <c r="D25" s="116">
        <f>IF($J25="","",INDEX($O$14:$O$200,MATCH($J25,$U$14:$U$200,0)))</f>
        <v/>
      </c>
      <c r="E25" s="9">
        <f>IF($J25="","",INDEX($P$14:$P$200,MATCH($J25,$U$14:$U$200,0)))</f>
        <v/>
      </c>
      <c r="F25" s="117">
        <f>IF($J25="","",INDEX($Q$14:$Q$200,MATCH($J25,$U$14:$U$200,0)))</f>
        <v/>
      </c>
      <c r="G25" s="59">
        <f>IF($J25="","",INDEX($R$14:$R$200,MATCH($J25,$U$14:$U$200,0)))</f>
        <v/>
      </c>
      <c r="H25" s="59">
        <f>IF($J25="","",INDEX($S$14:$S$200,MATCH($J25,$U$14:$U$200,0)))</f>
        <v/>
      </c>
      <c r="I25" s="59">
        <f>IF($J25="","",INDEX($T$14:$T$200,MATCH($J25,$U$14:$U$200,0)))</f>
        <v/>
      </c>
      <c r="J25" s="241">
        <f>IFERROR(LARGE($U$14:$U$200,12),"")</f>
        <v/>
      </c>
      <c r="M25">
        <f>IFERROR(INDEX(GERAL[PONTO],12),"")</f>
        <v/>
      </c>
      <c r="N25">
        <f>IF(M25="","",IFERROR(INDEX(GERAL[ACUMULADA],12),0))</f>
        <v/>
      </c>
      <c r="O25">
        <f>IF(N25="","",$B$11-N25)</f>
        <v/>
      </c>
      <c r="P25">
        <f>IF(N25="","",IF(N25*1.15&lt;=30,30,IF(N25*1.15&lt;=45,45,IF(N25*1.15&lt;=75,75,IF(N25*1.15&lt;=112.5,112.5,IF(N25*1.15&lt;=150,150,IF(N25*1.15&lt;=225,225,300)))))))</f>
        <v/>
      </c>
      <c r="Q25">
        <f>IF(P25="","",IFERROR(N25/P25,0))</f>
        <v/>
      </c>
      <c r="R25">
        <f>IF(M25="","",IFERROR(INDEX(Tabela7[QT %],MATCH(M25,Tabela7[PONTO],0)),0))</f>
        <v/>
      </c>
      <c r="S25">
        <f>IF(N25="","",IFERROR(1-ABS(N25-O25)/$B$11,0))</f>
        <v/>
      </c>
      <c r="T25">
        <f>IF(M25="","",IF($B$9&gt;$B$8,IFERROR((INDEX(GERAL[SNAP],12)-$B$8)/($B$9-$B$8),0),0))</f>
        <v/>
      </c>
      <c r="U25">
        <f>IF(OR(M25="",V25&lt;&gt;"ESQUERDO"),"",$L$2*IFERROR(N25/$B$11,0)+$L$3*IF($D$11&gt;0,IFERROR(R25/$D$11,0),0)+$L$4*IFERROR(S25,0)-$L$5*IFERROR(T25,0)-$L$6*MAX(0,IFERROR(Q25,0)-$L$7)+ROW()/1000000)</f>
        <v/>
      </c>
      <c r="V25">
        <f>IFERROR(INDEX(GERAL[LADO],12),"")</f>
        <v/>
      </c>
    </row>
    <row r="26">
      <c r="M26">
        <f>IFERROR(INDEX(GERAL[PONTO],13),"")</f>
        <v/>
      </c>
      <c r="N26">
        <f>IF(M26="","",IFERROR(INDEX(GERAL[ACUMULADA],13),0))</f>
        <v/>
      </c>
      <c r="O26">
        <f>IF(N26="","",$B$11-N26)</f>
        <v/>
      </c>
      <c r="P26">
        <f>IF(N26="","",IF(N26*1.15&lt;=30,30,IF(N26*1.15&lt;=45,45,IF(N26*1.15&lt;=75,75,IF(N26*1.15&lt;=112.5,112.5,IF(N26*1.15&lt;=150,150,IF(N26*1.15&lt;=225,225,300)))))))</f>
        <v/>
      </c>
      <c r="Q26">
        <f>IF(P26="","",IFERROR(N26/P26,0))</f>
        <v/>
      </c>
      <c r="R26">
        <f>IF(M26="","",IFERROR(INDEX(Tabela7[QT %],MATCH(M26,Tabela7[PONTO],0)),0))</f>
        <v/>
      </c>
      <c r="S26">
        <f>IF(N26="","",IFERROR(1-ABS(N26-O26)/$B$11,0))</f>
        <v/>
      </c>
      <c r="T26">
        <f>IF(M26="","",IF($B$9&gt;$B$8,IFERROR((INDEX(GERAL[SNAP],13)-$B$8)/($B$9-$B$8),0),0))</f>
        <v/>
      </c>
      <c r="U26">
        <f>IF(OR(M26="",V26&lt;&gt;"ESQUERDO"),"",$L$2*IFERROR(N26/$B$11,0)+$L$3*IF($D$11&gt;0,IFERROR(R26/$D$11,0),0)+$L$4*IFERROR(S26,0)-$L$5*IFERROR(T26,0)-$L$6*MAX(0,IFERROR(Q26,0)-$L$7)+ROW()/1000000)</f>
        <v/>
      </c>
      <c r="V26">
        <f>IFERROR(INDEX(GERAL[LADO],13),"")</f>
        <v/>
      </c>
    </row>
    <row r="27">
      <c r="M27">
        <f>IFERROR(INDEX(GERAL[PONTO],14),"")</f>
        <v/>
      </c>
      <c r="N27">
        <f>IF(M27="","",IFERROR(INDEX(GERAL[ACUMULADA],14),0))</f>
        <v/>
      </c>
      <c r="O27">
        <f>IF(N27="","",$B$11-N27)</f>
        <v/>
      </c>
      <c r="P27">
        <f>IF(N27="","",IF(N27*1.15&lt;=30,30,IF(N27*1.15&lt;=45,45,IF(N27*1.15&lt;=75,75,IF(N27*1.15&lt;=112.5,112.5,IF(N27*1.15&lt;=150,150,IF(N27*1.15&lt;=225,225,300)))))))</f>
        <v/>
      </c>
      <c r="Q27">
        <f>IF(P27="","",IFERROR(N27/P27,0))</f>
        <v/>
      </c>
      <c r="R27">
        <f>IF(M27="","",IFERROR(INDEX(Tabela7[QT %],MATCH(M27,Tabela7[PONTO],0)),0))</f>
        <v/>
      </c>
      <c r="S27">
        <f>IF(N27="","",IFERROR(1-ABS(N27-O27)/$B$11,0))</f>
        <v/>
      </c>
      <c r="T27">
        <f>IF(M27="","",IF($B$9&gt;$B$8,IFERROR((INDEX(GERAL[SNAP],14)-$B$8)/($B$9-$B$8),0),0))</f>
        <v/>
      </c>
      <c r="U27">
        <f>IF(OR(M27="",V27&lt;&gt;"ESQUERDO"),"",$L$2*IFERROR(N27/$B$11,0)+$L$3*IF($D$11&gt;0,IFERROR(R27/$D$11,0),0)+$L$4*IFERROR(S27,0)-$L$5*IFERROR(T27,0)-$L$6*MAX(0,IFERROR(Q27,0)-$L$7)+ROW()/1000000)</f>
        <v/>
      </c>
      <c r="V27">
        <f>IFERROR(INDEX(GERAL[LADO],14),"")</f>
        <v/>
      </c>
    </row>
    <row r="28">
      <c r="M28">
        <f>IFERROR(INDEX(GERAL[PONTO],15),"")</f>
        <v/>
      </c>
      <c r="N28">
        <f>IF(M28="","",IFERROR(INDEX(GERAL[ACUMULADA],15),0))</f>
        <v/>
      </c>
      <c r="O28">
        <f>IF(N28="","",$B$11-N28)</f>
        <v/>
      </c>
      <c r="P28">
        <f>IF(N28="","",IF(N28*1.15&lt;=30,30,IF(N28*1.15&lt;=45,45,IF(N28*1.15&lt;=75,75,IF(N28*1.15&lt;=112.5,112.5,IF(N28*1.15&lt;=150,150,IF(N28*1.15&lt;=225,225,300)))))))</f>
        <v/>
      </c>
      <c r="Q28">
        <f>IF(P28="","",IFERROR(N28/P28,0))</f>
        <v/>
      </c>
      <c r="R28">
        <f>IF(M28="","",IFERROR(INDEX(Tabela7[QT %],MATCH(M28,Tabela7[PONTO],0)),0))</f>
        <v/>
      </c>
      <c r="S28">
        <f>IF(N28="","",IFERROR(1-ABS(N28-O28)/$B$11,0))</f>
        <v/>
      </c>
      <c r="T28">
        <f>IF(M28="","",IF($B$9&gt;$B$8,IFERROR((INDEX(GERAL[SNAP],15)-$B$8)/($B$9-$B$8),0),0))</f>
        <v/>
      </c>
      <c r="U28">
        <f>IF(OR(M28="",V28&lt;&gt;"ESQUERDO"),"",$L$2*IFERROR(N28/$B$11,0)+$L$3*IF($D$11&gt;0,IFERROR(R28/$D$11,0),0)+$L$4*IFERROR(S28,0)-$L$5*IFERROR(T28,0)-$L$6*MAX(0,IFERROR(Q28,0)-$L$7)+ROW()/1000000)</f>
        <v/>
      </c>
      <c r="V28">
        <f>IFERROR(INDEX(GERAL[LADO],15),"")</f>
        <v/>
      </c>
    </row>
    <row r="29">
      <c r="M29">
        <f>IFERROR(INDEX(GERAL[PONTO],16),"")</f>
        <v/>
      </c>
      <c r="N29">
        <f>IF(M29="","",IFERROR(INDEX(GERAL[ACUMULADA],16),0))</f>
        <v/>
      </c>
      <c r="O29">
        <f>IF(N29="","",$B$11-N29)</f>
        <v/>
      </c>
      <c r="P29">
        <f>IF(N29="","",IF(N29*1.15&lt;=30,30,IF(N29*1.15&lt;=45,45,IF(N29*1.15&lt;=75,75,IF(N29*1.15&lt;=112.5,112.5,IF(N29*1.15&lt;=150,150,IF(N29*1.15&lt;=225,225,300)))))))</f>
        <v/>
      </c>
      <c r="Q29">
        <f>IF(P29="","",IFERROR(N29/P29,0))</f>
        <v/>
      </c>
      <c r="R29">
        <f>IF(M29="","",IFERROR(INDEX(Tabela7[QT %],MATCH(M29,Tabela7[PONTO],0)),0))</f>
        <v/>
      </c>
      <c r="S29">
        <f>IF(N29="","",IFERROR(1-ABS(N29-O29)/$B$11,0))</f>
        <v/>
      </c>
      <c r="T29">
        <f>IF(M29="","",IF($B$9&gt;$B$8,IFERROR((INDEX(GERAL[SNAP],16)-$B$8)/($B$9-$B$8),0),0))</f>
        <v/>
      </c>
      <c r="U29">
        <f>IF(OR(M29="",V29&lt;&gt;"ESQUERDO"),"",$L$2*IFERROR(N29/$B$11,0)+$L$3*IF($D$11&gt;0,IFERROR(R29/$D$11,0),0)+$L$4*IFERROR(S29,0)-$L$5*IFERROR(T29,0)-$L$6*MAX(0,IFERROR(Q29,0)-$L$7)+ROW()/1000000)</f>
        <v/>
      </c>
      <c r="V29">
        <f>IFERROR(INDEX(GERAL[LADO],16),"")</f>
        <v/>
      </c>
    </row>
    <row r="30">
      <c r="A30" s="111" t="inlineStr">
        <is>
          <t>LADO DIREITO - TOP CORTES</t>
        </is>
      </c>
      <c r="M30">
        <f>IFERROR(INDEX(GERAL[PONTO],17),"")</f>
        <v/>
      </c>
      <c r="N30">
        <f>IF(M30="","",IFERROR(INDEX(GERAL[ACUMULADA],17),0))</f>
        <v/>
      </c>
      <c r="O30">
        <f>IF(N30="","",$B$11-N30)</f>
        <v/>
      </c>
      <c r="P30">
        <f>IF(N30="","",IF(N30*1.15&lt;=30,30,IF(N30*1.15&lt;=45,45,IF(N30*1.15&lt;=75,75,IF(N30*1.15&lt;=112.5,112.5,IF(N30*1.15&lt;=150,150,IF(N30*1.15&lt;=225,225,300)))))))</f>
        <v/>
      </c>
      <c r="Q30">
        <f>IF(P30="","",IFERROR(N30/P30,0))</f>
        <v/>
      </c>
      <c r="R30">
        <f>IF(M30="","",IFERROR(INDEX(Tabela7[QT %],MATCH(M30,Tabela7[PONTO],0)),0))</f>
        <v/>
      </c>
      <c r="S30">
        <f>IF(N30="","",IFERROR(1-ABS(N30-O30)/$B$11,0))</f>
        <v/>
      </c>
      <c r="T30">
        <f>IF(M30="","",IF($B$9&gt;$B$8,IFERROR((INDEX(GERAL[SNAP],17)-$B$8)/($B$9-$B$8),0),0))</f>
        <v/>
      </c>
      <c r="U30">
        <f>IF(OR(M30="",V30&lt;&gt;"ESQUERDO"),"",$L$2*IFERROR(N30/$B$11,0)+$L$3*IF($D$11&gt;0,IFERROR(R30/$D$11,0),0)+$L$4*IFERROR(S30,0)-$L$5*IFERROR(T30,0)-$L$6*MAX(0,IFERROR(Q30,0)-$L$7)+ROW()/1000000)</f>
        <v/>
      </c>
      <c r="V30">
        <f>IFERROR(INDEX(GERAL[LADO],17),"")</f>
        <v/>
      </c>
    </row>
    <row r="31">
      <c r="A31" t="inlineStr">
        <is>
          <t>TOTAL_LADO_KVA</t>
        </is>
      </c>
      <c r="B31" s="59">
        <f>E5</f>
        <v/>
      </c>
      <c r="C31" t="inlineStr">
        <is>
          <t>MAX_QT</t>
        </is>
      </c>
      <c r="D31" s="115">
        <f>IFERROR(MAX(DIR_ATUAL[QT %]),0)</f>
        <v/>
      </c>
      <c r="M31">
        <f>IFERROR(INDEX(GERAL[PONTO],18),"")</f>
        <v/>
      </c>
      <c r="N31">
        <f>IF(M31="","",IFERROR(INDEX(GERAL[ACUMULADA],18),0))</f>
        <v/>
      </c>
      <c r="O31">
        <f>IF(N31="","",$B$11-N31)</f>
        <v/>
      </c>
      <c r="P31">
        <f>IF(N31="","",IF(N31*1.15&lt;=30,30,IF(N31*1.15&lt;=45,45,IF(N31*1.15&lt;=75,75,IF(N31*1.15&lt;=112.5,112.5,IF(N31*1.15&lt;=150,150,IF(N31*1.15&lt;=225,225,300)))))))</f>
        <v/>
      </c>
      <c r="Q31">
        <f>IF(P31="","",IFERROR(N31/P31,0))</f>
        <v/>
      </c>
      <c r="R31">
        <f>IF(M31="","",IFERROR(INDEX(Tabela7[QT %],MATCH(M31,Tabela7[PONTO],0)),0))</f>
        <v/>
      </c>
      <c r="S31">
        <f>IF(N31="","",IFERROR(1-ABS(N31-O31)/$B$11,0))</f>
        <v/>
      </c>
      <c r="T31">
        <f>IF(M31="","",IF($B$9&gt;$B$8,IFERROR((INDEX(GERAL[SNAP],18)-$B$8)/($B$9-$B$8),0),0))</f>
        <v/>
      </c>
      <c r="U31">
        <f>IF(OR(M31="",V31&lt;&gt;"ESQUERDO"),"",$L$2*IFERROR(N31/$B$11,0)+$L$3*IF($D$11&gt;0,IFERROR(R31/$D$11,0),0)+$L$4*IFERROR(S31,0)-$L$5*IFERROR(T31,0)-$L$6*MAX(0,IFERROR(Q31,0)-$L$7)+ROW()/1000000)</f>
        <v/>
      </c>
      <c r="V31">
        <f>IFERROR(INDEX(GERAL[LADO],18),"")</f>
        <v/>
      </c>
    </row>
    <row r="32">
      <c r="M32">
        <f>IFERROR(INDEX(GERAL[PONTO],19),"")</f>
        <v/>
      </c>
      <c r="N32">
        <f>IF(M32="","",IFERROR(INDEX(GERAL[ACUMULADA],19),0))</f>
        <v/>
      </c>
      <c r="O32">
        <f>IF(N32="","",$B$11-N32)</f>
        <v/>
      </c>
      <c r="P32">
        <f>IF(N32="","",IF(N32*1.15&lt;=30,30,IF(N32*1.15&lt;=45,45,IF(N32*1.15&lt;=75,75,IF(N32*1.15&lt;=112.5,112.5,IF(N32*1.15&lt;=150,150,IF(N32*1.15&lt;=225,225,300)))))))</f>
        <v/>
      </c>
      <c r="Q32">
        <f>IF(P32="","",IFERROR(N32/P32,0))</f>
        <v/>
      </c>
      <c r="R32">
        <f>IF(M32="","",IFERROR(INDEX(Tabela7[QT %],MATCH(M32,Tabela7[PONTO],0)),0))</f>
        <v/>
      </c>
      <c r="S32">
        <f>IF(N32="","",IFERROR(1-ABS(N32-O32)/$B$11,0))</f>
        <v/>
      </c>
      <c r="T32">
        <f>IF(M32="","",IF($B$9&gt;$B$8,IFERROR((INDEX(GERAL[SNAP],19)-$B$8)/($B$9-$B$8),0),0))</f>
        <v/>
      </c>
      <c r="U32">
        <f>IF(OR(M32="",V32&lt;&gt;"ESQUERDO"),"",$L$2*IFERROR(N32/$B$11,0)+$L$3*IF($D$11&gt;0,IFERROR(R32/$D$11,0),0)+$L$4*IFERROR(S32,0)-$L$5*IFERROR(T32,0)-$L$6*MAX(0,IFERROR(Q32,0)-$L$7)+ROW()/1000000)</f>
        <v/>
      </c>
      <c r="V32">
        <f>IFERROR(INDEX(GERAL[LADO],19),"")</f>
        <v/>
      </c>
    </row>
    <row r="33">
      <c r="A33" s="113" t="inlineStr">
        <is>
          <t>RANK</t>
        </is>
      </c>
      <c r="B33" s="113" t="inlineStr">
        <is>
          <t>PONTO</t>
        </is>
      </c>
      <c r="C33" s="113" t="inlineStr">
        <is>
          <t>SUB_KVA</t>
        </is>
      </c>
      <c r="D33" s="113" t="inlineStr">
        <is>
          <t>REM_KVA</t>
        </is>
      </c>
      <c r="E33" s="113" t="inlineStr">
        <is>
          <t>CAP_SUG</t>
        </is>
      </c>
      <c r="F33" s="113" t="inlineStr">
        <is>
          <t>SAT_NOVA</t>
        </is>
      </c>
      <c r="G33" s="113" t="inlineStr">
        <is>
          <t>QT_PONTO</t>
        </is>
      </c>
      <c r="H33" s="113" t="inlineStr">
        <is>
          <t>BAL</t>
        </is>
      </c>
      <c r="I33" s="113" t="inlineStr">
        <is>
          <t>DIST_NORM</t>
        </is>
      </c>
      <c r="J33" s="113" t="inlineStr">
        <is>
          <t>SCORE</t>
        </is>
      </c>
      <c r="M33">
        <f>IFERROR(INDEX(GERAL[PONTO],20),"")</f>
        <v/>
      </c>
      <c r="N33">
        <f>IF(M33="","",IFERROR(INDEX(GERAL[ACUMULADA],20),0))</f>
        <v/>
      </c>
      <c r="O33">
        <f>IF(N33="","",$B$11-N33)</f>
        <v/>
      </c>
      <c r="P33">
        <f>IF(N33="","",IF(N33*1.15&lt;=30,30,IF(N33*1.15&lt;=45,45,IF(N33*1.15&lt;=75,75,IF(N33*1.15&lt;=112.5,112.5,IF(N33*1.15&lt;=150,150,IF(N33*1.15&lt;=225,225,300)))))))</f>
        <v/>
      </c>
      <c r="Q33">
        <f>IF(P33="","",IFERROR(N33/P33,0))</f>
        <v/>
      </c>
      <c r="R33">
        <f>IF(M33="","",IFERROR(INDEX(Tabela7[QT %],MATCH(M33,Tabela7[PONTO],0)),0))</f>
        <v/>
      </c>
      <c r="S33">
        <f>IF(N33="","",IFERROR(1-ABS(N33-O33)/$B$11,0))</f>
        <v/>
      </c>
      <c r="T33">
        <f>IF(M33="","",IF($B$9&gt;$B$8,IFERROR((INDEX(GERAL[SNAP],20)-$B$8)/($B$9-$B$8),0),0))</f>
        <v/>
      </c>
      <c r="U33">
        <f>IF(OR(M33="",V33&lt;&gt;"ESQUERDO"),"",$L$2*IFERROR(N33/$B$11,0)+$L$3*IF($D$11&gt;0,IFERROR(R33/$D$11,0),0)+$L$4*IFERROR(S33,0)-$L$5*IFERROR(T33,0)-$L$6*MAX(0,IFERROR(Q33,0)-$L$7)+ROW()/1000000)</f>
        <v/>
      </c>
      <c r="V33">
        <f>IFERROR(INDEX(GERAL[LADO],20),"")</f>
        <v/>
      </c>
    </row>
    <row r="34">
      <c r="A34" t="n">
        <v>1</v>
      </c>
      <c r="B34">
        <f>IF($J34="","",INDEX($X$34:$X$220,MATCH($J34,$AF$34:$AF$220,0)))</f>
        <v/>
      </c>
      <c r="C34" s="93">
        <f>IF($J34="","",INDEX($Y$34:$Y$220,MATCH($J34,$AF$34:$AF$220,0)))</f>
        <v/>
      </c>
      <c r="D34" s="93">
        <f>IF($J34="","",INDEX($Z$34:$Z$220,MATCH($J34,$AF$34:$AF$220,0)))</f>
        <v/>
      </c>
      <c r="E34" s="93">
        <f>IF($J34="","",INDEX($AA$34:$AA$220,MATCH($J34,$AF$34:$AF$220,0)))</f>
        <v/>
      </c>
      <c r="F34" s="93">
        <f>IF($J34="","",INDEX($AB$34:$AB$220,MATCH($J34,$AF$34:$AF$220,0)))</f>
        <v/>
      </c>
      <c r="G34" s="93">
        <f>IF($J34="","",INDEX($AC$34:$AC$220,MATCH($J34,$AF$34:$AF$220,0)))</f>
        <v/>
      </c>
      <c r="H34" s="93">
        <f>IF($J34="","",INDEX($AD$34:$AD$220,MATCH($J34,$AF$34:$AF$220,0)))</f>
        <v/>
      </c>
      <c r="I34" s="93">
        <f>IF($J34="","",INDEX($AE$34:$AE$220,MATCH($J34,$AF$34:$AF$220,0)))</f>
        <v/>
      </c>
      <c r="J34" s="93">
        <f>IFERROR(LARGE($AF$34:$AF$220,1),"")</f>
        <v/>
      </c>
      <c r="M34">
        <f>IFERROR(INDEX(GERAL[PONTO],21),"")</f>
        <v/>
      </c>
      <c r="N34">
        <f>IF(M34="","",IFERROR(INDEX(GERAL[ACUMULADA],21),0))</f>
        <v/>
      </c>
      <c r="O34">
        <f>IF(N34="","",$B$11-N34)</f>
        <v/>
      </c>
      <c r="P34">
        <f>IF(N34="","",IF(N34*1.15&lt;=30,30,IF(N34*1.15&lt;=45,45,IF(N34*1.15&lt;=75,75,IF(N34*1.15&lt;=112.5,112.5,IF(N34*1.15&lt;=150,150,IF(N34*1.15&lt;=225,225,300)))))))</f>
        <v/>
      </c>
      <c r="Q34">
        <f>IF(P34="","",IFERROR(N34/P34,0))</f>
        <v/>
      </c>
      <c r="R34">
        <f>IF(M34="","",IFERROR(INDEX(Tabela7[QT %],MATCH(M34,Tabela7[PONTO],0)),0))</f>
        <v/>
      </c>
      <c r="S34">
        <f>IF(N34="","",IFERROR(1-ABS(N34-O34)/$B$11,0))</f>
        <v/>
      </c>
      <c r="T34">
        <f>IF(M34="","",IF($B$9&gt;$B$8,IFERROR((INDEX(GERAL[SNAP],21)-$B$8)/($B$9-$B$8),0),0))</f>
        <v/>
      </c>
      <c r="U34">
        <f>IF(OR(M34="",V34&lt;&gt;"ESQUERDO"),"",$L$2*IFERROR(N34/$B$11,0)+$L$3*IF($D$11&gt;0,IFERROR(R34/$D$11,0),0)+$L$4*IFERROR(S34,0)-$L$5*IFERROR(T34,0)-$L$6*MAX(0,IFERROR(Q34,0)-$L$7)+ROW()/1000000)</f>
        <v/>
      </c>
      <c r="V34">
        <f>IFERROR(INDEX(GERAL[LADO],21),"")</f>
        <v/>
      </c>
      <c r="X34">
        <f>IFERROR(INDEX(GERAL[PONTO],1),"")</f>
        <v/>
      </c>
      <c r="Y34">
        <f>IF(X34="","",IFERROR(INDEX(GERAL[ACUMULADA],1),0))</f>
        <v/>
      </c>
      <c r="Z34">
        <f>IF(Y34="","",$B$31-Y34)</f>
        <v/>
      </c>
      <c r="AA34">
        <f>IF(Y34="","",IF(Y34*1.15&lt;=30,30,IF(Y34*1.15&lt;=45,45,IF(Y34*1.15&lt;=75,75,IF(Y34*1.15&lt;=112.5,112.5,IF(Y34*1.15&lt;=150,150,IF(Y34*1.15&lt;=225,225,300)))))))</f>
        <v/>
      </c>
      <c r="AB34">
        <f>IF(AA34="","",IFERROR(Y34/AA34,0))</f>
        <v/>
      </c>
      <c r="AC34">
        <f>IF(X34="","",IFERROR(INDEX(DIR_ATUAL[QT %],MATCH(X34,DIR_ATUAL[PONTO],0)),0))</f>
        <v/>
      </c>
      <c r="AD34">
        <f>IF(Y34="","",IFERROR(1-ABS(Y34-Z34)/$B$31,0))</f>
        <v/>
      </c>
      <c r="AE34">
        <f>IF(X34="","",IF($E$9&gt;$E$8,IFERROR((INDEX(GERAL[SNAP],1)-$E$8)/($E$9-$E$8),0),0))</f>
        <v/>
      </c>
      <c r="AF34">
        <f>IF(OR(X34="",AG34&lt;&gt;"DIREITO"),"",$L$2*IFERROR(Y34/$B$31,0)+$L$3*IF($D$31&gt;0,IFERROR(AC34/$D$31,0),0)+$L$4*IFERROR(AD34,0)-$L$5*IFERROR(AE34,0)-$L$6*MAX(0,IFERROR(AB34,0)-$L$7)+ROW()/1000000)</f>
        <v/>
      </c>
      <c r="AG34">
        <f>IFERROR(INDEX(GERAL[LADO],1),"")</f>
        <v/>
      </c>
    </row>
    <row r="35">
      <c r="A35" t="n">
        <v>2</v>
      </c>
      <c r="B35">
        <f>IF($J35="","",INDEX($X$34:$X$220,MATCH($J35,$AF$34:$AF$220,0)))</f>
        <v/>
      </c>
      <c r="C35" s="93">
        <f>IF($J35="","",INDEX($Y$34:$Y$220,MATCH($J35,$AF$34:$AF$220,0)))</f>
        <v/>
      </c>
      <c r="D35" s="93">
        <f>IF($J35="","",INDEX($Z$34:$Z$220,MATCH($J35,$AF$34:$AF$220,0)))</f>
        <v/>
      </c>
      <c r="E35" s="93">
        <f>IF($J35="","",INDEX($AA$34:$AA$220,MATCH($J35,$AF$34:$AF$220,0)))</f>
        <v/>
      </c>
      <c r="F35" s="93">
        <f>IF($J35="","",INDEX($AB$34:$AB$220,MATCH($J35,$AF$34:$AF$220,0)))</f>
        <v/>
      </c>
      <c r="G35" s="93">
        <f>IF($J35="","",INDEX($AC$34:$AC$220,MATCH($J35,$AF$34:$AF$220,0)))</f>
        <v/>
      </c>
      <c r="H35" s="93">
        <f>IF($J35="","",INDEX($AD$34:$AD$220,MATCH($J35,$AF$34:$AF$220,0)))</f>
        <v/>
      </c>
      <c r="I35" s="93">
        <f>IF($J35="","",INDEX($AE$34:$AE$220,MATCH($J35,$AF$34:$AF$220,0)))</f>
        <v/>
      </c>
      <c r="J35" s="93">
        <f>IFERROR(LARGE($AF$34:$AF$220,2),"")</f>
        <v/>
      </c>
      <c r="M35">
        <f>IFERROR(INDEX(GERAL[PONTO],22),"")</f>
        <v/>
      </c>
      <c r="N35">
        <f>IF(M35="","",IFERROR(INDEX(GERAL[ACUMULADA],22),0))</f>
        <v/>
      </c>
      <c r="O35">
        <f>IF(N35="","",$B$11-N35)</f>
        <v/>
      </c>
      <c r="P35">
        <f>IF(N35="","",IF(N35*1.15&lt;=30,30,IF(N35*1.15&lt;=45,45,IF(N35*1.15&lt;=75,75,IF(N35*1.15&lt;=112.5,112.5,IF(N35*1.15&lt;=150,150,IF(N35*1.15&lt;=225,225,300)))))))</f>
        <v/>
      </c>
      <c r="Q35">
        <f>IF(P35="","",IFERROR(N35/P35,0))</f>
        <v/>
      </c>
      <c r="R35">
        <f>IF(M35="","",IFERROR(INDEX(Tabela7[QT %],MATCH(M35,Tabela7[PONTO],0)),0))</f>
        <v/>
      </c>
      <c r="S35">
        <f>IF(N35="","",IFERROR(1-ABS(N35-O35)/$B$11,0))</f>
        <v/>
      </c>
      <c r="T35">
        <f>IF(M35="","",IF($B$9&gt;$B$8,IFERROR((INDEX(GERAL[SNAP],22)-$B$8)/($B$9-$B$8),0),0))</f>
        <v/>
      </c>
      <c r="U35">
        <f>IF(OR(M35="",V35&lt;&gt;"ESQUERDO"),"",$L$2*IFERROR(N35/$B$11,0)+$L$3*IF($D$11&gt;0,IFERROR(R35/$D$11,0),0)+$L$4*IFERROR(S35,0)-$L$5*IFERROR(T35,0)-$L$6*MAX(0,IFERROR(Q35,0)-$L$7)+ROW()/1000000)</f>
        <v/>
      </c>
      <c r="V35">
        <f>IFERROR(INDEX(GERAL[LADO],22),"")</f>
        <v/>
      </c>
      <c r="X35">
        <f>IFERROR(INDEX(GERAL[PONTO],2),"")</f>
        <v/>
      </c>
      <c r="Y35">
        <f>IF(X35="","",IFERROR(INDEX(GERAL[ACUMULADA],2),0))</f>
        <v/>
      </c>
      <c r="Z35">
        <f>IF(Y35="","",$B$31-Y35)</f>
        <v/>
      </c>
      <c r="AA35">
        <f>IF(Y35="","",IF(Y35*1.15&lt;=30,30,IF(Y35*1.15&lt;=45,45,IF(Y35*1.15&lt;=75,75,IF(Y35*1.15&lt;=112.5,112.5,IF(Y35*1.15&lt;=150,150,IF(Y35*1.15&lt;=225,225,300)))))))</f>
        <v/>
      </c>
      <c r="AB35">
        <f>IF(AA35="","",IFERROR(Y35/AA35,0))</f>
        <v/>
      </c>
      <c r="AC35">
        <f>IF(X35="","",IFERROR(INDEX(DIR_ATUAL[QT %],MATCH(X35,DIR_ATUAL[PONTO],0)),0))</f>
        <v/>
      </c>
      <c r="AD35">
        <f>IF(Y35="","",IFERROR(1-ABS(Y35-Z35)/$B$31,0))</f>
        <v/>
      </c>
      <c r="AE35">
        <f>IF(X35="","",IF($E$9&gt;$E$8,IFERROR((INDEX(GERAL[SNAP],2)-$E$8)/($E$9-$E$8),0),0))</f>
        <v/>
      </c>
      <c r="AF35">
        <f>IF(OR(X35="",AG35&lt;&gt;"DIREITO"),"",$L$2*IFERROR(Y35/$B$31,0)+$L$3*IF($D$31&gt;0,IFERROR(AC35/$D$31,0),0)+$L$4*IFERROR(AD35,0)-$L$5*IFERROR(AE35,0)-$L$6*MAX(0,IFERROR(AB35,0)-$L$7)+ROW()/1000000)</f>
        <v/>
      </c>
      <c r="AG35">
        <f>IFERROR(INDEX(GERAL[LADO],2),"")</f>
        <v/>
      </c>
    </row>
    <row r="36">
      <c r="A36" t="n">
        <v>3</v>
      </c>
      <c r="B36">
        <f>IF($J36="","",INDEX($X$34:$X$220,MATCH($J36,$AF$34:$AF$220,0)))</f>
        <v/>
      </c>
      <c r="C36" s="93">
        <f>IF($J36="","",INDEX($Y$34:$Y$220,MATCH($J36,$AF$34:$AF$220,0)))</f>
        <v/>
      </c>
      <c r="D36" s="93">
        <f>IF($J36="","",INDEX($Z$34:$Z$220,MATCH($J36,$AF$34:$AF$220,0)))</f>
        <v/>
      </c>
      <c r="E36" s="93">
        <f>IF($J36="","",INDEX($AA$34:$AA$220,MATCH($J36,$AF$34:$AF$220,0)))</f>
        <v/>
      </c>
      <c r="F36" s="93">
        <f>IF($J36="","",INDEX($AB$34:$AB$220,MATCH($J36,$AF$34:$AF$220,0)))</f>
        <v/>
      </c>
      <c r="G36" s="93">
        <f>IF($J36="","",INDEX($AC$34:$AC$220,MATCH($J36,$AF$34:$AF$220,0)))</f>
        <v/>
      </c>
      <c r="H36" s="93">
        <f>IF($J36="","",INDEX($AD$34:$AD$220,MATCH($J36,$AF$34:$AF$220,0)))</f>
        <v/>
      </c>
      <c r="I36" s="93">
        <f>IF($J36="","",INDEX($AE$34:$AE$220,MATCH($J36,$AF$34:$AF$220,0)))</f>
        <v/>
      </c>
      <c r="J36" s="93">
        <f>IFERROR(LARGE($AF$34:$AF$220,3),"")</f>
        <v/>
      </c>
      <c r="M36">
        <f>IFERROR(INDEX(GERAL[PONTO],23),"")</f>
        <v/>
      </c>
      <c r="N36">
        <f>IF(M36="","",IFERROR(INDEX(GERAL[ACUMULADA],23),0))</f>
        <v/>
      </c>
      <c r="O36">
        <f>IF(N36="","",$B$11-N36)</f>
        <v/>
      </c>
      <c r="P36">
        <f>IF(N36="","",IF(N36*1.15&lt;=30,30,IF(N36*1.15&lt;=45,45,IF(N36*1.15&lt;=75,75,IF(N36*1.15&lt;=112.5,112.5,IF(N36*1.15&lt;=150,150,IF(N36*1.15&lt;=225,225,300)))))))</f>
        <v/>
      </c>
      <c r="Q36">
        <f>IF(P36="","",IFERROR(N36/P36,0))</f>
        <v/>
      </c>
      <c r="R36">
        <f>IF(M36="","",IFERROR(INDEX(Tabela7[QT %],MATCH(M36,Tabela7[PONTO],0)),0))</f>
        <v/>
      </c>
      <c r="S36">
        <f>IF(N36="","",IFERROR(1-ABS(N36-O36)/$B$11,0))</f>
        <v/>
      </c>
      <c r="T36">
        <f>IF(M36="","",IF($B$9&gt;$B$8,IFERROR((INDEX(GERAL[SNAP],23)-$B$8)/($B$9-$B$8),0),0))</f>
        <v/>
      </c>
      <c r="U36">
        <f>IF(OR(M36="",V36&lt;&gt;"ESQUERDO"),"",$L$2*IFERROR(N36/$B$11,0)+$L$3*IF($D$11&gt;0,IFERROR(R36/$D$11,0),0)+$L$4*IFERROR(S36,0)-$L$5*IFERROR(T36,0)-$L$6*MAX(0,IFERROR(Q36,0)-$L$7)+ROW()/1000000)</f>
        <v/>
      </c>
      <c r="V36">
        <f>IFERROR(INDEX(GERAL[LADO],23),"")</f>
        <v/>
      </c>
      <c r="X36">
        <f>IFERROR(INDEX(GERAL[PONTO],3),"")</f>
        <v/>
      </c>
      <c r="Y36">
        <f>IF(X36="","",IFERROR(INDEX(GERAL[ACUMULADA],3),0))</f>
        <v/>
      </c>
      <c r="Z36">
        <f>IF(Y36="","",$B$31-Y36)</f>
        <v/>
      </c>
      <c r="AA36">
        <f>IF(Y36="","",IF(Y36*1.15&lt;=30,30,IF(Y36*1.15&lt;=45,45,IF(Y36*1.15&lt;=75,75,IF(Y36*1.15&lt;=112.5,112.5,IF(Y36*1.15&lt;=150,150,IF(Y36*1.15&lt;=225,225,300)))))))</f>
        <v/>
      </c>
      <c r="AB36">
        <f>IF(AA36="","",IFERROR(Y36/AA36,0))</f>
        <v/>
      </c>
      <c r="AC36">
        <f>IF(X36="","",IFERROR(INDEX(DIR_ATUAL[QT %],MATCH(X36,DIR_ATUAL[PONTO],0)),0))</f>
        <v/>
      </c>
      <c r="AD36">
        <f>IF(Y36="","",IFERROR(1-ABS(Y36-Z36)/$B$31,0))</f>
        <v/>
      </c>
      <c r="AE36">
        <f>IF(X36="","",IF($E$9&gt;$E$8,IFERROR((INDEX(GERAL[SNAP],3)-$E$8)/($E$9-$E$8),0),0))</f>
        <v/>
      </c>
      <c r="AF36">
        <f>IF(OR(X36="",AG36&lt;&gt;"DIREITO"),"",$L$2*IFERROR(Y36/$B$31,0)+$L$3*IF($D$31&gt;0,IFERROR(AC36/$D$31,0),0)+$L$4*IFERROR(AD36,0)-$L$5*IFERROR(AE36,0)-$L$6*MAX(0,IFERROR(AB36,0)-$L$7)+ROW()/1000000)</f>
        <v/>
      </c>
      <c r="AG36">
        <f>IFERROR(INDEX(GERAL[LADO],3),"")</f>
        <v/>
      </c>
    </row>
    <row r="37">
      <c r="A37" t="n">
        <v>4</v>
      </c>
      <c r="B37">
        <f>IF($J37="","",INDEX($X$34:$X$220,MATCH($J37,$AF$34:$AF$220,0)))</f>
        <v/>
      </c>
      <c r="C37" s="93">
        <f>IF($J37="","",INDEX($Y$34:$Y$220,MATCH($J37,$AF$34:$AF$220,0)))</f>
        <v/>
      </c>
      <c r="D37" s="93">
        <f>IF($J37="","",INDEX($Z$34:$Z$220,MATCH($J37,$AF$34:$AF$220,0)))</f>
        <v/>
      </c>
      <c r="E37" s="93">
        <f>IF($J37="","",INDEX($AA$34:$AA$220,MATCH($J37,$AF$34:$AF$220,0)))</f>
        <v/>
      </c>
      <c r="F37" s="93">
        <f>IF($J37="","",INDEX($AB$34:$AB$220,MATCH($J37,$AF$34:$AF$220,0)))</f>
        <v/>
      </c>
      <c r="G37" s="93">
        <f>IF($J37="","",INDEX($AC$34:$AC$220,MATCH($J37,$AF$34:$AF$220,0)))</f>
        <v/>
      </c>
      <c r="H37" s="93">
        <f>IF($J37="","",INDEX($AD$34:$AD$220,MATCH($J37,$AF$34:$AF$220,0)))</f>
        <v/>
      </c>
      <c r="I37" s="93">
        <f>IF($J37="","",INDEX($AE$34:$AE$220,MATCH($J37,$AF$34:$AF$220,0)))</f>
        <v/>
      </c>
      <c r="J37" s="93">
        <f>IFERROR(LARGE($AF$34:$AF$220,4),"")</f>
        <v/>
      </c>
      <c r="M37">
        <f>IFERROR(INDEX(GERAL[PONTO],24),"")</f>
        <v/>
      </c>
      <c r="N37">
        <f>IF(M37="","",IFERROR(INDEX(GERAL[ACUMULADA],24),0))</f>
        <v/>
      </c>
      <c r="O37">
        <f>IF(N37="","",$B$11-N37)</f>
        <v/>
      </c>
      <c r="P37">
        <f>IF(N37="","",IF(N37*1.15&lt;=30,30,IF(N37*1.15&lt;=45,45,IF(N37*1.15&lt;=75,75,IF(N37*1.15&lt;=112.5,112.5,IF(N37*1.15&lt;=150,150,IF(N37*1.15&lt;=225,225,300)))))))</f>
        <v/>
      </c>
      <c r="Q37">
        <f>IF(P37="","",IFERROR(N37/P37,0))</f>
        <v/>
      </c>
      <c r="R37">
        <f>IF(M37="","",IFERROR(INDEX(Tabela7[QT %],MATCH(M37,Tabela7[PONTO],0)),0))</f>
        <v/>
      </c>
      <c r="S37">
        <f>IF(N37="","",IFERROR(1-ABS(N37-O37)/$B$11,0))</f>
        <v/>
      </c>
      <c r="T37">
        <f>IF(M37="","",IF($B$9&gt;$B$8,IFERROR((INDEX(GERAL[SNAP],24)-$B$8)/($B$9-$B$8),0),0))</f>
        <v/>
      </c>
      <c r="U37">
        <f>IF(OR(M37="",V37&lt;&gt;"ESQUERDO"),"",$L$2*IFERROR(N37/$B$11,0)+$L$3*IF($D$11&gt;0,IFERROR(R37/$D$11,0),0)+$L$4*IFERROR(S37,0)-$L$5*IFERROR(T37,0)-$L$6*MAX(0,IFERROR(Q37,0)-$L$7)+ROW()/1000000)</f>
        <v/>
      </c>
      <c r="V37">
        <f>IFERROR(INDEX(GERAL[LADO],24),"")</f>
        <v/>
      </c>
      <c r="X37">
        <f>IFERROR(INDEX(GERAL[PONTO],4),"")</f>
        <v/>
      </c>
      <c r="Y37">
        <f>IF(X37="","",IFERROR(INDEX(GERAL[ACUMULADA],4),0))</f>
        <v/>
      </c>
      <c r="Z37">
        <f>IF(Y37="","",$B$31-Y37)</f>
        <v/>
      </c>
      <c r="AA37">
        <f>IF(Y37="","",IF(Y37*1.15&lt;=30,30,IF(Y37*1.15&lt;=45,45,IF(Y37*1.15&lt;=75,75,IF(Y37*1.15&lt;=112.5,112.5,IF(Y37*1.15&lt;=150,150,IF(Y37*1.15&lt;=225,225,300)))))))</f>
        <v/>
      </c>
      <c r="AB37">
        <f>IF(AA37="","",IFERROR(Y37/AA37,0))</f>
        <v/>
      </c>
      <c r="AC37">
        <f>IF(X37="","",IFERROR(INDEX(DIR_ATUAL[QT %],MATCH(X37,DIR_ATUAL[PONTO],0)),0))</f>
        <v/>
      </c>
      <c r="AD37">
        <f>IF(Y37="","",IFERROR(1-ABS(Y37-Z37)/$B$31,0))</f>
        <v/>
      </c>
      <c r="AE37">
        <f>IF(X37="","",IF($E$9&gt;$E$8,IFERROR((INDEX(GERAL[SNAP],4)-$E$8)/($E$9-$E$8),0),0))</f>
        <v/>
      </c>
      <c r="AF37">
        <f>IF(OR(X37="",AG37&lt;&gt;"DIREITO"),"",$L$2*IFERROR(Y37/$B$31,0)+$L$3*IF($D$31&gt;0,IFERROR(AC37/$D$31,0),0)+$L$4*IFERROR(AD37,0)-$L$5*IFERROR(AE37,0)-$L$6*MAX(0,IFERROR(AB37,0)-$L$7)+ROW()/1000000)</f>
        <v/>
      </c>
      <c r="AG37">
        <f>IFERROR(INDEX(GERAL[LADO],4),"")</f>
        <v/>
      </c>
    </row>
    <row r="38">
      <c r="A38" t="n">
        <v>5</v>
      </c>
      <c r="B38">
        <f>IF($J38="","",INDEX($X$34:$X$220,MATCH($J38,$AF$34:$AF$220,0)))</f>
        <v/>
      </c>
      <c r="C38" s="93">
        <f>IF($J38="","",INDEX($Y$34:$Y$220,MATCH($J38,$AF$34:$AF$220,0)))</f>
        <v/>
      </c>
      <c r="D38" s="93">
        <f>IF($J38="","",INDEX($Z$34:$Z$220,MATCH($J38,$AF$34:$AF$220,0)))</f>
        <v/>
      </c>
      <c r="E38" s="93">
        <f>IF($J38="","",INDEX($AA$34:$AA$220,MATCH($J38,$AF$34:$AF$220,0)))</f>
        <v/>
      </c>
      <c r="F38" s="93">
        <f>IF($J38="","",INDEX($AB$34:$AB$220,MATCH($J38,$AF$34:$AF$220,0)))</f>
        <v/>
      </c>
      <c r="G38" s="93">
        <f>IF($J38="","",INDEX($AC$34:$AC$220,MATCH($J38,$AF$34:$AF$220,0)))</f>
        <v/>
      </c>
      <c r="H38" s="93">
        <f>IF($J38="","",INDEX($AD$34:$AD$220,MATCH($J38,$AF$34:$AF$220,0)))</f>
        <v/>
      </c>
      <c r="I38" s="93">
        <f>IF($J38="","",INDEX($AE$34:$AE$220,MATCH($J38,$AF$34:$AF$220,0)))</f>
        <v/>
      </c>
      <c r="J38" s="93">
        <f>IFERROR(LARGE($AF$34:$AF$220,5),"")</f>
        <v/>
      </c>
      <c r="M38">
        <f>IFERROR(INDEX(GERAL[PONTO],25),"")</f>
        <v/>
      </c>
      <c r="N38">
        <f>IF(M38="","",IFERROR(INDEX(GERAL[ACUMULADA],25),0))</f>
        <v/>
      </c>
      <c r="O38">
        <f>IF(N38="","",$B$11-N38)</f>
        <v/>
      </c>
      <c r="P38">
        <f>IF(N38="","",IF(N38*1.15&lt;=30,30,IF(N38*1.15&lt;=45,45,IF(N38*1.15&lt;=75,75,IF(N38*1.15&lt;=112.5,112.5,IF(N38*1.15&lt;=150,150,IF(N38*1.15&lt;=225,225,300)))))))</f>
        <v/>
      </c>
      <c r="Q38">
        <f>IF(P38="","",IFERROR(N38/P38,0))</f>
        <v/>
      </c>
      <c r="R38">
        <f>IF(M38="","",IFERROR(INDEX(Tabela7[QT %],MATCH(M38,Tabela7[PONTO],0)),0))</f>
        <v/>
      </c>
      <c r="S38">
        <f>IF(N38="","",IFERROR(1-ABS(N38-O38)/$B$11,0))</f>
        <v/>
      </c>
      <c r="T38">
        <f>IF(M38="","",IF($B$9&gt;$B$8,IFERROR((INDEX(GERAL[SNAP],25)-$B$8)/($B$9-$B$8),0),0))</f>
        <v/>
      </c>
      <c r="U38">
        <f>IF(OR(M38="",V38&lt;&gt;"ESQUERDO"),"",$L$2*IFERROR(N38/$B$11,0)+$L$3*IF($D$11&gt;0,IFERROR(R38/$D$11,0),0)+$L$4*IFERROR(S38,0)-$L$5*IFERROR(T38,0)-$L$6*MAX(0,IFERROR(Q38,0)-$L$7)+ROW()/1000000)</f>
        <v/>
      </c>
      <c r="V38">
        <f>IFERROR(INDEX(GERAL[LADO],25),"")</f>
        <v/>
      </c>
      <c r="X38">
        <f>IFERROR(INDEX(GERAL[PONTO],5),"")</f>
        <v/>
      </c>
      <c r="Y38">
        <f>IF(X38="","",IFERROR(INDEX(GERAL[ACUMULADA],5),0))</f>
        <v/>
      </c>
      <c r="Z38">
        <f>IF(Y38="","",$B$31-Y38)</f>
        <v/>
      </c>
      <c r="AA38">
        <f>IF(Y38="","",IF(Y38*1.15&lt;=30,30,IF(Y38*1.15&lt;=45,45,IF(Y38*1.15&lt;=75,75,IF(Y38*1.15&lt;=112.5,112.5,IF(Y38*1.15&lt;=150,150,IF(Y38*1.15&lt;=225,225,300)))))))</f>
        <v/>
      </c>
      <c r="AB38">
        <f>IF(AA38="","",IFERROR(Y38/AA38,0))</f>
        <v/>
      </c>
      <c r="AC38">
        <f>IF(X38="","",IFERROR(INDEX(DIR_ATUAL[QT %],MATCH(X38,DIR_ATUAL[PONTO],0)),0))</f>
        <v/>
      </c>
      <c r="AD38">
        <f>IF(Y38="","",IFERROR(1-ABS(Y38-Z38)/$B$31,0))</f>
        <v/>
      </c>
      <c r="AE38">
        <f>IF(X38="","",IF($E$9&gt;$E$8,IFERROR((INDEX(GERAL[SNAP],5)-$E$8)/($E$9-$E$8),0),0))</f>
        <v/>
      </c>
      <c r="AF38">
        <f>IF(OR(X38="",AG38&lt;&gt;"DIREITO"),"",$L$2*IFERROR(Y38/$B$31,0)+$L$3*IF($D$31&gt;0,IFERROR(AC38/$D$31,0),0)+$L$4*IFERROR(AD38,0)-$L$5*IFERROR(AE38,0)-$L$6*MAX(0,IFERROR(AB38,0)-$L$7)+ROW()/1000000)</f>
        <v/>
      </c>
      <c r="AG38">
        <f>IFERROR(INDEX(GERAL[LADO],5),"")</f>
        <v/>
      </c>
    </row>
    <row r="39">
      <c r="A39" t="n">
        <v>6</v>
      </c>
      <c r="B39">
        <f>IF($J39="","",INDEX($X$34:$X$220,MATCH($J39,$AF$34:$AF$220,0)))</f>
        <v/>
      </c>
      <c r="C39" s="93">
        <f>IF($J39="","",INDEX($Y$34:$Y$220,MATCH($J39,$AF$34:$AF$220,0)))</f>
        <v/>
      </c>
      <c r="D39" s="93">
        <f>IF($J39="","",INDEX($Z$34:$Z$220,MATCH($J39,$AF$34:$AF$220,0)))</f>
        <v/>
      </c>
      <c r="E39" s="93">
        <f>IF($J39="","",INDEX($AA$34:$AA$220,MATCH($J39,$AF$34:$AF$220,0)))</f>
        <v/>
      </c>
      <c r="F39" s="93">
        <f>IF($J39="","",INDEX($AB$34:$AB$220,MATCH($J39,$AF$34:$AF$220,0)))</f>
        <v/>
      </c>
      <c r="G39" s="93">
        <f>IF($J39="","",INDEX($AC$34:$AC$220,MATCH($J39,$AF$34:$AF$220,0)))</f>
        <v/>
      </c>
      <c r="H39" s="93">
        <f>IF($J39="","",INDEX($AD$34:$AD$220,MATCH($J39,$AF$34:$AF$220,0)))</f>
        <v/>
      </c>
      <c r="I39" s="93">
        <f>IF($J39="","",INDEX($AE$34:$AE$220,MATCH($J39,$AF$34:$AF$220,0)))</f>
        <v/>
      </c>
      <c r="J39" s="93">
        <f>IFERROR(LARGE($AF$34:$AF$220,6),"")</f>
        <v/>
      </c>
      <c r="M39">
        <f>IFERROR(INDEX(GERAL[PONTO],26),"")</f>
        <v/>
      </c>
      <c r="N39">
        <f>IF(M39="","",IFERROR(INDEX(GERAL[ACUMULADA],26),0))</f>
        <v/>
      </c>
      <c r="O39">
        <f>IF(N39="","",$B$11-N39)</f>
        <v/>
      </c>
      <c r="P39">
        <f>IF(N39="","",IF(N39*1.15&lt;=30,30,IF(N39*1.15&lt;=45,45,IF(N39*1.15&lt;=75,75,IF(N39*1.15&lt;=112.5,112.5,IF(N39*1.15&lt;=150,150,IF(N39*1.15&lt;=225,225,300)))))))</f>
        <v/>
      </c>
      <c r="Q39">
        <f>IF(P39="","",IFERROR(N39/P39,0))</f>
        <v/>
      </c>
      <c r="R39">
        <f>IF(M39="","",IFERROR(INDEX(Tabela7[QT %],MATCH(M39,Tabela7[PONTO],0)),0))</f>
        <v/>
      </c>
      <c r="S39">
        <f>IF(N39="","",IFERROR(1-ABS(N39-O39)/$B$11,0))</f>
        <v/>
      </c>
      <c r="T39">
        <f>IF(M39="","",IF($B$9&gt;$B$8,IFERROR((INDEX(GERAL[SNAP],26)-$B$8)/($B$9-$B$8),0),0))</f>
        <v/>
      </c>
      <c r="U39">
        <f>IF(OR(M39="",V39&lt;&gt;"ESQUERDO"),"",$L$2*IFERROR(N39/$B$11,0)+$L$3*IF($D$11&gt;0,IFERROR(R39/$D$11,0),0)+$L$4*IFERROR(S39,0)-$L$5*IFERROR(T39,0)-$L$6*MAX(0,IFERROR(Q39,0)-$L$7)+ROW()/1000000)</f>
        <v/>
      </c>
      <c r="V39">
        <f>IFERROR(INDEX(GERAL[LADO],26),"")</f>
        <v/>
      </c>
      <c r="X39">
        <f>IFERROR(INDEX(GERAL[PONTO],6),"")</f>
        <v/>
      </c>
      <c r="Y39">
        <f>IF(X39="","",IFERROR(INDEX(GERAL[ACUMULADA],6),0))</f>
        <v/>
      </c>
      <c r="Z39">
        <f>IF(Y39="","",$B$31-Y39)</f>
        <v/>
      </c>
      <c r="AA39">
        <f>IF(Y39="","",IF(Y39*1.15&lt;=30,30,IF(Y39*1.15&lt;=45,45,IF(Y39*1.15&lt;=75,75,IF(Y39*1.15&lt;=112.5,112.5,IF(Y39*1.15&lt;=150,150,IF(Y39*1.15&lt;=225,225,300)))))))</f>
        <v/>
      </c>
      <c r="AB39">
        <f>IF(AA39="","",IFERROR(Y39/AA39,0))</f>
        <v/>
      </c>
      <c r="AC39">
        <f>IF(X39="","",IFERROR(INDEX(DIR_ATUAL[QT %],MATCH(X39,DIR_ATUAL[PONTO],0)),0))</f>
        <v/>
      </c>
      <c r="AD39">
        <f>IF(Y39="","",IFERROR(1-ABS(Y39-Z39)/$B$31,0))</f>
        <v/>
      </c>
      <c r="AE39">
        <f>IF(X39="","",IF($E$9&gt;$E$8,IFERROR((INDEX(GERAL[SNAP],6)-$E$8)/($E$9-$E$8),0),0))</f>
        <v/>
      </c>
      <c r="AF39">
        <f>IF(OR(X39="",AG39&lt;&gt;"DIREITO"),"",$L$2*IFERROR(Y39/$B$31,0)+$L$3*IF($D$31&gt;0,IFERROR(AC39/$D$31,0),0)+$L$4*IFERROR(AD39,0)-$L$5*IFERROR(AE39,0)-$L$6*MAX(0,IFERROR(AB39,0)-$L$7)+ROW()/1000000)</f>
        <v/>
      </c>
      <c r="AG39">
        <f>IFERROR(INDEX(GERAL[LADO],6),"")</f>
        <v/>
      </c>
    </row>
    <row r="40">
      <c r="A40" t="n">
        <v>7</v>
      </c>
      <c r="B40">
        <f>IF($J40="","",INDEX($X$34:$X$220,MATCH($J40,$AF$34:$AF$220,0)))</f>
        <v/>
      </c>
      <c r="C40" s="93">
        <f>IF($J40="","",INDEX($Y$34:$Y$220,MATCH($J40,$AF$34:$AF$220,0)))</f>
        <v/>
      </c>
      <c r="D40" s="93">
        <f>IF($J40="","",INDEX($Z$34:$Z$220,MATCH($J40,$AF$34:$AF$220,0)))</f>
        <v/>
      </c>
      <c r="E40" s="93">
        <f>IF($J40="","",INDEX($AA$34:$AA$220,MATCH($J40,$AF$34:$AF$220,0)))</f>
        <v/>
      </c>
      <c r="F40" s="93">
        <f>IF($J40="","",INDEX($AB$34:$AB$220,MATCH($J40,$AF$34:$AF$220,0)))</f>
        <v/>
      </c>
      <c r="G40" s="93">
        <f>IF($J40="","",INDEX($AC$34:$AC$220,MATCH($J40,$AF$34:$AF$220,0)))</f>
        <v/>
      </c>
      <c r="H40" s="93">
        <f>IF($J40="","",INDEX($AD$34:$AD$220,MATCH($J40,$AF$34:$AF$220,0)))</f>
        <v/>
      </c>
      <c r="I40" s="93">
        <f>IF($J40="","",INDEX($AE$34:$AE$220,MATCH($J40,$AF$34:$AF$220,0)))</f>
        <v/>
      </c>
      <c r="J40" s="93">
        <f>IFERROR(LARGE($AF$34:$AF$220,7),"")</f>
        <v/>
      </c>
      <c r="M40">
        <f>IFERROR(INDEX(GERAL[PONTO],27),"")</f>
        <v/>
      </c>
      <c r="N40">
        <f>IF(M40="","",IFERROR(INDEX(GERAL[ACUMULADA],27),0))</f>
        <v/>
      </c>
      <c r="O40">
        <f>IF(N40="","",$B$11-N40)</f>
        <v/>
      </c>
      <c r="P40">
        <f>IF(N40="","",IF(N40*1.15&lt;=30,30,IF(N40*1.15&lt;=45,45,IF(N40*1.15&lt;=75,75,IF(N40*1.15&lt;=112.5,112.5,IF(N40*1.15&lt;=150,150,IF(N40*1.15&lt;=225,225,300)))))))</f>
        <v/>
      </c>
      <c r="Q40">
        <f>IF(P40="","",IFERROR(N40/P40,0))</f>
        <v/>
      </c>
      <c r="R40">
        <f>IF(M40="","",IFERROR(INDEX(Tabela7[QT %],MATCH(M40,Tabela7[PONTO],0)),0))</f>
        <v/>
      </c>
      <c r="S40">
        <f>IF(N40="","",IFERROR(1-ABS(N40-O40)/$B$11,0))</f>
        <v/>
      </c>
      <c r="T40">
        <f>IF(M40="","",IF($B$9&gt;$B$8,IFERROR((INDEX(GERAL[SNAP],27)-$B$8)/($B$9-$B$8),0),0))</f>
        <v/>
      </c>
      <c r="U40">
        <f>IF(OR(M40="",V40&lt;&gt;"ESQUERDO"),"",$L$2*IFERROR(N40/$B$11,0)+$L$3*IF($D$11&gt;0,IFERROR(R40/$D$11,0),0)+$L$4*IFERROR(S40,0)-$L$5*IFERROR(T40,0)-$L$6*MAX(0,IFERROR(Q40,0)-$L$7)+ROW()/1000000)</f>
        <v/>
      </c>
      <c r="V40">
        <f>IFERROR(INDEX(GERAL[LADO],27),"")</f>
        <v/>
      </c>
      <c r="X40">
        <f>IFERROR(INDEX(GERAL[PONTO],7),"")</f>
        <v/>
      </c>
      <c r="Y40">
        <f>IF(X40="","",IFERROR(INDEX(GERAL[ACUMULADA],7),0))</f>
        <v/>
      </c>
      <c r="Z40">
        <f>IF(Y40="","",$B$31-Y40)</f>
        <v/>
      </c>
      <c r="AA40">
        <f>IF(Y40="","",IF(Y40*1.15&lt;=30,30,IF(Y40*1.15&lt;=45,45,IF(Y40*1.15&lt;=75,75,IF(Y40*1.15&lt;=112.5,112.5,IF(Y40*1.15&lt;=150,150,IF(Y40*1.15&lt;=225,225,300)))))))</f>
        <v/>
      </c>
      <c r="AB40">
        <f>IF(AA40="","",IFERROR(Y40/AA40,0))</f>
        <v/>
      </c>
      <c r="AC40">
        <f>IF(X40="","",IFERROR(INDEX(DIR_ATUAL[QT %],MATCH(X40,DIR_ATUAL[PONTO],0)),0))</f>
        <v/>
      </c>
      <c r="AD40">
        <f>IF(Y40="","",IFERROR(1-ABS(Y40-Z40)/$B$31,0))</f>
        <v/>
      </c>
      <c r="AE40">
        <f>IF(X40="","",IF($E$9&gt;$E$8,IFERROR((INDEX(GERAL[SNAP],7)-$E$8)/($E$9-$E$8),0),0))</f>
        <v/>
      </c>
      <c r="AF40">
        <f>IF(OR(X40="",AG40&lt;&gt;"DIREITO"),"",$L$2*IFERROR(Y40/$B$31,0)+$L$3*IF($D$31&gt;0,IFERROR(AC40/$D$31,0),0)+$L$4*IFERROR(AD40,0)-$L$5*IFERROR(AE40,0)-$L$6*MAX(0,IFERROR(AB40,0)-$L$7)+ROW()/1000000)</f>
        <v/>
      </c>
      <c r="AG40">
        <f>IFERROR(INDEX(GERAL[LADO],7),"")</f>
        <v/>
      </c>
    </row>
    <row r="41">
      <c r="A41" t="n">
        <v>8</v>
      </c>
      <c r="B41">
        <f>IF($J41="","",INDEX($X$34:$X$220,MATCH($J41,$AF$34:$AF$220,0)))</f>
        <v/>
      </c>
      <c r="C41" s="93">
        <f>IF($J41="","",INDEX($Y$34:$Y$220,MATCH($J41,$AF$34:$AF$220,0)))</f>
        <v/>
      </c>
      <c r="D41" s="93">
        <f>IF($J41="","",INDEX($Z$34:$Z$220,MATCH($J41,$AF$34:$AF$220,0)))</f>
        <v/>
      </c>
      <c r="E41" s="93">
        <f>IF($J41="","",INDEX($AA$34:$AA$220,MATCH($J41,$AF$34:$AF$220,0)))</f>
        <v/>
      </c>
      <c r="F41" s="93">
        <f>IF($J41="","",INDEX($AB$34:$AB$220,MATCH($J41,$AF$34:$AF$220,0)))</f>
        <v/>
      </c>
      <c r="G41" s="93">
        <f>IF($J41="","",INDEX($AC$34:$AC$220,MATCH($J41,$AF$34:$AF$220,0)))</f>
        <v/>
      </c>
      <c r="H41" s="93">
        <f>IF($J41="","",INDEX($AD$34:$AD$220,MATCH($J41,$AF$34:$AF$220,0)))</f>
        <v/>
      </c>
      <c r="I41" s="93">
        <f>IF($J41="","",INDEX($AE$34:$AE$220,MATCH($J41,$AF$34:$AF$220,0)))</f>
        <v/>
      </c>
      <c r="J41" s="93">
        <f>IFERROR(LARGE($AF$34:$AF$220,8),"")</f>
        <v/>
      </c>
      <c r="M41">
        <f>IFERROR(INDEX(GERAL[PONTO],28),"")</f>
        <v/>
      </c>
      <c r="N41">
        <f>IF(M41="","",IFERROR(INDEX(GERAL[ACUMULADA],28),0))</f>
        <v/>
      </c>
      <c r="O41">
        <f>IF(N41="","",$B$11-N41)</f>
        <v/>
      </c>
      <c r="P41">
        <f>IF(N41="","",IF(N41*1.15&lt;=30,30,IF(N41*1.15&lt;=45,45,IF(N41*1.15&lt;=75,75,IF(N41*1.15&lt;=112.5,112.5,IF(N41*1.15&lt;=150,150,IF(N41*1.15&lt;=225,225,300)))))))</f>
        <v/>
      </c>
      <c r="Q41">
        <f>IF(P41="","",IFERROR(N41/P41,0))</f>
        <v/>
      </c>
      <c r="R41">
        <f>IF(M41="","",IFERROR(INDEX(Tabela7[QT %],MATCH(M41,Tabela7[PONTO],0)),0))</f>
        <v/>
      </c>
      <c r="S41">
        <f>IF(N41="","",IFERROR(1-ABS(N41-O41)/$B$11,0))</f>
        <v/>
      </c>
      <c r="T41">
        <f>IF(M41="","",IF($B$9&gt;$B$8,IFERROR((INDEX(GERAL[SNAP],28)-$B$8)/($B$9-$B$8),0),0))</f>
        <v/>
      </c>
      <c r="U41">
        <f>IF(OR(M41="",V41&lt;&gt;"ESQUERDO"),"",$L$2*IFERROR(N41/$B$11,0)+$L$3*IF($D$11&gt;0,IFERROR(R41/$D$11,0),0)+$L$4*IFERROR(S41,0)-$L$5*IFERROR(T41,0)-$L$6*MAX(0,IFERROR(Q41,0)-$L$7)+ROW()/1000000)</f>
        <v/>
      </c>
      <c r="V41">
        <f>IFERROR(INDEX(GERAL[LADO],28),"")</f>
        <v/>
      </c>
      <c r="X41">
        <f>IFERROR(INDEX(GERAL[PONTO],8),"")</f>
        <v/>
      </c>
      <c r="Y41">
        <f>IF(X41="","",IFERROR(INDEX(GERAL[ACUMULADA],8),0))</f>
        <v/>
      </c>
      <c r="Z41">
        <f>IF(Y41="","",$B$31-Y41)</f>
        <v/>
      </c>
      <c r="AA41">
        <f>IF(Y41="","",IF(Y41*1.15&lt;=30,30,IF(Y41*1.15&lt;=45,45,IF(Y41*1.15&lt;=75,75,IF(Y41*1.15&lt;=112.5,112.5,IF(Y41*1.15&lt;=150,150,IF(Y41*1.15&lt;=225,225,300)))))))</f>
        <v/>
      </c>
      <c r="AB41">
        <f>IF(AA41="","",IFERROR(Y41/AA41,0))</f>
        <v/>
      </c>
      <c r="AC41">
        <f>IF(X41="","",IFERROR(INDEX(DIR_ATUAL[QT %],MATCH(X41,DIR_ATUAL[PONTO],0)),0))</f>
        <v/>
      </c>
      <c r="AD41">
        <f>IF(Y41="","",IFERROR(1-ABS(Y41-Z41)/$B$31,0))</f>
        <v/>
      </c>
      <c r="AE41">
        <f>IF(X41="","",IF($E$9&gt;$E$8,IFERROR((INDEX(GERAL[SNAP],8)-$E$8)/($E$9-$E$8),0),0))</f>
        <v/>
      </c>
      <c r="AF41">
        <f>IF(OR(X41="",AG41&lt;&gt;"DIREITO"),"",$L$2*IFERROR(Y41/$B$31,0)+$L$3*IF($D$31&gt;0,IFERROR(AC41/$D$31,0),0)+$L$4*IFERROR(AD41,0)-$L$5*IFERROR(AE41,0)-$L$6*MAX(0,IFERROR(AB41,0)-$L$7)+ROW()/1000000)</f>
        <v/>
      </c>
      <c r="AG41">
        <f>IFERROR(INDEX(GERAL[LADO],8),"")</f>
        <v/>
      </c>
    </row>
    <row r="42">
      <c r="A42" t="n">
        <v>9</v>
      </c>
      <c r="B42">
        <f>IF($J42="","",INDEX($X$34:$X$220,MATCH($J42,$AF$34:$AF$220,0)))</f>
        <v/>
      </c>
      <c r="C42" s="93">
        <f>IF($J42="","",INDEX($Y$34:$Y$220,MATCH($J42,$AF$34:$AF$220,0)))</f>
        <v/>
      </c>
      <c r="D42" s="93">
        <f>IF($J42="","",INDEX($Z$34:$Z$220,MATCH($J42,$AF$34:$AF$220,0)))</f>
        <v/>
      </c>
      <c r="E42" s="93">
        <f>IF($J42="","",INDEX($AA$34:$AA$220,MATCH($J42,$AF$34:$AF$220,0)))</f>
        <v/>
      </c>
      <c r="F42" s="93">
        <f>IF($J42="","",INDEX($AB$34:$AB$220,MATCH($J42,$AF$34:$AF$220,0)))</f>
        <v/>
      </c>
      <c r="G42" s="93">
        <f>IF($J42="","",INDEX($AC$34:$AC$220,MATCH($J42,$AF$34:$AF$220,0)))</f>
        <v/>
      </c>
      <c r="H42" s="93">
        <f>IF($J42="","",INDEX($AD$34:$AD$220,MATCH($J42,$AF$34:$AF$220,0)))</f>
        <v/>
      </c>
      <c r="I42" s="93">
        <f>IF($J42="","",INDEX($AE$34:$AE$220,MATCH($J42,$AF$34:$AF$220,0)))</f>
        <v/>
      </c>
      <c r="J42" s="93">
        <f>IFERROR(LARGE($AF$34:$AF$220,9),"")</f>
        <v/>
      </c>
      <c r="M42">
        <f>IFERROR(INDEX(GERAL[PONTO],29),"")</f>
        <v/>
      </c>
      <c r="N42">
        <f>IF(M42="","",IFERROR(INDEX(GERAL[ACUMULADA],29),0))</f>
        <v/>
      </c>
      <c r="O42">
        <f>IF(N42="","",$B$11-N42)</f>
        <v/>
      </c>
      <c r="P42">
        <f>IF(N42="","",IF(N42*1.15&lt;=30,30,IF(N42*1.15&lt;=45,45,IF(N42*1.15&lt;=75,75,IF(N42*1.15&lt;=112.5,112.5,IF(N42*1.15&lt;=150,150,IF(N42*1.15&lt;=225,225,300)))))))</f>
        <v/>
      </c>
      <c r="Q42">
        <f>IF(P42="","",IFERROR(N42/P42,0))</f>
        <v/>
      </c>
      <c r="R42">
        <f>IF(M42="","",IFERROR(INDEX(Tabela7[QT %],MATCH(M42,Tabela7[PONTO],0)),0))</f>
        <v/>
      </c>
      <c r="S42">
        <f>IF(N42="","",IFERROR(1-ABS(N42-O42)/$B$11,0))</f>
        <v/>
      </c>
      <c r="T42">
        <f>IF(M42="","",IF($B$9&gt;$B$8,IFERROR((INDEX(GERAL[SNAP],29)-$B$8)/($B$9-$B$8),0),0))</f>
        <v/>
      </c>
      <c r="U42">
        <f>IF(OR(M42="",V42&lt;&gt;"ESQUERDO"),"",$L$2*IFERROR(N42/$B$11,0)+$L$3*IF($D$11&gt;0,IFERROR(R42/$D$11,0),0)+$L$4*IFERROR(S42,0)-$L$5*IFERROR(T42,0)-$L$6*MAX(0,IFERROR(Q42,0)-$L$7)+ROW()/1000000)</f>
        <v/>
      </c>
      <c r="V42">
        <f>IFERROR(INDEX(GERAL[LADO],29),"")</f>
        <v/>
      </c>
      <c r="X42">
        <f>IFERROR(INDEX(GERAL[PONTO],9),"")</f>
        <v/>
      </c>
      <c r="Y42">
        <f>IF(X42="","",IFERROR(INDEX(GERAL[ACUMULADA],9),0))</f>
        <v/>
      </c>
      <c r="Z42">
        <f>IF(Y42="","",$B$31-Y42)</f>
        <v/>
      </c>
      <c r="AA42">
        <f>IF(Y42="","",IF(Y42*1.15&lt;=30,30,IF(Y42*1.15&lt;=45,45,IF(Y42*1.15&lt;=75,75,IF(Y42*1.15&lt;=112.5,112.5,IF(Y42*1.15&lt;=150,150,IF(Y42*1.15&lt;=225,225,300)))))))</f>
        <v/>
      </c>
      <c r="AB42">
        <f>IF(AA42="","",IFERROR(Y42/AA42,0))</f>
        <v/>
      </c>
      <c r="AC42">
        <f>IF(X42="","",IFERROR(INDEX(DIR_ATUAL[QT %],MATCH(X42,DIR_ATUAL[PONTO],0)),0))</f>
        <v/>
      </c>
      <c r="AD42">
        <f>IF(Y42="","",IFERROR(1-ABS(Y42-Z42)/$B$31,0))</f>
        <v/>
      </c>
      <c r="AE42">
        <f>IF(X42="","",IF($E$9&gt;$E$8,IFERROR((INDEX(GERAL[SNAP],9)-$E$8)/($E$9-$E$8),0),0))</f>
        <v/>
      </c>
      <c r="AF42">
        <f>IF(OR(X42="",AG42&lt;&gt;"DIREITO"),"",$L$2*IFERROR(Y42/$B$31,0)+$L$3*IF($D$31&gt;0,IFERROR(AC42/$D$31,0),0)+$L$4*IFERROR(AD42,0)-$L$5*IFERROR(AE42,0)-$L$6*MAX(0,IFERROR(AB42,0)-$L$7)+ROW()/1000000)</f>
        <v/>
      </c>
      <c r="AG42">
        <f>IFERROR(INDEX(GERAL[LADO],9),"")</f>
        <v/>
      </c>
    </row>
    <row r="43">
      <c r="A43" t="n">
        <v>10</v>
      </c>
      <c r="B43">
        <f>IF($J43="","",INDEX($X$34:$X$220,MATCH($J43,$AF$34:$AF$220,0)))</f>
        <v/>
      </c>
      <c r="C43" s="93">
        <f>IF($J43="","",INDEX($Y$34:$Y$220,MATCH($J43,$AF$34:$AF$220,0)))</f>
        <v/>
      </c>
      <c r="D43" s="93">
        <f>IF($J43="","",INDEX($Z$34:$Z$220,MATCH($J43,$AF$34:$AF$220,0)))</f>
        <v/>
      </c>
      <c r="E43" s="93">
        <f>IF($J43="","",INDEX($AA$34:$AA$220,MATCH($J43,$AF$34:$AF$220,0)))</f>
        <v/>
      </c>
      <c r="F43" s="93">
        <f>IF($J43="","",INDEX($AB$34:$AB$220,MATCH($J43,$AF$34:$AF$220,0)))</f>
        <v/>
      </c>
      <c r="G43" s="93">
        <f>IF($J43="","",INDEX($AC$34:$AC$220,MATCH($J43,$AF$34:$AF$220,0)))</f>
        <v/>
      </c>
      <c r="H43" s="93">
        <f>IF($J43="","",INDEX($AD$34:$AD$220,MATCH($J43,$AF$34:$AF$220,0)))</f>
        <v/>
      </c>
      <c r="I43" s="93">
        <f>IF($J43="","",INDEX($AE$34:$AE$220,MATCH($J43,$AF$34:$AF$220,0)))</f>
        <v/>
      </c>
      <c r="J43" s="93">
        <f>IFERROR(LARGE($AF$34:$AF$220,10),"")</f>
        <v/>
      </c>
      <c r="M43">
        <f>IFERROR(INDEX(GERAL[PONTO],30),"")</f>
        <v/>
      </c>
      <c r="N43">
        <f>IF(M43="","",IFERROR(INDEX(GERAL[ACUMULADA],30),0))</f>
        <v/>
      </c>
      <c r="O43">
        <f>IF(N43="","",$B$11-N43)</f>
        <v/>
      </c>
      <c r="P43">
        <f>IF(N43="","",IF(N43*1.15&lt;=30,30,IF(N43*1.15&lt;=45,45,IF(N43*1.15&lt;=75,75,IF(N43*1.15&lt;=112.5,112.5,IF(N43*1.15&lt;=150,150,IF(N43*1.15&lt;=225,225,300)))))))</f>
        <v/>
      </c>
      <c r="Q43">
        <f>IF(P43="","",IFERROR(N43/P43,0))</f>
        <v/>
      </c>
      <c r="R43">
        <f>IF(M43="","",IFERROR(INDEX(Tabela7[QT %],MATCH(M43,Tabela7[PONTO],0)),0))</f>
        <v/>
      </c>
      <c r="S43">
        <f>IF(N43="","",IFERROR(1-ABS(N43-O43)/$B$11,0))</f>
        <v/>
      </c>
      <c r="T43">
        <f>IF(M43="","",IF($B$9&gt;$B$8,IFERROR((INDEX(GERAL[SNAP],30)-$B$8)/($B$9-$B$8),0),0))</f>
        <v/>
      </c>
      <c r="U43">
        <f>IF(OR(M43="",V43&lt;&gt;"ESQUERDO"),"",$L$2*IFERROR(N43/$B$11,0)+$L$3*IF($D$11&gt;0,IFERROR(R43/$D$11,0),0)+$L$4*IFERROR(S43,0)-$L$5*IFERROR(T43,0)-$L$6*MAX(0,IFERROR(Q43,0)-$L$7)+ROW()/1000000)</f>
        <v/>
      </c>
      <c r="V43">
        <f>IFERROR(INDEX(GERAL[LADO],30),"")</f>
        <v/>
      </c>
      <c r="X43">
        <f>IFERROR(INDEX(GERAL[PONTO],10),"")</f>
        <v/>
      </c>
      <c r="Y43">
        <f>IF(X43="","",IFERROR(INDEX(GERAL[ACUMULADA],10),0))</f>
        <v/>
      </c>
      <c r="Z43">
        <f>IF(Y43="","",$B$31-Y43)</f>
        <v/>
      </c>
      <c r="AA43">
        <f>IF(Y43="","",IF(Y43*1.15&lt;=30,30,IF(Y43*1.15&lt;=45,45,IF(Y43*1.15&lt;=75,75,IF(Y43*1.15&lt;=112.5,112.5,IF(Y43*1.15&lt;=150,150,IF(Y43*1.15&lt;=225,225,300)))))))</f>
        <v/>
      </c>
      <c r="AB43">
        <f>IF(AA43="","",IFERROR(Y43/AA43,0))</f>
        <v/>
      </c>
      <c r="AC43">
        <f>IF(X43="","",IFERROR(INDEX(DIR_ATUAL[QT %],MATCH(X43,DIR_ATUAL[PONTO],0)),0))</f>
        <v/>
      </c>
      <c r="AD43">
        <f>IF(Y43="","",IFERROR(1-ABS(Y43-Z43)/$B$31,0))</f>
        <v/>
      </c>
      <c r="AE43">
        <f>IF(X43="","",IF($E$9&gt;$E$8,IFERROR((INDEX(GERAL[SNAP],10)-$E$8)/($E$9-$E$8),0),0))</f>
        <v/>
      </c>
      <c r="AF43">
        <f>IF(OR(X43="",AG43&lt;&gt;"DIREITO"),"",$L$2*IFERROR(Y43/$B$31,0)+$L$3*IF($D$31&gt;0,IFERROR(AC43/$D$31,0),0)+$L$4*IFERROR(AD43,0)-$L$5*IFERROR(AE43,0)-$L$6*MAX(0,IFERROR(AB43,0)-$L$7)+ROW()/1000000)</f>
        <v/>
      </c>
      <c r="AG43">
        <f>IFERROR(INDEX(GERAL[LADO],10),"")</f>
        <v/>
      </c>
    </row>
    <row r="44">
      <c r="A44" t="n">
        <v>11</v>
      </c>
      <c r="B44">
        <f>IF($J44="","",INDEX($X$34:$X$220,MATCH($J44,$AF$34:$AF$220,0)))</f>
        <v/>
      </c>
      <c r="C44" s="93">
        <f>IF($J44="","",INDEX($Y$34:$Y$220,MATCH($J44,$AF$34:$AF$220,0)))</f>
        <v/>
      </c>
      <c r="D44" s="93">
        <f>IF($J44="","",INDEX($Z$34:$Z$220,MATCH($J44,$AF$34:$AF$220,0)))</f>
        <v/>
      </c>
      <c r="E44" s="93">
        <f>IF($J44="","",INDEX($AA$34:$AA$220,MATCH($J44,$AF$34:$AF$220,0)))</f>
        <v/>
      </c>
      <c r="F44" s="93">
        <f>IF($J44="","",INDEX($AB$34:$AB$220,MATCH($J44,$AF$34:$AF$220,0)))</f>
        <v/>
      </c>
      <c r="G44" s="93">
        <f>IF($J44="","",INDEX($AC$34:$AC$220,MATCH($J44,$AF$34:$AF$220,0)))</f>
        <v/>
      </c>
      <c r="H44" s="93">
        <f>IF($J44="","",INDEX($AD$34:$AD$220,MATCH($J44,$AF$34:$AF$220,0)))</f>
        <v/>
      </c>
      <c r="I44" s="93">
        <f>IF($J44="","",INDEX($AE$34:$AE$220,MATCH($J44,$AF$34:$AF$220,0)))</f>
        <v/>
      </c>
      <c r="J44" s="93">
        <f>IFERROR(LARGE($AF$34:$AF$220,11),"")</f>
        <v/>
      </c>
      <c r="M44">
        <f>IFERROR(INDEX(GERAL[PONTO],31),"")</f>
        <v/>
      </c>
      <c r="N44">
        <f>IF(M44="","",IFERROR(INDEX(GERAL[ACUMULADA],31),0))</f>
        <v/>
      </c>
      <c r="O44">
        <f>IF(N44="","",$B$11-N44)</f>
        <v/>
      </c>
      <c r="P44">
        <f>IF(N44="","",IF(N44*1.15&lt;=30,30,IF(N44*1.15&lt;=45,45,IF(N44*1.15&lt;=75,75,IF(N44*1.15&lt;=112.5,112.5,IF(N44*1.15&lt;=150,150,IF(N44*1.15&lt;=225,225,300)))))))</f>
        <v/>
      </c>
      <c r="Q44">
        <f>IF(P44="","",IFERROR(N44/P44,0))</f>
        <v/>
      </c>
      <c r="R44">
        <f>IF(M44="","",IFERROR(INDEX(Tabela7[QT %],MATCH(M44,Tabela7[PONTO],0)),0))</f>
        <v/>
      </c>
      <c r="S44">
        <f>IF(N44="","",IFERROR(1-ABS(N44-O44)/$B$11,0))</f>
        <v/>
      </c>
      <c r="T44">
        <f>IF(M44="","",IF($B$9&gt;$B$8,IFERROR((INDEX(GERAL[SNAP],31)-$B$8)/($B$9-$B$8),0),0))</f>
        <v/>
      </c>
      <c r="U44">
        <f>IF(OR(M44="",V44&lt;&gt;"ESQUERDO"),"",$L$2*IFERROR(N44/$B$11,0)+$L$3*IF($D$11&gt;0,IFERROR(R44/$D$11,0),0)+$L$4*IFERROR(S44,0)-$L$5*IFERROR(T44,0)-$L$6*MAX(0,IFERROR(Q44,0)-$L$7)+ROW()/1000000)</f>
        <v/>
      </c>
      <c r="V44">
        <f>IFERROR(INDEX(GERAL[LADO],31),"")</f>
        <v/>
      </c>
      <c r="X44">
        <f>IFERROR(INDEX(GERAL[PONTO],11),"")</f>
        <v/>
      </c>
      <c r="Y44">
        <f>IF(X44="","",IFERROR(INDEX(GERAL[ACUMULADA],11),0))</f>
        <v/>
      </c>
      <c r="Z44">
        <f>IF(Y44="","",$B$31-Y44)</f>
        <v/>
      </c>
      <c r="AA44">
        <f>IF(Y44="","",IF(Y44*1.15&lt;=30,30,IF(Y44*1.15&lt;=45,45,IF(Y44*1.15&lt;=75,75,IF(Y44*1.15&lt;=112.5,112.5,IF(Y44*1.15&lt;=150,150,IF(Y44*1.15&lt;=225,225,300)))))))</f>
        <v/>
      </c>
      <c r="AB44">
        <f>IF(AA44="","",IFERROR(Y44/AA44,0))</f>
        <v/>
      </c>
      <c r="AC44">
        <f>IF(X44="","",IFERROR(INDEX(DIR_ATUAL[QT %],MATCH(X44,DIR_ATUAL[PONTO],0)),0))</f>
        <v/>
      </c>
      <c r="AD44">
        <f>IF(Y44="","",IFERROR(1-ABS(Y44-Z44)/$B$31,0))</f>
        <v/>
      </c>
      <c r="AE44">
        <f>IF(X44="","",IF($E$9&gt;$E$8,IFERROR((INDEX(GERAL[SNAP],11)-$E$8)/($E$9-$E$8),0),0))</f>
        <v/>
      </c>
      <c r="AF44">
        <f>IF(OR(X44="",AG44&lt;&gt;"DIREITO"),"",$L$2*IFERROR(Y44/$B$31,0)+$L$3*IF($D$31&gt;0,IFERROR(AC44/$D$31,0),0)+$L$4*IFERROR(AD44,0)-$L$5*IFERROR(AE44,0)-$L$6*MAX(0,IFERROR(AB44,0)-$L$7)+ROW()/1000000)</f>
        <v/>
      </c>
      <c r="AG44">
        <f>IFERROR(INDEX(GERAL[LADO],11),"")</f>
        <v/>
      </c>
    </row>
    <row r="45">
      <c r="A45" t="n">
        <v>12</v>
      </c>
      <c r="B45">
        <f>IF($J45="","",INDEX($X$34:$X$220,MATCH($J45,$AF$34:$AF$220,0)))</f>
        <v/>
      </c>
      <c r="C45" s="93">
        <f>IF($J45="","",INDEX($Y$34:$Y$220,MATCH($J45,$AF$34:$AF$220,0)))</f>
        <v/>
      </c>
      <c r="D45" s="93">
        <f>IF($J45="","",INDEX($Z$34:$Z$220,MATCH($J45,$AF$34:$AF$220,0)))</f>
        <v/>
      </c>
      <c r="E45" s="93">
        <f>IF($J45="","",INDEX($AA$34:$AA$220,MATCH($J45,$AF$34:$AF$220,0)))</f>
        <v/>
      </c>
      <c r="F45" s="93">
        <f>IF($J45="","",INDEX($AB$34:$AB$220,MATCH($J45,$AF$34:$AF$220,0)))</f>
        <v/>
      </c>
      <c r="G45" s="93">
        <f>IF($J45="","",INDEX($AC$34:$AC$220,MATCH($J45,$AF$34:$AF$220,0)))</f>
        <v/>
      </c>
      <c r="H45" s="93">
        <f>IF($J45="","",INDEX($AD$34:$AD$220,MATCH($J45,$AF$34:$AF$220,0)))</f>
        <v/>
      </c>
      <c r="I45" s="93">
        <f>IF($J45="","",INDEX($AE$34:$AE$220,MATCH($J45,$AF$34:$AF$220,0)))</f>
        <v/>
      </c>
      <c r="J45" s="93">
        <f>IFERROR(LARGE($AF$34:$AF$220,12),"")</f>
        <v/>
      </c>
      <c r="M45">
        <f>IFERROR(INDEX(GERAL[PONTO],32),"")</f>
        <v/>
      </c>
      <c r="N45">
        <f>IF(M45="","",IFERROR(INDEX(GERAL[ACUMULADA],32),0))</f>
        <v/>
      </c>
      <c r="O45">
        <f>IF(N45="","",$B$11-N45)</f>
        <v/>
      </c>
      <c r="P45">
        <f>IF(N45="","",IF(N45*1.15&lt;=30,30,IF(N45*1.15&lt;=45,45,IF(N45*1.15&lt;=75,75,IF(N45*1.15&lt;=112.5,112.5,IF(N45*1.15&lt;=150,150,IF(N45*1.15&lt;=225,225,300)))))))</f>
        <v/>
      </c>
      <c r="Q45">
        <f>IF(P45="","",IFERROR(N45/P45,0))</f>
        <v/>
      </c>
      <c r="R45">
        <f>IF(M45="","",IFERROR(INDEX(Tabela7[QT %],MATCH(M45,Tabela7[PONTO],0)),0))</f>
        <v/>
      </c>
      <c r="S45">
        <f>IF(N45="","",IFERROR(1-ABS(N45-O45)/$B$11,0))</f>
        <v/>
      </c>
      <c r="T45">
        <f>IF(M45="","",IF($B$9&gt;$B$8,IFERROR((INDEX(GERAL[SNAP],32)-$B$8)/($B$9-$B$8),0),0))</f>
        <v/>
      </c>
      <c r="U45">
        <f>IF(OR(M45="",V45&lt;&gt;"ESQUERDO"),"",$L$2*IFERROR(N45/$B$11,0)+$L$3*IF($D$11&gt;0,IFERROR(R45/$D$11,0),0)+$L$4*IFERROR(S45,0)-$L$5*IFERROR(T45,0)-$L$6*MAX(0,IFERROR(Q45,0)-$L$7)+ROW()/1000000)</f>
        <v/>
      </c>
      <c r="V45">
        <f>IFERROR(INDEX(GERAL[LADO],32),"")</f>
        <v/>
      </c>
      <c r="X45">
        <f>IFERROR(INDEX(GERAL[PONTO],12),"")</f>
        <v/>
      </c>
      <c r="Y45">
        <f>IF(X45="","",IFERROR(INDEX(GERAL[ACUMULADA],12),0))</f>
        <v/>
      </c>
      <c r="Z45">
        <f>IF(Y45="","",$B$31-Y45)</f>
        <v/>
      </c>
      <c r="AA45">
        <f>IF(Y45="","",IF(Y45*1.15&lt;=30,30,IF(Y45*1.15&lt;=45,45,IF(Y45*1.15&lt;=75,75,IF(Y45*1.15&lt;=112.5,112.5,IF(Y45*1.15&lt;=150,150,IF(Y45*1.15&lt;=225,225,300)))))))</f>
        <v/>
      </c>
      <c r="AB45">
        <f>IF(AA45="","",IFERROR(Y45/AA45,0))</f>
        <v/>
      </c>
      <c r="AC45">
        <f>IF(X45="","",IFERROR(INDEX(DIR_ATUAL[QT %],MATCH(X45,DIR_ATUAL[PONTO],0)),0))</f>
        <v/>
      </c>
      <c r="AD45">
        <f>IF(Y45="","",IFERROR(1-ABS(Y45-Z45)/$B$31,0))</f>
        <v/>
      </c>
      <c r="AE45">
        <f>IF(X45="","",IF($E$9&gt;$E$8,IFERROR((INDEX(GERAL[SNAP],12)-$E$8)/($E$9-$E$8),0),0))</f>
        <v/>
      </c>
      <c r="AF45">
        <f>IF(OR(X45="",AG45&lt;&gt;"DIREITO"),"",$L$2*IFERROR(Y45/$B$31,0)+$L$3*IF($D$31&gt;0,IFERROR(AC45/$D$31,0),0)+$L$4*IFERROR(AD45,0)-$L$5*IFERROR(AE45,0)-$L$6*MAX(0,IFERROR(AB45,0)-$L$7)+ROW()/1000000)</f>
        <v/>
      </c>
      <c r="AG45">
        <f>IFERROR(INDEX(GERAL[LADO],12),"")</f>
        <v/>
      </c>
    </row>
    <row r="46">
      <c r="M46">
        <f>IFERROR(INDEX(GERAL[PONTO],33),"")</f>
        <v/>
      </c>
      <c r="N46">
        <f>IF(M46="","",IFERROR(INDEX(GERAL[ACUMULADA],33),0))</f>
        <v/>
      </c>
      <c r="O46">
        <f>IF(N46="","",$B$11-N46)</f>
        <v/>
      </c>
      <c r="P46">
        <f>IF(N46="","",IF(N46*1.15&lt;=30,30,IF(N46*1.15&lt;=45,45,IF(N46*1.15&lt;=75,75,IF(N46*1.15&lt;=112.5,112.5,IF(N46*1.15&lt;=150,150,IF(N46*1.15&lt;=225,225,300)))))))</f>
        <v/>
      </c>
      <c r="Q46">
        <f>IF(P46="","",IFERROR(N46/P46,0))</f>
        <v/>
      </c>
      <c r="R46">
        <f>IF(M46="","",IFERROR(INDEX(Tabela7[QT %],MATCH(M46,Tabela7[PONTO],0)),0))</f>
        <v/>
      </c>
      <c r="S46">
        <f>IF(N46="","",IFERROR(1-ABS(N46-O46)/$B$11,0))</f>
        <v/>
      </c>
      <c r="T46">
        <f>IF(M46="","",IF($B$9&gt;$B$8,IFERROR((INDEX(GERAL[SNAP],33)-$B$8)/($B$9-$B$8),0),0))</f>
        <v/>
      </c>
      <c r="U46">
        <f>IF(OR(M46="",V46&lt;&gt;"ESQUERDO"),"",$L$2*IFERROR(N46/$B$11,0)+$L$3*IF($D$11&gt;0,IFERROR(R46/$D$11,0),0)+$L$4*IFERROR(S46,0)-$L$5*IFERROR(T46,0)-$L$6*MAX(0,IFERROR(Q46,0)-$L$7)+ROW()/1000000)</f>
        <v/>
      </c>
      <c r="V46">
        <f>IFERROR(INDEX(GERAL[LADO],33),"")</f>
        <v/>
      </c>
      <c r="X46">
        <f>IFERROR(INDEX(GERAL[PONTO],13),"")</f>
        <v/>
      </c>
      <c r="Y46">
        <f>IF(X46="","",IFERROR(INDEX(GERAL[ACUMULADA],13),0))</f>
        <v/>
      </c>
      <c r="Z46">
        <f>IF(Y46="","",$B$31-Y46)</f>
        <v/>
      </c>
      <c r="AA46">
        <f>IF(Y46="","",IF(Y46*1.15&lt;=30,30,IF(Y46*1.15&lt;=45,45,IF(Y46*1.15&lt;=75,75,IF(Y46*1.15&lt;=112.5,112.5,IF(Y46*1.15&lt;=150,150,IF(Y46*1.15&lt;=225,225,300)))))))</f>
        <v/>
      </c>
      <c r="AB46">
        <f>IF(AA46="","",IFERROR(Y46/AA46,0))</f>
        <v/>
      </c>
      <c r="AC46">
        <f>IF(X46="","",IFERROR(INDEX(DIR_ATUAL[QT %],MATCH(X46,DIR_ATUAL[PONTO],0)),0))</f>
        <v/>
      </c>
      <c r="AD46">
        <f>IF(Y46="","",IFERROR(1-ABS(Y46-Z46)/$B$31,0))</f>
        <v/>
      </c>
      <c r="AE46">
        <f>IF(X46="","",IF($E$9&gt;$E$8,IFERROR((INDEX(GERAL[SNAP],13)-$E$8)/($E$9-$E$8),0),0))</f>
        <v/>
      </c>
      <c r="AF46">
        <f>IF(OR(X46="",AG46&lt;&gt;"DIREITO"),"",$L$2*IFERROR(Y46/$B$31,0)+$L$3*IF($D$31&gt;0,IFERROR(AC46/$D$31,0),0)+$L$4*IFERROR(AD46,0)-$L$5*IFERROR(AE46,0)-$L$6*MAX(0,IFERROR(AB46,0)-$L$7)+ROW()/1000000)</f>
        <v/>
      </c>
      <c r="AG46">
        <f>IFERROR(INDEX(GERAL[LADO],13),"")</f>
        <v/>
      </c>
    </row>
    <row r="47">
      <c r="M47">
        <f>IFERROR(INDEX(GERAL[PONTO],34),"")</f>
        <v/>
      </c>
      <c r="N47">
        <f>IF(M47="","",IFERROR(INDEX(GERAL[ACUMULADA],34),0))</f>
        <v/>
      </c>
      <c r="O47">
        <f>IF(N47="","",$B$11-N47)</f>
        <v/>
      </c>
      <c r="P47">
        <f>IF(N47="","",IF(N47*1.15&lt;=30,30,IF(N47*1.15&lt;=45,45,IF(N47*1.15&lt;=75,75,IF(N47*1.15&lt;=112.5,112.5,IF(N47*1.15&lt;=150,150,IF(N47*1.15&lt;=225,225,300)))))))</f>
        <v/>
      </c>
      <c r="Q47">
        <f>IF(P47="","",IFERROR(N47/P47,0))</f>
        <v/>
      </c>
      <c r="R47">
        <f>IF(M47="","",IFERROR(INDEX(Tabela7[QT %],MATCH(M47,Tabela7[PONTO],0)),0))</f>
        <v/>
      </c>
      <c r="S47">
        <f>IF(N47="","",IFERROR(1-ABS(N47-O47)/$B$11,0))</f>
        <v/>
      </c>
      <c r="T47">
        <f>IF(M47="","",IF($B$9&gt;$B$8,IFERROR((INDEX(GERAL[SNAP],34)-$B$8)/($B$9-$B$8),0),0))</f>
        <v/>
      </c>
      <c r="U47">
        <f>IF(OR(M47="",V47&lt;&gt;"ESQUERDO"),"",$L$2*IFERROR(N47/$B$11,0)+$L$3*IF($D$11&gt;0,IFERROR(R47/$D$11,0),0)+$L$4*IFERROR(S47,0)-$L$5*IFERROR(T47,0)-$L$6*MAX(0,IFERROR(Q47,0)-$L$7)+ROW()/1000000)</f>
        <v/>
      </c>
      <c r="V47">
        <f>IFERROR(INDEX(GERAL[LADO],34),"")</f>
        <v/>
      </c>
      <c r="X47">
        <f>IFERROR(INDEX(GERAL[PONTO],14),"")</f>
        <v/>
      </c>
      <c r="Y47">
        <f>IF(X47="","",IFERROR(INDEX(GERAL[ACUMULADA],14),0))</f>
        <v/>
      </c>
      <c r="Z47">
        <f>IF(Y47="","",$B$31-Y47)</f>
        <v/>
      </c>
      <c r="AA47">
        <f>IF(Y47="","",IF(Y47*1.15&lt;=30,30,IF(Y47*1.15&lt;=45,45,IF(Y47*1.15&lt;=75,75,IF(Y47*1.15&lt;=112.5,112.5,IF(Y47*1.15&lt;=150,150,IF(Y47*1.15&lt;=225,225,300)))))))</f>
        <v/>
      </c>
      <c r="AB47">
        <f>IF(AA47="","",IFERROR(Y47/AA47,0))</f>
        <v/>
      </c>
      <c r="AC47">
        <f>IF(X47="","",IFERROR(INDEX(DIR_ATUAL[QT %],MATCH(X47,DIR_ATUAL[PONTO],0)),0))</f>
        <v/>
      </c>
      <c r="AD47">
        <f>IF(Y47="","",IFERROR(1-ABS(Y47-Z47)/$B$31,0))</f>
        <v/>
      </c>
      <c r="AE47">
        <f>IF(X47="","",IF($E$9&gt;$E$8,IFERROR((INDEX(GERAL[SNAP],14)-$E$8)/($E$9-$E$8),0),0))</f>
        <v/>
      </c>
      <c r="AF47">
        <f>IF(OR(X47="",AG47&lt;&gt;"DIREITO"),"",$L$2*IFERROR(Y47/$B$31,0)+$L$3*IF($D$31&gt;0,IFERROR(AC47/$D$31,0),0)+$L$4*IFERROR(AD47,0)-$L$5*IFERROR(AE47,0)-$L$6*MAX(0,IFERROR(AB47,0)-$L$7)+ROW()/1000000)</f>
        <v/>
      </c>
      <c r="AG47">
        <f>IFERROR(INDEX(GERAL[LADO],14),"")</f>
        <v/>
      </c>
    </row>
    <row r="48">
      <c r="M48">
        <f>IFERROR(INDEX(GERAL[PONTO],35),"")</f>
        <v/>
      </c>
      <c r="N48">
        <f>IF(M48="","",IFERROR(INDEX(GERAL[ACUMULADA],35),0))</f>
        <v/>
      </c>
      <c r="O48">
        <f>IF(N48="","",$B$11-N48)</f>
        <v/>
      </c>
      <c r="P48">
        <f>IF(N48="","",IF(N48*1.15&lt;=30,30,IF(N48*1.15&lt;=45,45,IF(N48*1.15&lt;=75,75,IF(N48*1.15&lt;=112.5,112.5,IF(N48*1.15&lt;=150,150,IF(N48*1.15&lt;=225,225,300)))))))</f>
        <v/>
      </c>
      <c r="Q48">
        <f>IF(P48="","",IFERROR(N48/P48,0))</f>
        <v/>
      </c>
      <c r="R48">
        <f>IF(M48="","",IFERROR(INDEX(Tabela7[QT %],MATCH(M48,Tabela7[PONTO],0)),0))</f>
        <v/>
      </c>
      <c r="S48">
        <f>IF(N48="","",IFERROR(1-ABS(N48-O48)/$B$11,0))</f>
        <v/>
      </c>
      <c r="T48">
        <f>IF(M48="","",IF($B$9&gt;$B$8,IFERROR((INDEX(GERAL[SNAP],35)-$B$8)/($B$9-$B$8),0),0))</f>
        <v/>
      </c>
      <c r="U48">
        <f>IF(OR(M48="",V48&lt;&gt;"ESQUERDO"),"",$L$2*IFERROR(N48/$B$11,0)+$L$3*IF($D$11&gt;0,IFERROR(R48/$D$11,0),0)+$L$4*IFERROR(S48,0)-$L$5*IFERROR(T48,0)-$L$6*MAX(0,IFERROR(Q48,0)-$L$7)+ROW()/1000000)</f>
        <v/>
      </c>
      <c r="V48">
        <f>IFERROR(INDEX(GERAL[LADO],35),"")</f>
        <v/>
      </c>
      <c r="X48">
        <f>IFERROR(INDEX(GERAL[PONTO],15),"")</f>
        <v/>
      </c>
      <c r="Y48">
        <f>IF(X48="","",IFERROR(INDEX(GERAL[ACUMULADA],15),0))</f>
        <v/>
      </c>
      <c r="Z48">
        <f>IF(Y48="","",$B$31-Y48)</f>
        <v/>
      </c>
      <c r="AA48">
        <f>IF(Y48="","",IF(Y48*1.15&lt;=30,30,IF(Y48*1.15&lt;=45,45,IF(Y48*1.15&lt;=75,75,IF(Y48*1.15&lt;=112.5,112.5,IF(Y48*1.15&lt;=150,150,IF(Y48*1.15&lt;=225,225,300)))))))</f>
        <v/>
      </c>
      <c r="AB48">
        <f>IF(AA48="","",IFERROR(Y48/AA48,0))</f>
        <v/>
      </c>
      <c r="AC48">
        <f>IF(X48="","",IFERROR(INDEX(DIR_ATUAL[QT %],MATCH(X48,DIR_ATUAL[PONTO],0)),0))</f>
        <v/>
      </c>
      <c r="AD48">
        <f>IF(Y48="","",IFERROR(1-ABS(Y48-Z48)/$B$31,0))</f>
        <v/>
      </c>
      <c r="AE48">
        <f>IF(X48="","",IF($E$9&gt;$E$8,IFERROR((INDEX(GERAL[SNAP],15)-$E$8)/($E$9-$E$8),0),0))</f>
        <v/>
      </c>
      <c r="AF48">
        <f>IF(OR(X48="",AG48&lt;&gt;"DIREITO"),"",$L$2*IFERROR(Y48/$B$31,0)+$L$3*IF($D$31&gt;0,IFERROR(AC48/$D$31,0),0)+$L$4*IFERROR(AD48,0)-$L$5*IFERROR(AE48,0)-$L$6*MAX(0,IFERROR(AB48,0)-$L$7)+ROW()/1000000)</f>
        <v/>
      </c>
      <c r="AG48">
        <f>IFERROR(INDEX(GERAL[LADO],15),"")</f>
        <v/>
      </c>
    </row>
    <row r="49">
      <c r="M49">
        <f>IFERROR(INDEX(GERAL[PONTO],36),"")</f>
        <v/>
      </c>
      <c r="N49">
        <f>IF(M49="","",IFERROR(INDEX(GERAL[ACUMULADA],36),0))</f>
        <v/>
      </c>
      <c r="O49">
        <f>IF(N49="","",$B$11-N49)</f>
        <v/>
      </c>
      <c r="P49">
        <f>IF(N49="","",IF(N49*1.15&lt;=30,30,IF(N49*1.15&lt;=45,45,IF(N49*1.15&lt;=75,75,IF(N49*1.15&lt;=112.5,112.5,IF(N49*1.15&lt;=150,150,IF(N49*1.15&lt;=225,225,300)))))))</f>
        <v/>
      </c>
      <c r="Q49">
        <f>IF(P49="","",IFERROR(N49/P49,0))</f>
        <v/>
      </c>
      <c r="R49">
        <f>IF(M49="","",IFERROR(INDEX(Tabela7[QT %],MATCH(M49,Tabela7[PONTO],0)),0))</f>
        <v/>
      </c>
      <c r="S49">
        <f>IF(N49="","",IFERROR(1-ABS(N49-O49)/$B$11,0))</f>
        <v/>
      </c>
      <c r="T49">
        <f>IF(M49="","",IF($B$9&gt;$B$8,IFERROR((INDEX(GERAL[SNAP],36)-$B$8)/($B$9-$B$8),0),0))</f>
        <v/>
      </c>
      <c r="U49">
        <f>IF(OR(M49="",V49&lt;&gt;"ESQUERDO"),"",$L$2*IFERROR(N49/$B$11,0)+$L$3*IF($D$11&gt;0,IFERROR(R49/$D$11,0),0)+$L$4*IFERROR(S49,0)-$L$5*IFERROR(T49,0)-$L$6*MAX(0,IFERROR(Q49,0)-$L$7)+ROW()/1000000)</f>
        <v/>
      </c>
      <c r="V49">
        <f>IFERROR(INDEX(GERAL[LADO],36),"")</f>
        <v/>
      </c>
      <c r="X49">
        <f>IFERROR(INDEX(GERAL[PONTO],16),"")</f>
        <v/>
      </c>
      <c r="Y49">
        <f>IF(X49="","",IFERROR(INDEX(GERAL[ACUMULADA],16),0))</f>
        <v/>
      </c>
      <c r="Z49">
        <f>IF(Y49="","",$B$31-Y49)</f>
        <v/>
      </c>
      <c r="AA49">
        <f>IF(Y49="","",IF(Y49*1.15&lt;=30,30,IF(Y49*1.15&lt;=45,45,IF(Y49*1.15&lt;=75,75,IF(Y49*1.15&lt;=112.5,112.5,IF(Y49*1.15&lt;=150,150,IF(Y49*1.15&lt;=225,225,300)))))))</f>
        <v/>
      </c>
      <c r="AB49">
        <f>IF(AA49="","",IFERROR(Y49/AA49,0))</f>
        <v/>
      </c>
      <c r="AC49">
        <f>IF(X49="","",IFERROR(INDEX(DIR_ATUAL[QT %],MATCH(X49,DIR_ATUAL[PONTO],0)),0))</f>
        <v/>
      </c>
      <c r="AD49">
        <f>IF(Y49="","",IFERROR(1-ABS(Y49-Z49)/$B$31,0))</f>
        <v/>
      </c>
      <c r="AE49">
        <f>IF(X49="","",IF($E$9&gt;$E$8,IFERROR((INDEX(GERAL[SNAP],16)-$E$8)/($E$9-$E$8),0),0))</f>
        <v/>
      </c>
      <c r="AF49">
        <f>IF(OR(X49="",AG49&lt;&gt;"DIREITO"),"",$L$2*IFERROR(Y49/$B$31,0)+$L$3*IF($D$31&gt;0,IFERROR(AC49/$D$31,0),0)+$L$4*IFERROR(AD49,0)-$L$5*IFERROR(AE49,0)-$L$6*MAX(0,IFERROR(AB49,0)-$L$7)+ROW()/1000000)</f>
        <v/>
      </c>
      <c r="AG49">
        <f>IFERROR(INDEX(GERAL[LADO],16),"")</f>
        <v/>
      </c>
    </row>
    <row r="50">
      <c r="M50">
        <f>IFERROR(INDEX(GERAL[PONTO],37),"")</f>
        <v/>
      </c>
      <c r="N50">
        <f>IF(M50="","",IFERROR(INDEX(GERAL[ACUMULADA],37),0))</f>
        <v/>
      </c>
      <c r="O50">
        <f>IF(N50="","",$B$11-N50)</f>
        <v/>
      </c>
      <c r="P50">
        <f>IF(N50="","",IF(N50*1.15&lt;=30,30,IF(N50*1.15&lt;=45,45,IF(N50*1.15&lt;=75,75,IF(N50*1.15&lt;=112.5,112.5,IF(N50*1.15&lt;=150,150,IF(N50*1.15&lt;=225,225,300)))))))</f>
        <v/>
      </c>
      <c r="Q50">
        <f>IF(P50="","",IFERROR(N50/P50,0))</f>
        <v/>
      </c>
      <c r="R50">
        <f>IF(M50="","",IFERROR(INDEX(Tabela7[QT %],MATCH(M50,Tabela7[PONTO],0)),0))</f>
        <v/>
      </c>
      <c r="S50">
        <f>IF(N50="","",IFERROR(1-ABS(N50-O50)/$B$11,0))</f>
        <v/>
      </c>
      <c r="T50">
        <f>IF(M50="","",IF($B$9&gt;$B$8,IFERROR((INDEX(GERAL[SNAP],37)-$B$8)/($B$9-$B$8),0),0))</f>
        <v/>
      </c>
      <c r="U50">
        <f>IF(OR(M50="",V50&lt;&gt;"ESQUERDO"),"",$L$2*IFERROR(N50/$B$11,0)+$L$3*IF($D$11&gt;0,IFERROR(R50/$D$11,0),0)+$L$4*IFERROR(S50,0)-$L$5*IFERROR(T50,0)-$L$6*MAX(0,IFERROR(Q50,0)-$L$7)+ROW()/1000000)</f>
        <v/>
      </c>
      <c r="V50">
        <f>IFERROR(INDEX(GERAL[LADO],37),"")</f>
        <v/>
      </c>
      <c r="X50">
        <f>IFERROR(INDEX(GERAL[PONTO],17),"")</f>
        <v/>
      </c>
      <c r="Y50">
        <f>IF(X50="","",IFERROR(INDEX(GERAL[ACUMULADA],17),0))</f>
        <v/>
      </c>
      <c r="Z50">
        <f>IF(Y50="","",$B$31-Y50)</f>
        <v/>
      </c>
      <c r="AA50">
        <f>IF(Y50="","",IF(Y50*1.15&lt;=30,30,IF(Y50*1.15&lt;=45,45,IF(Y50*1.15&lt;=75,75,IF(Y50*1.15&lt;=112.5,112.5,IF(Y50*1.15&lt;=150,150,IF(Y50*1.15&lt;=225,225,300)))))))</f>
        <v/>
      </c>
      <c r="AB50">
        <f>IF(AA50="","",IFERROR(Y50/AA50,0))</f>
        <v/>
      </c>
      <c r="AC50">
        <f>IF(X50="","",IFERROR(INDEX(DIR_ATUAL[QT %],MATCH(X50,DIR_ATUAL[PONTO],0)),0))</f>
        <v/>
      </c>
      <c r="AD50">
        <f>IF(Y50="","",IFERROR(1-ABS(Y50-Z50)/$B$31,0))</f>
        <v/>
      </c>
      <c r="AE50">
        <f>IF(X50="","",IF($E$9&gt;$E$8,IFERROR((INDEX(GERAL[SNAP],17)-$E$8)/($E$9-$E$8),0),0))</f>
        <v/>
      </c>
      <c r="AF50">
        <f>IF(OR(X50="",AG50&lt;&gt;"DIREITO"),"",$L$2*IFERROR(Y50/$B$31,0)+$L$3*IF($D$31&gt;0,IFERROR(AC50/$D$31,0),0)+$L$4*IFERROR(AD50,0)-$L$5*IFERROR(AE50,0)-$L$6*MAX(0,IFERROR(AB50,0)-$L$7)+ROW()/1000000)</f>
        <v/>
      </c>
      <c r="AG50">
        <f>IFERROR(INDEX(GERAL[LADO],17),"")</f>
        <v/>
      </c>
    </row>
    <row r="51">
      <c r="M51">
        <f>IFERROR(INDEX(GERAL[PONTO],38),"")</f>
        <v/>
      </c>
      <c r="N51">
        <f>IF(M51="","",IFERROR(INDEX(GERAL[ACUMULADA],38),0))</f>
        <v/>
      </c>
      <c r="O51">
        <f>IF(N51="","",$B$11-N51)</f>
        <v/>
      </c>
      <c r="P51">
        <f>IF(N51="","",IF(N51*1.15&lt;=30,30,IF(N51*1.15&lt;=45,45,IF(N51*1.15&lt;=75,75,IF(N51*1.15&lt;=112.5,112.5,IF(N51*1.15&lt;=150,150,IF(N51*1.15&lt;=225,225,300)))))))</f>
        <v/>
      </c>
      <c r="Q51">
        <f>IF(P51="","",IFERROR(N51/P51,0))</f>
        <v/>
      </c>
      <c r="R51">
        <f>IF(M51="","",IFERROR(INDEX(Tabela7[QT %],MATCH(M51,Tabela7[PONTO],0)),0))</f>
        <v/>
      </c>
      <c r="S51">
        <f>IF(N51="","",IFERROR(1-ABS(N51-O51)/$B$11,0))</f>
        <v/>
      </c>
      <c r="T51">
        <f>IF(M51="","",IF($B$9&gt;$B$8,IFERROR((INDEX(GERAL[SNAP],38)-$B$8)/($B$9-$B$8),0),0))</f>
        <v/>
      </c>
      <c r="U51">
        <f>IF(OR(M51="",V51&lt;&gt;"ESQUERDO"),"",$L$2*IFERROR(N51/$B$11,0)+$L$3*IF($D$11&gt;0,IFERROR(R51/$D$11,0),0)+$L$4*IFERROR(S51,0)-$L$5*IFERROR(T51,0)-$L$6*MAX(0,IFERROR(Q51,0)-$L$7)+ROW()/1000000)</f>
        <v/>
      </c>
      <c r="V51">
        <f>IFERROR(INDEX(GERAL[LADO],38),"")</f>
        <v/>
      </c>
      <c r="X51">
        <f>IFERROR(INDEX(GERAL[PONTO],18),"")</f>
        <v/>
      </c>
      <c r="Y51">
        <f>IF(X51="","",IFERROR(INDEX(GERAL[ACUMULADA],18),0))</f>
        <v/>
      </c>
      <c r="Z51">
        <f>IF(Y51="","",$B$31-Y51)</f>
        <v/>
      </c>
      <c r="AA51">
        <f>IF(Y51="","",IF(Y51*1.15&lt;=30,30,IF(Y51*1.15&lt;=45,45,IF(Y51*1.15&lt;=75,75,IF(Y51*1.15&lt;=112.5,112.5,IF(Y51*1.15&lt;=150,150,IF(Y51*1.15&lt;=225,225,300)))))))</f>
        <v/>
      </c>
      <c r="AB51">
        <f>IF(AA51="","",IFERROR(Y51/AA51,0))</f>
        <v/>
      </c>
      <c r="AC51">
        <f>IF(X51="","",IFERROR(INDEX(DIR_ATUAL[QT %],MATCH(X51,DIR_ATUAL[PONTO],0)),0))</f>
        <v/>
      </c>
      <c r="AD51">
        <f>IF(Y51="","",IFERROR(1-ABS(Y51-Z51)/$B$31,0))</f>
        <v/>
      </c>
      <c r="AE51">
        <f>IF(X51="","",IF($E$9&gt;$E$8,IFERROR((INDEX(GERAL[SNAP],18)-$E$8)/($E$9-$E$8),0),0))</f>
        <v/>
      </c>
      <c r="AF51">
        <f>IF(OR(X51="",AG51&lt;&gt;"DIREITO"),"",$L$2*IFERROR(Y51/$B$31,0)+$L$3*IF($D$31&gt;0,IFERROR(AC51/$D$31,0),0)+$L$4*IFERROR(AD51,0)-$L$5*IFERROR(AE51,0)-$L$6*MAX(0,IFERROR(AB51,0)-$L$7)+ROW()/1000000)</f>
        <v/>
      </c>
      <c r="AG51">
        <f>IFERROR(INDEX(GERAL[LADO],18),"")</f>
        <v/>
      </c>
    </row>
    <row r="52">
      <c r="M52">
        <f>IFERROR(INDEX(GERAL[PONTO],39),"")</f>
        <v/>
      </c>
      <c r="N52">
        <f>IF(M52="","",IFERROR(INDEX(GERAL[ACUMULADA],39),0))</f>
        <v/>
      </c>
      <c r="O52">
        <f>IF(N52="","",$B$11-N52)</f>
        <v/>
      </c>
      <c r="P52">
        <f>IF(N52="","",IF(N52*1.15&lt;=30,30,IF(N52*1.15&lt;=45,45,IF(N52*1.15&lt;=75,75,IF(N52*1.15&lt;=112.5,112.5,IF(N52*1.15&lt;=150,150,IF(N52*1.15&lt;=225,225,300)))))))</f>
        <v/>
      </c>
      <c r="Q52">
        <f>IF(P52="","",IFERROR(N52/P52,0))</f>
        <v/>
      </c>
      <c r="R52">
        <f>IF(M52="","",IFERROR(INDEX(Tabela7[QT %],MATCH(M52,Tabela7[PONTO],0)),0))</f>
        <v/>
      </c>
      <c r="S52">
        <f>IF(N52="","",IFERROR(1-ABS(N52-O52)/$B$11,0))</f>
        <v/>
      </c>
      <c r="T52">
        <f>IF(M52="","",IF($B$9&gt;$B$8,IFERROR((INDEX(GERAL[SNAP],39)-$B$8)/($B$9-$B$8),0),0))</f>
        <v/>
      </c>
      <c r="U52">
        <f>IF(OR(M52="",V52&lt;&gt;"ESQUERDO"),"",$L$2*IFERROR(N52/$B$11,0)+$L$3*IF($D$11&gt;0,IFERROR(R52/$D$11,0),0)+$L$4*IFERROR(S52,0)-$L$5*IFERROR(T52,0)-$L$6*MAX(0,IFERROR(Q52,0)-$L$7)+ROW()/1000000)</f>
        <v/>
      </c>
      <c r="V52">
        <f>IFERROR(INDEX(GERAL[LADO],39),"")</f>
        <v/>
      </c>
      <c r="X52">
        <f>IFERROR(INDEX(GERAL[PONTO],19),"")</f>
        <v/>
      </c>
      <c r="Y52">
        <f>IF(X52="","",IFERROR(INDEX(GERAL[ACUMULADA],19),0))</f>
        <v/>
      </c>
      <c r="Z52">
        <f>IF(Y52="","",$B$31-Y52)</f>
        <v/>
      </c>
      <c r="AA52">
        <f>IF(Y52="","",IF(Y52*1.15&lt;=30,30,IF(Y52*1.15&lt;=45,45,IF(Y52*1.15&lt;=75,75,IF(Y52*1.15&lt;=112.5,112.5,IF(Y52*1.15&lt;=150,150,IF(Y52*1.15&lt;=225,225,300)))))))</f>
        <v/>
      </c>
      <c r="AB52">
        <f>IF(AA52="","",IFERROR(Y52/AA52,0))</f>
        <v/>
      </c>
      <c r="AC52">
        <f>IF(X52="","",IFERROR(INDEX(DIR_ATUAL[QT %],MATCH(X52,DIR_ATUAL[PONTO],0)),0))</f>
        <v/>
      </c>
      <c r="AD52">
        <f>IF(Y52="","",IFERROR(1-ABS(Y52-Z52)/$B$31,0))</f>
        <v/>
      </c>
      <c r="AE52">
        <f>IF(X52="","",IF($E$9&gt;$E$8,IFERROR((INDEX(GERAL[SNAP],19)-$E$8)/($E$9-$E$8),0),0))</f>
        <v/>
      </c>
      <c r="AF52">
        <f>IF(OR(X52="",AG52&lt;&gt;"DIREITO"),"",$L$2*IFERROR(Y52/$B$31,0)+$L$3*IF($D$31&gt;0,IFERROR(AC52/$D$31,0),0)+$L$4*IFERROR(AD52,0)-$L$5*IFERROR(AE52,0)-$L$6*MAX(0,IFERROR(AB52,0)-$L$7)+ROW()/1000000)</f>
        <v/>
      </c>
      <c r="AG52">
        <f>IFERROR(INDEX(GERAL[LADO],19),"")</f>
        <v/>
      </c>
    </row>
    <row r="53">
      <c r="M53">
        <f>IFERROR(INDEX(GERAL[PONTO],40),"")</f>
        <v/>
      </c>
      <c r="N53">
        <f>IF(M53="","",IFERROR(INDEX(GERAL[ACUMULADA],40),0))</f>
        <v/>
      </c>
      <c r="O53">
        <f>IF(N53="","",$B$11-N53)</f>
        <v/>
      </c>
      <c r="P53">
        <f>IF(N53="","",IF(N53*1.15&lt;=30,30,IF(N53*1.15&lt;=45,45,IF(N53*1.15&lt;=75,75,IF(N53*1.15&lt;=112.5,112.5,IF(N53*1.15&lt;=150,150,IF(N53*1.15&lt;=225,225,300)))))))</f>
        <v/>
      </c>
      <c r="Q53">
        <f>IF(P53="","",IFERROR(N53/P53,0))</f>
        <v/>
      </c>
      <c r="R53">
        <f>IF(M53="","",IFERROR(INDEX(Tabela7[QT %],MATCH(M53,Tabela7[PONTO],0)),0))</f>
        <v/>
      </c>
      <c r="S53">
        <f>IF(N53="","",IFERROR(1-ABS(N53-O53)/$B$11,0))</f>
        <v/>
      </c>
      <c r="T53">
        <f>IF(M53="","",IF($B$9&gt;$B$8,IFERROR((INDEX(GERAL[SNAP],40)-$B$8)/($B$9-$B$8),0),0))</f>
        <v/>
      </c>
      <c r="U53">
        <f>IF(OR(M53="",V53&lt;&gt;"ESQUERDO"),"",$L$2*IFERROR(N53/$B$11,0)+$L$3*IF($D$11&gt;0,IFERROR(R53/$D$11,0),0)+$L$4*IFERROR(S53,0)-$L$5*IFERROR(T53,0)-$L$6*MAX(0,IFERROR(Q53,0)-$L$7)+ROW()/1000000)</f>
        <v/>
      </c>
      <c r="V53">
        <f>IFERROR(INDEX(GERAL[LADO],40),"")</f>
        <v/>
      </c>
      <c r="X53">
        <f>IFERROR(INDEX(GERAL[PONTO],20),"")</f>
        <v/>
      </c>
      <c r="Y53">
        <f>IF(X53="","",IFERROR(INDEX(GERAL[ACUMULADA],20),0))</f>
        <v/>
      </c>
      <c r="Z53">
        <f>IF(Y53="","",$B$31-Y53)</f>
        <v/>
      </c>
      <c r="AA53">
        <f>IF(Y53="","",IF(Y53*1.15&lt;=30,30,IF(Y53*1.15&lt;=45,45,IF(Y53*1.15&lt;=75,75,IF(Y53*1.15&lt;=112.5,112.5,IF(Y53*1.15&lt;=150,150,IF(Y53*1.15&lt;=225,225,300)))))))</f>
        <v/>
      </c>
      <c r="AB53">
        <f>IF(AA53="","",IFERROR(Y53/AA53,0))</f>
        <v/>
      </c>
      <c r="AC53">
        <f>IF(X53="","",IFERROR(INDEX(DIR_ATUAL[QT %],MATCH(X53,DIR_ATUAL[PONTO],0)),0))</f>
        <v/>
      </c>
      <c r="AD53">
        <f>IF(Y53="","",IFERROR(1-ABS(Y53-Z53)/$B$31,0))</f>
        <v/>
      </c>
      <c r="AE53">
        <f>IF(X53="","",IF($E$9&gt;$E$8,IFERROR((INDEX(GERAL[SNAP],20)-$E$8)/($E$9-$E$8),0),0))</f>
        <v/>
      </c>
      <c r="AF53">
        <f>IF(OR(X53="",AG53&lt;&gt;"DIREITO"),"",$L$2*IFERROR(Y53/$B$31,0)+$L$3*IF($D$31&gt;0,IFERROR(AC53/$D$31,0),0)+$L$4*IFERROR(AD53,0)-$L$5*IFERROR(AE53,0)-$L$6*MAX(0,IFERROR(AB53,0)-$L$7)+ROW()/1000000)</f>
        <v/>
      </c>
      <c r="AG53">
        <f>IFERROR(INDEX(GERAL[LADO],20),"")</f>
        <v/>
      </c>
    </row>
    <row r="54">
      <c r="M54">
        <f>IFERROR(INDEX(GERAL[PONTO],41),"")</f>
        <v/>
      </c>
      <c r="N54">
        <f>IF(M54="","",IFERROR(INDEX(GERAL[ACUMULADA],41),0))</f>
        <v/>
      </c>
      <c r="O54">
        <f>IF(N54="","",$B$11-N54)</f>
        <v/>
      </c>
      <c r="P54">
        <f>IF(N54="","",IF(N54*1.15&lt;=30,30,IF(N54*1.15&lt;=45,45,IF(N54*1.15&lt;=75,75,IF(N54*1.15&lt;=112.5,112.5,IF(N54*1.15&lt;=150,150,IF(N54*1.15&lt;=225,225,300)))))))</f>
        <v/>
      </c>
      <c r="Q54">
        <f>IF(P54="","",IFERROR(N54/P54,0))</f>
        <v/>
      </c>
      <c r="R54">
        <f>IF(M54="","",IFERROR(INDEX(Tabela7[QT %],MATCH(M54,Tabela7[PONTO],0)),0))</f>
        <v/>
      </c>
      <c r="S54">
        <f>IF(N54="","",IFERROR(1-ABS(N54-O54)/$B$11,0))</f>
        <v/>
      </c>
      <c r="T54">
        <f>IF(M54="","",IF($B$9&gt;$B$8,IFERROR((INDEX(GERAL[SNAP],41)-$B$8)/($B$9-$B$8),0),0))</f>
        <v/>
      </c>
      <c r="U54">
        <f>IF(OR(M54="",V54&lt;&gt;"ESQUERDO"),"",$L$2*IFERROR(N54/$B$11,0)+$L$3*IF($D$11&gt;0,IFERROR(R54/$D$11,0),0)+$L$4*IFERROR(S54,0)-$L$5*IFERROR(T54,0)-$L$6*MAX(0,IFERROR(Q54,0)-$L$7)+ROW()/1000000)</f>
        <v/>
      </c>
      <c r="V54">
        <f>IFERROR(INDEX(GERAL[LADO],41),"")</f>
        <v/>
      </c>
      <c r="X54">
        <f>IFERROR(INDEX(GERAL[PONTO],21),"")</f>
        <v/>
      </c>
      <c r="Y54">
        <f>IF(X54="","",IFERROR(INDEX(GERAL[ACUMULADA],21),0))</f>
        <v/>
      </c>
      <c r="Z54">
        <f>IF(Y54="","",$B$31-Y54)</f>
        <v/>
      </c>
      <c r="AA54">
        <f>IF(Y54="","",IF(Y54*1.15&lt;=30,30,IF(Y54*1.15&lt;=45,45,IF(Y54*1.15&lt;=75,75,IF(Y54*1.15&lt;=112.5,112.5,IF(Y54*1.15&lt;=150,150,IF(Y54*1.15&lt;=225,225,300)))))))</f>
        <v/>
      </c>
      <c r="AB54">
        <f>IF(AA54="","",IFERROR(Y54/AA54,0))</f>
        <v/>
      </c>
      <c r="AC54">
        <f>IF(X54="","",IFERROR(INDEX(DIR_ATUAL[QT %],MATCH(X54,DIR_ATUAL[PONTO],0)),0))</f>
        <v/>
      </c>
      <c r="AD54">
        <f>IF(Y54="","",IFERROR(1-ABS(Y54-Z54)/$B$31,0))</f>
        <v/>
      </c>
      <c r="AE54">
        <f>IF(X54="","",IF($E$9&gt;$E$8,IFERROR((INDEX(GERAL[SNAP],21)-$E$8)/($E$9-$E$8),0),0))</f>
        <v/>
      </c>
      <c r="AF54">
        <f>IF(OR(X54="",AG54&lt;&gt;"DIREITO"),"",$L$2*IFERROR(Y54/$B$31,0)+$L$3*IF($D$31&gt;0,IFERROR(AC54/$D$31,0),0)+$L$4*IFERROR(AD54,0)-$L$5*IFERROR(AE54,0)-$L$6*MAX(0,IFERROR(AB54,0)-$L$7)+ROW()/1000000)</f>
        <v/>
      </c>
      <c r="AG54">
        <f>IFERROR(INDEX(GERAL[LADO],21),"")</f>
        <v/>
      </c>
    </row>
    <row r="55">
      <c r="M55">
        <f>IFERROR(INDEX(GERAL[PONTO],42),"")</f>
        <v/>
      </c>
      <c r="N55">
        <f>IF(M55="","",IFERROR(INDEX(GERAL[ACUMULADA],42),0))</f>
        <v/>
      </c>
      <c r="O55">
        <f>IF(N55="","",$B$11-N55)</f>
        <v/>
      </c>
      <c r="P55">
        <f>IF(N55="","",IF(N55*1.15&lt;=30,30,IF(N55*1.15&lt;=45,45,IF(N55*1.15&lt;=75,75,IF(N55*1.15&lt;=112.5,112.5,IF(N55*1.15&lt;=150,150,IF(N55*1.15&lt;=225,225,300)))))))</f>
        <v/>
      </c>
      <c r="Q55">
        <f>IF(P55="","",IFERROR(N55/P55,0))</f>
        <v/>
      </c>
      <c r="R55">
        <f>IF(M55="","",IFERROR(INDEX(Tabela7[QT %],MATCH(M55,Tabela7[PONTO],0)),0))</f>
        <v/>
      </c>
      <c r="S55">
        <f>IF(N55="","",IFERROR(1-ABS(N55-O55)/$B$11,0))</f>
        <v/>
      </c>
      <c r="T55">
        <f>IF(M55="","",IF($B$9&gt;$B$8,IFERROR((INDEX(GERAL[SNAP],42)-$B$8)/($B$9-$B$8),0),0))</f>
        <v/>
      </c>
      <c r="U55">
        <f>IF(OR(M55="",V55&lt;&gt;"ESQUERDO"),"",$L$2*IFERROR(N55/$B$11,0)+$L$3*IF($D$11&gt;0,IFERROR(R55/$D$11,0),0)+$L$4*IFERROR(S55,0)-$L$5*IFERROR(T55,0)-$L$6*MAX(0,IFERROR(Q55,0)-$L$7)+ROW()/1000000)</f>
        <v/>
      </c>
      <c r="V55">
        <f>IFERROR(INDEX(GERAL[LADO],42),"")</f>
        <v/>
      </c>
      <c r="X55">
        <f>IFERROR(INDEX(GERAL[PONTO],22),"")</f>
        <v/>
      </c>
      <c r="Y55">
        <f>IF(X55="","",IFERROR(INDEX(GERAL[ACUMULADA],22),0))</f>
        <v/>
      </c>
      <c r="Z55">
        <f>IF(Y55="","",$B$31-Y55)</f>
        <v/>
      </c>
      <c r="AA55">
        <f>IF(Y55="","",IF(Y55*1.15&lt;=30,30,IF(Y55*1.15&lt;=45,45,IF(Y55*1.15&lt;=75,75,IF(Y55*1.15&lt;=112.5,112.5,IF(Y55*1.15&lt;=150,150,IF(Y55*1.15&lt;=225,225,300)))))))</f>
        <v/>
      </c>
      <c r="AB55">
        <f>IF(AA55="","",IFERROR(Y55/AA55,0))</f>
        <v/>
      </c>
      <c r="AC55">
        <f>IF(X55="","",IFERROR(INDEX(DIR_ATUAL[QT %],MATCH(X55,DIR_ATUAL[PONTO],0)),0))</f>
        <v/>
      </c>
      <c r="AD55">
        <f>IF(Y55="","",IFERROR(1-ABS(Y55-Z55)/$B$31,0))</f>
        <v/>
      </c>
      <c r="AE55">
        <f>IF(X55="","",IF($E$9&gt;$E$8,IFERROR((INDEX(GERAL[SNAP],22)-$E$8)/($E$9-$E$8),0),0))</f>
        <v/>
      </c>
      <c r="AF55">
        <f>IF(OR(X55="",AG55&lt;&gt;"DIREITO"),"",$L$2*IFERROR(Y55/$B$31,0)+$L$3*IF($D$31&gt;0,IFERROR(AC55/$D$31,0),0)+$L$4*IFERROR(AD55,0)-$L$5*IFERROR(AE55,0)-$L$6*MAX(0,IFERROR(AB55,0)-$L$7)+ROW()/1000000)</f>
        <v/>
      </c>
      <c r="AG55">
        <f>IFERROR(INDEX(GERAL[LADO],22),"")</f>
        <v/>
      </c>
    </row>
    <row r="56">
      <c r="M56">
        <f>IFERROR(INDEX(GERAL[PONTO],43),"")</f>
        <v/>
      </c>
      <c r="N56">
        <f>IF(M56="","",IFERROR(INDEX(GERAL[ACUMULADA],43),0))</f>
        <v/>
      </c>
      <c r="O56">
        <f>IF(N56="","",$B$11-N56)</f>
        <v/>
      </c>
      <c r="P56">
        <f>IF(N56="","",IF(N56*1.15&lt;=30,30,IF(N56*1.15&lt;=45,45,IF(N56*1.15&lt;=75,75,IF(N56*1.15&lt;=112.5,112.5,IF(N56*1.15&lt;=150,150,IF(N56*1.15&lt;=225,225,300)))))))</f>
        <v/>
      </c>
      <c r="Q56">
        <f>IF(P56="","",IFERROR(N56/P56,0))</f>
        <v/>
      </c>
      <c r="R56">
        <f>IF(M56="","",IFERROR(INDEX(Tabela7[QT %],MATCH(M56,Tabela7[PONTO],0)),0))</f>
        <v/>
      </c>
      <c r="S56">
        <f>IF(N56="","",IFERROR(1-ABS(N56-O56)/$B$11,0))</f>
        <v/>
      </c>
      <c r="T56">
        <f>IF(M56="","",IF($B$9&gt;$B$8,IFERROR((INDEX(GERAL[SNAP],43)-$B$8)/($B$9-$B$8),0),0))</f>
        <v/>
      </c>
      <c r="U56">
        <f>IF(OR(M56="",V56&lt;&gt;"ESQUERDO"),"",$L$2*IFERROR(N56/$B$11,0)+$L$3*IF($D$11&gt;0,IFERROR(R56/$D$11,0),0)+$L$4*IFERROR(S56,0)-$L$5*IFERROR(T56,0)-$L$6*MAX(0,IFERROR(Q56,0)-$L$7)+ROW()/1000000)</f>
        <v/>
      </c>
      <c r="V56">
        <f>IFERROR(INDEX(GERAL[LADO],43),"")</f>
        <v/>
      </c>
      <c r="X56">
        <f>IFERROR(INDEX(GERAL[PONTO],23),"")</f>
        <v/>
      </c>
      <c r="Y56">
        <f>IF(X56="","",IFERROR(INDEX(GERAL[ACUMULADA],23),0))</f>
        <v/>
      </c>
      <c r="Z56">
        <f>IF(Y56="","",$B$31-Y56)</f>
        <v/>
      </c>
      <c r="AA56">
        <f>IF(Y56="","",IF(Y56*1.15&lt;=30,30,IF(Y56*1.15&lt;=45,45,IF(Y56*1.15&lt;=75,75,IF(Y56*1.15&lt;=112.5,112.5,IF(Y56*1.15&lt;=150,150,IF(Y56*1.15&lt;=225,225,300)))))))</f>
        <v/>
      </c>
      <c r="AB56">
        <f>IF(AA56="","",IFERROR(Y56/AA56,0))</f>
        <v/>
      </c>
      <c r="AC56">
        <f>IF(X56="","",IFERROR(INDEX(DIR_ATUAL[QT %],MATCH(X56,DIR_ATUAL[PONTO],0)),0))</f>
        <v/>
      </c>
      <c r="AD56">
        <f>IF(Y56="","",IFERROR(1-ABS(Y56-Z56)/$B$31,0))</f>
        <v/>
      </c>
      <c r="AE56">
        <f>IF(X56="","",IF($E$9&gt;$E$8,IFERROR((INDEX(GERAL[SNAP],23)-$E$8)/($E$9-$E$8),0),0))</f>
        <v/>
      </c>
      <c r="AF56">
        <f>IF(OR(X56="",AG56&lt;&gt;"DIREITO"),"",$L$2*IFERROR(Y56/$B$31,0)+$L$3*IF($D$31&gt;0,IFERROR(AC56/$D$31,0),0)+$L$4*IFERROR(AD56,0)-$L$5*IFERROR(AE56,0)-$L$6*MAX(0,IFERROR(AB56,0)-$L$7)+ROW()/1000000)</f>
        <v/>
      </c>
      <c r="AG56">
        <f>IFERROR(INDEX(GERAL[LADO],23),"")</f>
        <v/>
      </c>
    </row>
    <row r="57">
      <c r="M57">
        <f>IFERROR(INDEX(GERAL[PONTO],44),"")</f>
        <v/>
      </c>
      <c r="N57">
        <f>IF(M57="","",IFERROR(INDEX(GERAL[ACUMULADA],44),0))</f>
        <v/>
      </c>
      <c r="O57">
        <f>IF(N57="","",$B$11-N57)</f>
        <v/>
      </c>
      <c r="P57">
        <f>IF(N57="","",IF(N57*1.15&lt;=30,30,IF(N57*1.15&lt;=45,45,IF(N57*1.15&lt;=75,75,IF(N57*1.15&lt;=112.5,112.5,IF(N57*1.15&lt;=150,150,IF(N57*1.15&lt;=225,225,300)))))))</f>
        <v/>
      </c>
      <c r="Q57">
        <f>IF(P57="","",IFERROR(N57/P57,0))</f>
        <v/>
      </c>
      <c r="R57">
        <f>IF(M57="","",IFERROR(INDEX(Tabela7[QT %],MATCH(M57,Tabela7[PONTO],0)),0))</f>
        <v/>
      </c>
      <c r="S57">
        <f>IF(N57="","",IFERROR(1-ABS(N57-O57)/$B$11,0))</f>
        <v/>
      </c>
      <c r="T57">
        <f>IF(M57="","",IF($B$9&gt;$B$8,IFERROR((INDEX(GERAL[SNAP],44)-$B$8)/($B$9-$B$8),0),0))</f>
        <v/>
      </c>
      <c r="U57">
        <f>IF(OR(M57="",V57&lt;&gt;"ESQUERDO"),"",$L$2*IFERROR(N57/$B$11,0)+$L$3*IF($D$11&gt;0,IFERROR(R57/$D$11,0),0)+$L$4*IFERROR(S57,0)-$L$5*IFERROR(T57,0)-$L$6*MAX(0,IFERROR(Q57,0)-$L$7)+ROW()/1000000)</f>
        <v/>
      </c>
      <c r="V57">
        <f>IFERROR(INDEX(GERAL[LADO],44),"")</f>
        <v/>
      </c>
      <c r="X57">
        <f>IFERROR(INDEX(GERAL[PONTO],24),"")</f>
        <v/>
      </c>
      <c r="Y57">
        <f>IF(X57="","",IFERROR(INDEX(GERAL[ACUMULADA],24),0))</f>
        <v/>
      </c>
      <c r="Z57">
        <f>IF(Y57="","",$B$31-Y57)</f>
        <v/>
      </c>
      <c r="AA57">
        <f>IF(Y57="","",IF(Y57*1.15&lt;=30,30,IF(Y57*1.15&lt;=45,45,IF(Y57*1.15&lt;=75,75,IF(Y57*1.15&lt;=112.5,112.5,IF(Y57*1.15&lt;=150,150,IF(Y57*1.15&lt;=225,225,300)))))))</f>
        <v/>
      </c>
      <c r="AB57">
        <f>IF(AA57="","",IFERROR(Y57/AA57,0))</f>
        <v/>
      </c>
      <c r="AC57">
        <f>IF(X57="","",IFERROR(INDEX(DIR_ATUAL[QT %],MATCH(X57,DIR_ATUAL[PONTO],0)),0))</f>
        <v/>
      </c>
      <c r="AD57">
        <f>IF(Y57="","",IFERROR(1-ABS(Y57-Z57)/$B$31,0))</f>
        <v/>
      </c>
      <c r="AE57">
        <f>IF(X57="","",IF($E$9&gt;$E$8,IFERROR((INDEX(GERAL[SNAP],24)-$E$8)/($E$9-$E$8),0),0))</f>
        <v/>
      </c>
      <c r="AF57">
        <f>IF(OR(X57="",AG57&lt;&gt;"DIREITO"),"",$L$2*IFERROR(Y57/$B$31,0)+$L$3*IF($D$31&gt;0,IFERROR(AC57/$D$31,0),0)+$L$4*IFERROR(AD57,0)-$L$5*IFERROR(AE57,0)-$L$6*MAX(0,IFERROR(AB57,0)-$L$7)+ROW()/1000000)</f>
        <v/>
      </c>
      <c r="AG57">
        <f>IFERROR(INDEX(GERAL[LADO],24),"")</f>
        <v/>
      </c>
    </row>
    <row r="58">
      <c r="M58">
        <f>IFERROR(INDEX(GERAL[PONTO],45),"")</f>
        <v/>
      </c>
      <c r="N58">
        <f>IF(M58="","",IFERROR(INDEX(GERAL[ACUMULADA],45),0))</f>
        <v/>
      </c>
      <c r="O58">
        <f>IF(N58="","",$B$11-N58)</f>
        <v/>
      </c>
      <c r="P58">
        <f>IF(N58="","",IF(N58*1.15&lt;=30,30,IF(N58*1.15&lt;=45,45,IF(N58*1.15&lt;=75,75,IF(N58*1.15&lt;=112.5,112.5,IF(N58*1.15&lt;=150,150,IF(N58*1.15&lt;=225,225,300)))))))</f>
        <v/>
      </c>
      <c r="Q58">
        <f>IF(P58="","",IFERROR(N58/P58,0))</f>
        <v/>
      </c>
      <c r="R58">
        <f>IF(M58="","",IFERROR(INDEX(Tabela7[QT %],MATCH(M58,Tabela7[PONTO],0)),0))</f>
        <v/>
      </c>
      <c r="S58">
        <f>IF(N58="","",IFERROR(1-ABS(N58-O58)/$B$11,0))</f>
        <v/>
      </c>
      <c r="T58">
        <f>IF(M58="","",IF($B$9&gt;$B$8,IFERROR((INDEX(GERAL[SNAP],45)-$B$8)/($B$9-$B$8),0),0))</f>
        <v/>
      </c>
      <c r="U58">
        <f>IF(OR(M58="",V58&lt;&gt;"ESQUERDO"),"",$L$2*IFERROR(N58/$B$11,0)+$L$3*IF($D$11&gt;0,IFERROR(R58/$D$11,0),0)+$L$4*IFERROR(S58,0)-$L$5*IFERROR(T58,0)-$L$6*MAX(0,IFERROR(Q58,0)-$L$7)+ROW()/1000000)</f>
        <v/>
      </c>
      <c r="V58">
        <f>IFERROR(INDEX(GERAL[LADO],45),"")</f>
        <v/>
      </c>
      <c r="X58">
        <f>IFERROR(INDEX(GERAL[PONTO],25),"")</f>
        <v/>
      </c>
      <c r="Y58">
        <f>IF(X58="","",IFERROR(INDEX(GERAL[ACUMULADA],25),0))</f>
        <v/>
      </c>
      <c r="Z58">
        <f>IF(Y58="","",$B$31-Y58)</f>
        <v/>
      </c>
      <c r="AA58">
        <f>IF(Y58="","",IF(Y58*1.15&lt;=30,30,IF(Y58*1.15&lt;=45,45,IF(Y58*1.15&lt;=75,75,IF(Y58*1.15&lt;=112.5,112.5,IF(Y58*1.15&lt;=150,150,IF(Y58*1.15&lt;=225,225,300)))))))</f>
        <v/>
      </c>
      <c r="AB58">
        <f>IF(AA58="","",IFERROR(Y58/AA58,0))</f>
        <v/>
      </c>
      <c r="AC58">
        <f>IF(X58="","",IFERROR(INDEX(DIR_ATUAL[QT %],MATCH(X58,DIR_ATUAL[PONTO],0)),0))</f>
        <v/>
      </c>
      <c r="AD58">
        <f>IF(Y58="","",IFERROR(1-ABS(Y58-Z58)/$B$31,0))</f>
        <v/>
      </c>
      <c r="AE58">
        <f>IF(X58="","",IF($E$9&gt;$E$8,IFERROR((INDEX(GERAL[SNAP],25)-$E$8)/($E$9-$E$8),0),0))</f>
        <v/>
      </c>
      <c r="AF58">
        <f>IF(OR(X58="",AG58&lt;&gt;"DIREITO"),"",$L$2*IFERROR(Y58/$B$31,0)+$L$3*IF($D$31&gt;0,IFERROR(AC58/$D$31,0),0)+$L$4*IFERROR(AD58,0)-$L$5*IFERROR(AE58,0)-$L$6*MAX(0,IFERROR(AB58,0)-$L$7)+ROW()/1000000)</f>
        <v/>
      </c>
      <c r="AG58">
        <f>IFERROR(INDEX(GERAL[LADO],25),"")</f>
        <v/>
      </c>
    </row>
    <row r="59">
      <c r="M59">
        <f>IFERROR(INDEX(GERAL[PONTO],46),"")</f>
        <v/>
      </c>
      <c r="N59">
        <f>IF(M59="","",IFERROR(INDEX(GERAL[ACUMULADA],46),0))</f>
        <v/>
      </c>
      <c r="O59">
        <f>IF(N59="","",$B$11-N59)</f>
        <v/>
      </c>
      <c r="P59">
        <f>IF(N59="","",IF(N59*1.15&lt;=30,30,IF(N59*1.15&lt;=45,45,IF(N59*1.15&lt;=75,75,IF(N59*1.15&lt;=112.5,112.5,IF(N59*1.15&lt;=150,150,IF(N59*1.15&lt;=225,225,300)))))))</f>
        <v/>
      </c>
      <c r="Q59">
        <f>IF(P59="","",IFERROR(N59/P59,0))</f>
        <v/>
      </c>
      <c r="R59">
        <f>IF(M59="","",IFERROR(INDEX(Tabela7[QT %],MATCH(M59,Tabela7[PONTO],0)),0))</f>
        <v/>
      </c>
      <c r="S59">
        <f>IF(N59="","",IFERROR(1-ABS(N59-O59)/$B$11,0))</f>
        <v/>
      </c>
      <c r="T59">
        <f>IF(M59="","",IF($B$9&gt;$B$8,IFERROR((INDEX(GERAL[SNAP],46)-$B$8)/($B$9-$B$8),0),0))</f>
        <v/>
      </c>
      <c r="U59">
        <f>IF(OR(M59="",V59&lt;&gt;"ESQUERDO"),"",$L$2*IFERROR(N59/$B$11,0)+$L$3*IF($D$11&gt;0,IFERROR(R59/$D$11,0),0)+$L$4*IFERROR(S59,0)-$L$5*IFERROR(T59,0)-$L$6*MAX(0,IFERROR(Q59,0)-$L$7)+ROW()/1000000)</f>
        <v/>
      </c>
      <c r="V59">
        <f>IFERROR(INDEX(GERAL[LADO],46),"")</f>
        <v/>
      </c>
      <c r="X59">
        <f>IFERROR(INDEX(GERAL[PONTO],26),"")</f>
        <v/>
      </c>
      <c r="Y59">
        <f>IF(X59="","",IFERROR(INDEX(GERAL[ACUMULADA],26),0))</f>
        <v/>
      </c>
      <c r="Z59">
        <f>IF(Y59="","",$B$31-Y59)</f>
        <v/>
      </c>
      <c r="AA59">
        <f>IF(Y59="","",IF(Y59*1.15&lt;=30,30,IF(Y59*1.15&lt;=45,45,IF(Y59*1.15&lt;=75,75,IF(Y59*1.15&lt;=112.5,112.5,IF(Y59*1.15&lt;=150,150,IF(Y59*1.15&lt;=225,225,300)))))))</f>
        <v/>
      </c>
      <c r="AB59">
        <f>IF(AA59="","",IFERROR(Y59/AA59,0))</f>
        <v/>
      </c>
      <c r="AC59">
        <f>IF(X59="","",IFERROR(INDEX(DIR_ATUAL[QT %],MATCH(X59,DIR_ATUAL[PONTO],0)),0))</f>
        <v/>
      </c>
      <c r="AD59">
        <f>IF(Y59="","",IFERROR(1-ABS(Y59-Z59)/$B$31,0))</f>
        <v/>
      </c>
      <c r="AE59">
        <f>IF(X59="","",IF($E$9&gt;$E$8,IFERROR((INDEX(GERAL[SNAP],26)-$E$8)/($E$9-$E$8),0),0))</f>
        <v/>
      </c>
      <c r="AF59">
        <f>IF(OR(X59="",AG59&lt;&gt;"DIREITO"),"",$L$2*IFERROR(Y59/$B$31,0)+$L$3*IF($D$31&gt;0,IFERROR(AC59/$D$31,0),0)+$L$4*IFERROR(AD59,0)-$L$5*IFERROR(AE59,0)-$L$6*MAX(0,IFERROR(AB59,0)-$L$7)+ROW()/1000000)</f>
        <v/>
      </c>
      <c r="AG59">
        <f>IFERROR(INDEX(GERAL[LADO],26),"")</f>
        <v/>
      </c>
    </row>
    <row r="60">
      <c r="M60">
        <f>IFERROR(INDEX(GERAL[PONTO],47),"")</f>
        <v/>
      </c>
      <c r="N60">
        <f>IF(M60="","",IFERROR(INDEX(GERAL[ACUMULADA],47),0))</f>
        <v/>
      </c>
      <c r="O60">
        <f>IF(N60="","",$B$11-N60)</f>
        <v/>
      </c>
      <c r="P60">
        <f>IF(N60="","",IF(N60*1.15&lt;=30,30,IF(N60*1.15&lt;=45,45,IF(N60*1.15&lt;=75,75,IF(N60*1.15&lt;=112.5,112.5,IF(N60*1.15&lt;=150,150,IF(N60*1.15&lt;=225,225,300)))))))</f>
        <v/>
      </c>
      <c r="Q60">
        <f>IF(P60="","",IFERROR(N60/P60,0))</f>
        <v/>
      </c>
      <c r="R60">
        <f>IF(M60="","",IFERROR(INDEX(Tabela7[QT %],MATCH(M60,Tabela7[PONTO],0)),0))</f>
        <v/>
      </c>
      <c r="S60">
        <f>IF(N60="","",IFERROR(1-ABS(N60-O60)/$B$11,0))</f>
        <v/>
      </c>
      <c r="T60">
        <f>IF(M60="","",IF($B$9&gt;$B$8,IFERROR((INDEX(GERAL[SNAP],47)-$B$8)/($B$9-$B$8),0),0))</f>
        <v/>
      </c>
      <c r="U60">
        <f>IF(OR(M60="",V60&lt;&gt;"ESQUERDO"),"",$L$2*IFERROR(N60/$B$11,0)+$L$3*IF($D$11&gt;0,IFERROR(R60/$D$11,0),0)+$L$4*IFERROR(S60,0)-$L$5*IFERROR(T60,0)-$L$6*MAX(0,IFERROR(Q60,0)-$L$7)+ROW()/1000000)</f>
        <v/>
      </c>
      <c r="V60">
        <f>IFERROR(INDEX(GERAL[LADO],47),"")</f>
        <v/>
      </c>
      <c r="X60">
        <f>IFERROR(INDEX(GERAL[PONTO],27),"")</f>
        <v/>
      </c>
      <c r="Y60">
        <f>IF(X60="","",IFERROR(INDEX(GERAL[ACUMULADA],27),0))</f>
        <v/>
      </c>
      <c r="Z60">
        <f>IF(Y60="","",$B$31-Y60)</f>
        <v/>
      </c>
      <c r="AA60">
        <f>IF(Y60="","",IF(Y60*1.15&lt;=30,30,IF(Y60*1.15&lt;=45,45,IF(Y60*1.15&lt;=75,75,IF(Y60*1.15&lt;=112.5,112.5,IF(Y60*1.15&lt;=150,150,IF(Y60*1.15&lt;=225,225,300)))))))</f>
        <v/>
      </c>
      <c r="AB60">
        <f>IF(AA60="","",IFERROR(Y60/AA60,0))</f>
        <v/>
      </c>
      <c r="AC60">
        <f>IF(X60="","",IFERROR(INDEX(DIR_ATUAL[QT %],MATCH(X60,DIR_ATUAL[PONTO],0)),0))</f>
        <v/>
      </c>
      <c r="AD60">
        <f>IF(Y60="","",IFERROR(1-ABS(Y60-Z60)/$B$31,0))</f>
        <v/>
      </c>
      <c r="AE60">
        <f>IF(X60="","",IF($E$9&gt;$E$8,IFERROR((INDEX(GERAL[SNAP],27)-$E$8)/($E$9-$E$8),0),0))</f>
        <v/>
      </c>
      <c r="AF60">
        <f>IF(OR(X60="",AG60&lt;&gt;"DIREITO"),"",$L$2*IFERROR(Y60/$B$31,0)+$L$3*IF($D$31&gt;0,IFERROR(AC60/$D$31,0),0)+$L$4*IFERROR(AD60,0)-$L$5*IFERROR(AE60,0)-$L$6*MAX(0,IFERROR(AB60,0)-$L$7)+ROW()/1000000)</f>
        <v/>
      </c>
      <c r="AG60">
        <f>IFERROR(INDEX(GERAL[LADO],27),"")</f>
        <v/>
      </c>
    </row>
    <row r="61">
      <c r="M61">
        <f>IFERROR(INDEX(GERAL[PONTO],48),"")</f>
        <v/>
      </c>
      <c r="N61">
        <f>IF(M61="","",IFERROR(INDEX(GERAL[ACUMULADA],48),0))</f>
        <v/>
      </c>
      <c r="O61">
        <f>IF(N61="","",$B$11-N61)</f>
        <v/>
      </c>
      <c r="P61">
        <f>IF(N61="","",IF(N61*1.15&lt;=30,30,IF(N61*1.15&lt;=45,45,IF(N61*1.15&lt;=75,75,IF(N61*1.15&lt;=112.5,112.5,IF(N61*1.15&lt;=150,150,IF(N61*1.15&lt;=225,225,300)))))))</f>
        <v/>
      </c>
      <c r="Q61">
        <f>IF(P61="","",IFERROR(N61/P61,0))</f>
        <v/>
      </c>
      <c r="R61">
        <f>IF(M61="","",IFERROR(INDEX(Tabela7[QT %],MATCH(M61,Tabela7[PONTO],0)),0))</f>
        <v/>
      </c>
      <c r="S61">
        <f>IF(N61="","",IFERROR(1-ABS(N61-O61)/$B$11,0))</f>
        <v/>
      </c>
      <c r="T61">
        <f>IF(M61="","",IF($B$9&gt;$B$8,IFERROR((INDEX(GERAL[SNAP],48)-$B$8)/($B$9-$B$8),0),0))</f>
        <v/>
      </c>
      <c r="U61">
        <f>IF(OR(M61="",V61&lt;&gt;"ESQUERDO"),"",$L$2*IFERROR(N61/$B$11,0)+$L$3*IF($D$11&gt;0,IFERROR(R61/$D$11,0),0)+$L$4*IFERROR(S61,0)-$L$5*IFERROR(T61,0)-$L$6*MAX(0,IFERROR(Q61,0)-$L$7)+ROW()/1000000)</f>
        <v/>
      </c>
      <c r="V61">
        <f>IFERROR(INDEX(GERAL[LADO],48),"")</f>
        <v/>
      </c>
      <c r="X61">
        <f>IFERROR(INDEX(GERAL[PONTO],28),"")</f>
        <v/>
      </c>
      <c r="Y61">
        <f>IF(X61="","",IFERROR(INDEX(GERAL[ACUMULADA],28),0))</f>
        <v/>
      </c>
      <c r="Z61">
        <f>IF(Y61="","",$B$31-Y61)</f>
        <v/>
      </c>
      <c r="AA61">
        <f>IF(Y61="","",IF(Y61*1.15&lt;=30,30,IF(Y61*1.15&lt;=45,45,IF(Y61*1.15&lt;=75,75,IF(Y61*1.15&lt;=112.5,112.5,IF(Y61*1.15&lt;=150,150,IF(Y61*1.15&lt;=225,225,300)))))))</f>
        <v/>
      </c>
      <c r="AB61">
        <f>IF(AA61="","",IFERROR(Y61/AA61,0))</f>
        <v/>
      </c>
      <c r="AC61">
        <f>IF(X61="","",IFERROR(INDEX(DIR_ATUAL[QT %],MATCH(X61,DIR_ATUAL[PONTO],0)),0))</f>
        <v/>
      </c>
      <c r="AD61">
        <f>IF(Y61="","",IFERROR(1-ABS(Y61-Z61)/$B$31,0))</f>
        <v/>
      </c>
      <c r="AE61">
        <f>IF(X61="","",IF($E$9&gt;$E$8,IFERROR((INDEX(GERAL[SNAP],28)-$E$8)/($E$9-$E$8),0),0))</f>
        <v/>
      </c>
      <c r="AF61">
        <f>IF(OR(X61="",AG61&lt;&gt;"DIREITO"),"",$L$2*IFERROR(Y61/$B$31,0)+$L$3*IF($D$31&gt;0,IFERROR(AC61/$D$31,0),0)+$L$4*IFERROR(AD61,0)-$L$5*IFERROR(AE61,0)-$L$6*MAX(0,IFERROR(AB61,0)-$L$7)+ROW()/1000000)</f>
        <v/>
      </c>
      <c r="AG61">
        <f>IFERROR(INDEX(GERAL[LADO],28),"")</f>
        <v/>
      </c>
    </row>
    <row r="62">
      <c r="M62">
        <f>IFERROR(INDEX(GERAL[PONTO],49),"")</f>
        <v/>
      </c>
      <c r="N62">
        <f>IF(M62="","",IFERROR(INDEX(GERAL[ACUMULADA],49),0))</f>
        <v/>
      </c>
      <c r="O62">
        <f>IF(N62="","",$B$11-N62)</f>
        <v/>
      </c>
      <c r="P62">
        <f>IF(N62="","",IF(N62*1.15&lt;=30,30,IF(N62*1.15&lt;=45,45,IF(N62*1.15&lt;=75,75,IF(N62*1.15&lt;=112.5,112.5,IF(N62*1.15&lt;=150,150,IF(N62*1.15&lt;=225,225,300)))))))</f>
        <v/>
      </c>
      <c r="Q62">
        <f>IF(P62="","",IFERROR(N62/P62,0))</f>
        <v/>
      </c>
      <c r="R62">
        <f>IF(M62="","",IFERROR(INDEX(Tabela7[QT %],MATCH(M62,Tabela7[PONTO],0)),0))</f>
        <v/>
      </c>
      <c r="S62">
        <f>IF(N62="","",IFERROR(1-ABS(N62-O62)/$B$11,0))</f>
        <v/>
      </c>
      <c r="T62">
        <f>IF(M62="","",IF($B$9&gt;$B$8,IFERROR((INDEX(GERAL[SNAP],49)-$B$8)/($B$9-$B$8),0),0))</f>
        <v/>
      </c>
      <c r="U62">
        <f>IF(OR(M62="",V62&lt;&gt;"ESQUERDO"),"",$L$2*IFERROR(N62/$B$11,0)+$L$3*IF($D$11&gt;0,IFERROR(R62/$D$11,0),0)+$L$4*IFERROR(S62,0)-$L$5*IFERROR(T62,0)-$L$6*MAX(0,IFERROR(Q62,0)-$L$7)+ROW()/1000000)</f>
        <v/>
      </c>
      <c r="V62">
        <f>IFERROR(INDEX(GERAL[LADO],49),"")</f>
        <v/>
      </c>
      <c r="X62">
        <f>IFERROR(INDEX(GERAL[PONTO],29),"")</f>
        <v/>
      </c>
      <c r="Y62">
        <f>IF(X62="","",IFERROR(INDEX(GERAL[ACUMULADA],29),0))</f>
        <v/>
      </c>
      <c r="Z62">
        <f>IF(Y62="","",$B$31-Y62)</f>
        <v/>
      </c>
      <c r="AA62">
        <f>IF(Y62="","",IF(Y62*1.15&lt;=30,30,IF(Y62*1.15&lt;=45,45,IF(Y62*1.15&lt;=75,75,IF(Y62*1.15&lt;=112.5,112.5,IF(Y62*1.15&lt;=150,150,IF(Y62*1.15&lt;=225,225,300)))))))</f>
        <v/>
      </c>
      <c r="AB62">
        <f>IF(AA62="","",IFERROR(Y62/AA62,0))</f>
        <v/>
      </c>
      <c r="AC62">
        <f>IF(X62="","",IFERROR(INDEX(DIR_ATUAL[QT %],MATCH(X62,DIR_ATUAL[PONTO],0)),0))</f>
        <v/>
      </c>
      <c r="AD62">
        <f>IF(Y62="","",IFERROR(1-ABS(Y62-Z62)/$B$31,0))</f>
        <v/>
      </c>
      <c r="AE62">
        <f>IF(X62="","",IF($E$9&gt;$E$8,IFERROR((INDEX(GERAL[SNAP],29)-$E$8)/($E$9-$E$8),0),0))</f>
        <v/>
      </c>
      <c r="AF62">
        <f>IF(OR(X62="",AG62&lt;&gt;"DIREITO"),"",$L$2*IFERROR(Y62/$B$31,0)+$L$3*IF($D$31&gt;0,IFERROR(AC62/$D$31,0),0)+$L$4*IFERROR(AD62,0)-$L$5*IFERROR(AE62,0)-$L$6*MAX(0,IFERROR(AB62,0)-$L$7)+ROW()/1000000)</f>
        <v/>
      </c>
      <c r="AG62">
        <f>IFERROR(INDEX(GERAL[LADO],29),"")</f>
        <v/>
      </c>
    </row>
    <row r="63">
      <c r="M63">
        <f>IFERROR(INDEX(GERAL[PONTO],50),"")</f>
        <v/>
      </c>
      <c r="N63">
        <f>IF(M63="","",IFERROR(INDEX(GERAL[ACUMULADA],50),0))</f>
        <v/>
      </c>
      <c r="O63">
        <f>IF(N63="","",$B$11-N63)</f>
        <v/>
      </c>
      <c r="P63">
        <f>IF(N63="","",IF(N63*1.15&lt;=30,30,IF(N63*1.15&lt;=45,45,IF(N63*1.15&lt;=75,75,IF(N63*1.15&lt;=112.5,112.5,IF(N63*1.15&lt;=150,150,IF(N63*1.15&lt;=225,225,300)))))))</f>
        <v/>
      </c>
      <c r="Q63">
        <f>IF(P63="","",IFERROR(N63/P63,0))</f>
        <v/>
      </c>
      <c r="R63">
        <f>IF(M63="","",IFERROR(INDEX(Tabela7[QT %],MATCH(M63,Tabela7[PONTO],0)),0))</f>
        <v/>
      </c>
      <c r="S63">
        <f>IF(N63="","",IFERROR(1-ABS(N63-O63)/$B$11,0))</f>
        <v/>
      </c>
      <c r="T63">
        <f>IF(M63="","",IF($B$9&gt;$B$8,IFERROR((INDEX(GERAL[SNAP],50)-$B$8)/($B$9-$B$8),0),0))</f>
        <v/>
      </c>
      <c r="U63">
        <f>IF(OR(M63="",V63&lt;&gt;"ESQUERDO"),"",$L$2*IFERROR(N63/$B$11,0)+$L$3*IF($D$11&gt;0,IFERROR(R63/$D$11,0),0)+$L$4*IFERROR(S63,0)-$L$5*IFERROR(T63,0)-$L$6*MAX(0,IFERROR(Q63,0)-$L$7)+ROW()/1000000)</f>
        <v/>
      </c>
      <c r="V63">
        <f>IFERROR(INDEX(GERAL[LADO],50),"")</f>
        <v/>
      </c>
      <c r="X63">
        <f>IFERROR(INDEX(GERAL[PONTO],30),"")</f>
        <v/>
      </c>
      <c r="Y63">
        <f>IF(X63="","",IFERROR(INDEX(GERAL[ACUMULADA],30),0))</f>
        <v/>
      </c>
      <c r="Z63">
        <f>IF(Y63="","",$B$31-Y63)</f>
        <v/>
      </c>
      <c r="AA63">
        <f>IF(Y63="","",IF(Y63*1.15&lt;=30,30,IF(Y63*1.15&lt;=45,45,IF(Y63*1.15&lt;=75,75,IF(Y63*1.15&lt;=112.5,112.5,IF(Y63*1.15&lt;=150,150,IF(Y63*1.15&lt;=225,225,300)))))))</f>
        <v/>
      </c>
      <c r="AB63">
        <f>IF(AA63="","",IFERROR(Y63/AA63,0))</f>
        <v/>
      </c>
      <c r="AC63">
        <f>IF(X63="","",IFERROR(INDEX(DIR_ATUAL[QT %],MATCH(X63,DIR_ATUAL[PONTO],0)),0))</f>
        <v/>
      </c>
      <c r="AD63">
        <f>IF(Y63="","",IFERROR(1-ABS(Y63-Z63)/$B$31,0))</f>
        <v/>
      </c>
      <c r="AE63">
        <f>IF(X63="","",IF($E$9&gt;$E$8,IFERROR((INDEX(GERAL[SNAP],30)-$E$8)/($E$9-$E$8),0),0))</f>
        <v/>
      </c>
      <c r="AF63">
        <f>IF(OR(X63="",AG63&lt;&gt;"DIREITO"),"",$L$2*IFERROR(Y63/$B$31,0)+$L$3*IF($D$31&gt;0,IFERROR(AC63/$D$31,0),0)+$L$4*IFERROR(AD63,0)-$L$5*IFERROR(AE63,0)-$L$6*MAX(0,IFERROR(AB63,0)-$L$7)+ROW()/1000000)</f>
        <v/>
      </c>
      <c r="AG63">
        <f>IFERROR(INDEX(GERAL[LADO],30),"")</f>
        <v/>
      </c>
    </row>
    <row r="64">
      <c r="M64">
        <f>IFERROR(INDEX(GERAL[PONTO],51),"")</f>
        <v/>
      </c>
      <c r="N64">
        <f>IF(M64="","",IFERROR(INDEX(GERAL[ACUMULADA],51),0))</f>
        <v/>
      </c>
      <c r="O64">
        <f>IF(N64="","",$B$11-N64)</f>
        <v/>
      </c>
      <c r="P64">
        <f>IF(N64="","",IF(N64*1.15&lt;=30,30,IF(N64*1.15&lt;=45,45,IF(N64*1.15&lt;=75,75,IF(N64*1.15&lt;=112.5,112.5,IF(N64*1.15&lt;=150,150,IF(N64*1.15&lt;=225,225,300)))))))</f>
        <v/>
      </c>
      <c r="Q64">
        <f>IF(P64="","",IFERROR(N64/P64,0))</f>
        <v/>
      </c>
      <c r="R64">
        <f>IF(M64="","",IFERROR(INDEX(Tabela7[QT %],MATCH(M64,Tabela7[PONTO],0)),0))</f>
        <v/>
      </c>
      <c r="S64">
        <f>IF(N64="","",IFERROR(1-ABS(N64-O64)/$B$11,0))</f>
        <v/>
      </c>
      <c r="T64">
        <f>IF(M64="","",IF($B$9&gt;$B$8,IFERROR((INDEX(GERAL[SNAP],51)-$B$8)/($B$9-$B$8),0),0))</f>
        <v/>
      </c>
      <c r="U64">
        <f>IF(OR(M64="",V64&lt;&gt;"ESQUERDO"),"",$L$2*IFERROR(N64/$B$11,0)+$L$3*IF($D$11&gt;0,IFERROR(R64/$D$11,0),0)+$L$4*IFERROR(S64,0)-$L$5*IFERROR(T64,0)-$L$6*MAX(0,IFERROR(Q64,0)-$L$7)+ROW()/1000000)</f>
        <v/>
      </c>
      <c r="V64">
        <f>IFERROR(INDEX(GERAL[LADO],51),"")</f>
        <v/>
      </c>
      <c r="X64">
        <f>IFERROR(INDEX(GERAL[PONTO],31),"")</f>
        <v/>
      </c>
      <c r="Y64">
        <f>IF(X64="","",IFERROR(INDEX(GERAL[ACUMULADA],31),0))</f>
        <v/>
      </c>
      <c r="Z64">
        <f>IF(Y64="","",$B$31-Y64)</f>
        <v/>
      </c>
      <c r="AA64">
        <f>IF(Y64="","",IF(Y64*1.15&lt;=30,30,IF(Y64*1.15&lt;=45,45,IF(Y64*1.15&lt;=75,75,IF(Y64*1.15&lt;=112.5,112.5,IF(Y64*1.15&lt;=150,150,IF(Y64*1.15&lt;=225,225,300)))))))</f>
        <v/>
      </c>
      <c r="AB64">
        <f>IF(AA64="","",IFERROR(Y64/AA64,0))</f>
        <v/>
      </c>
      <c r="AC64">
        <f>IF(X64="","",IFERROR(INDEX(DIR_ATUAL[QT %],MATCH(X64,DIR_ATUAL[PONTO],0)),0))</f>
        <v/>
      </c>
      <c r="AD64">
        <f>IF(Y64="","",IFERROR(1-ABS(Y64-Z64)/$B$31,0))</f>
        <v/>
      </c>
      <c r="AE64">
        <f>IF(X64="","",IF($E$9&gt;$E$8,IFERROR((INDEX(GERAL[SNAP],31)-$E$8)/($E$9-$E$8),0),0))</f>
        <v/>
      </c>
      <c r="AF64">
        <f>IF(OR(X64="",AG64&lt;&gt;"DIREITO"),"",$L$2*IFERROR(Y64/$B$31,0)+$L$3*IF($D$31&gt;0,IFERROR(AC64/$D$31,0),0)+$L$4*IFERROR(AD64,0)-$L$5*IFERROR(AE64,0)-$L$6*MAX(0,IFERROR(AB64,0)-$L$7)+ROW()/1000000)</f>
        <v/>
      </c>
      <c r="AG64">
        <f>IFERROR(INDEX(GERAL[LADO],31),"")</f>
        <v/>
      </c>
    </row>
    <row r="65">
      <c r="M65">
        <f>IFERROR(INDEX(GERAL[PONTO],52),"")</f>
        <v/>
      </c>
      <c r="N65">
        <f>IF(M65="","",IFERROR(INDEX(GERAL[ACUMULADA],52),0))</f>
        <v/>
      </c>
      <c r="O65">
        <f>IF(N65="","",$B$11-N65)</f>
        <v/>
      </c>
      <c r="P65">
        <f>IF(N65="","",IF(N65*1.15&lt;=30,30,IF(N65*1.15&lt;=45,45,IF(N65*1.15&lt;=75,75,IF(N65*1.15&lt;=112.5,112.5,IF(N65*1.15&lt;=150,150,IF(N65*1.15&lt;=225,225,300)))))))</f>
        <v/>
      </c>
      <c r="Q65">
        <f>IF(P65="","",IFERROR(N65/P65,0))</f>
        <v/>
      </c>
      <c r="R65">
        <f>IF(M65="","",IFERROR(INDEX(Tabela7[QT %],MATCH(M65,Tabela7[PONTO],0)),0))</f>
        <v/>
      </c>
      <c r="S65">
        <f>IF(N65="","",IFERROR(1-ABS(N65-O65)/$B$11,0))</f>
        <v/>
      </c>
      <c r="T65">
        <f>IF(M65="","",IF($B$9&gt;$B$8,IFERROR((INDEX(GERAL[SNAP],52)-$B$8)/($B$9-$B$8),0),0))</f>
        <v/>
      </c>
      <c r="U65">
        <f>IF(OR(M65="",V65&lt;&gt;"ESQUERDO"),"",$L$2*IFERROR(N65/$B$11,0)+$L$3*IF($D$11&gt;0,IFERROR(R65/$D$11,0),0)+$L$4*IFERROR(S65,0)-$L$5*IFERROR(T65,0)-$L$6*MAX(0,IFERROR(Q65,0)-$L$7)+ROW()/1000000)</f>
        <v/>
      </c>
      <c r="V65">
        <f>IFERROR(INDEX(GERAL[LADO],52),"")</f>
        <v/>
      </c>
      <c r="X65">
        <f>IFERROR(INDEX(GERAL[PONTO],32),"")</f>
        <v/>
      </c>
      <c r="Y65">
        <f>IF(X65="","",IFERROR(INDEX(GERAL[ACUMULADA],32),0))</f>
        <v/>
      </c>
      <c r="Z65">
        <f>IF(Y65="","",$B$31-Y65)</f>
        <v/>
      </c>
      <c r="AA65">
        <f>IF(Y65="","",IF(Y65*1.15&lt;=30,30,IF(Y65*1.15&lt;=45,45,IF(Y65*1.15&lt;=75,75,IF(Y65*1.15&lt;=112.5,112.5,IF(Y65*1.15&lt;=150,150,IF(Y65*1.15&lt;=225,225,300)))))))</f>
        <v/>
      </c>
      <c r="AB65">
        <f>IF(AA65="","",IFERROR(Y65/AA65,0))</f>
        <v/>
      </c>
      <c r="AC65">
        <f>IF(X65="","",IFERROR(INDEX(DIR_ATUAL[QT %],MATCH(X65,DIR_ATUAL[PONTO],0)),0))</f>
        <v/>
      </c>
      <c r="AD65">
        <f>IF(Y65="","",IFERROR(1-ABS(Y65-Z65)/$B$31,0))</f>
        <v/>
      </c>
      <c r="AE65">
        <f>IF(X65="","",IF($E$9&gt;$E$8,IFERROR((INDEX(GERAL[SNAP],32)-$E$8)/($E$9-$E$8),0),0))</f>
        <v/>
      </c>
      <c r="AF65">
        <f>IF(OR(X65="",AG65&lt;&gt;"DIREITO"),"",$L$2*IFERROR(Y65/$B$31,0)+$L$3*IF($D$31&gt;0,IFERROR(AC65/$D$31,0),0)+$L$4*IFERROR(AD65,0)-$L$5*IFERROR(AE65,0)-$L$6*MAX(0,IFERROR(AB65,0)-$L$7)+ROW()/1000000)</f>
        <v/>
      </c>
      <c r="AG65">
        <f>IFERROR(INDEX(GERAL[LADO],32),"")</f>
        <v/>
      </c>
    </row>
    <row r="66">
      <c r="M66">
        <f>IFERROR(INDEX(GERAL[PONTO],53),"")</f>
        <v/>
      </c>
      <c r="N66">
        <f>IF(M66="","",IFERROR(INDEX(GERAL[ACUMULADA],53),0))</f>
        <v/>
      </c>
      <c r="O66">
        <f>IF(N66="","",$B$11-N66)</f>
        <v/>
      </c>
      <c r="P66">
        <f>IF(N66="","",IF(N66*1.15&lt;=30,30,IF(N66*1.15&lt;=45,45,IF(N66*1.15&lt;=75,75,IF(N66*1.15&lt;=112.5,112.5,IF(N66*1.15&lt;=150,150,IF(N66*1.15&lt;=225,225,300)))))))</f>
        <v/>
      </c>
      <c r="Q66">
        <f>IF(P66="","",IFERROR(N66/P66,0))</f>
        <v/>
      </c>
      <c r="R66">
        <f>IF(M66="","",IFERROR(INDEX(Tabela7[QT %],MATCH(M66,Tabela7[PONTO],0)),0))</f>
        <v/>
      </c>
      <c r="S66">
        <f>IF(N66="","",IFERROR(1-ABS(N66-O66)/$B$11,0))</f>
        <v/>
      </c>
      <c r="T66">
        <f>IF(M66="","",IF($B$9&gt;$B$8,IFERROR((INDEX(GERAL[SNAP],53)-$B$8)/($B$9-$B$8),0),0))</f>
        <v/>
      </c>
      <c r="U66">
        <f>IF(OR(M66="",V66&lt;&gt;"ESQUERDO"),"",$L$2*IFERROR(N66/$B$11,0)+$L$3*IF($D$11&gt;0,IFERROR(R66/$D$11,0),0)+$L$4*IFERROR(S66,0)-$L$5*IFERROR(T66,0)-$L$6*MAX(0,IFERROR(Q66,0)-$L$7)+ROW()/1000000)</f>
        <v/>
      </c>
      <c r="V66">
        <f>IFERROR(INDEX(GERAL[LADO],53),"")</f>
        <v/>
      </c>
      <c r="X66">
        <f>IFERROR(INDEX(GERAL[PONTO],33),"")</f>
        <v/>
      </c>
      <c r="Y66">
        <f>IF(X66="","",IFERROR(INDEX(GERAL[ACUMULADA],33),0))</f>
        <v/>
      </c>
      <c r="Z66">
        <f>IF(Y66="","",$B$31-Y66)</f>
        <v/>
      </c>
      <c r="AA66">
        <f>IF(Y66="","",IF(Y66*1.15&lt;=30,30,IF(Y66*1.15&lt;=45,45,IF(Y66*1.15&lt;=75,75,IF(Y66*1.15&lt;=112.5,112.5,IF(Y66*1.15&lt;=150,150,IF(Y66*1.15&lt;=225,225,300)))))))</f>
        <v/>
      </c>
      <c r="AB66">
        <f>IF(AA66="","",IFERROR(Y66/AA66,0))</f>
        <v/>
      </c>
      <c r="AC66">
        <f>IF(X66="","",IFERROR(INDEX(DIR_ATUAL[QT %],MATCH(X66,DIR_ATUAL[PONTO],0)),0))</f>
        <v/>
      </c>
      <c r="AD66">
        <f>IF(Y66="","",IFERROR(1-ABS(Y66-Z66)/$B$31,0))</f>
        <v/>
      </c>
      <c r="AE66">
        <f>IF(X66="","",IF($E$9&gt;$E$8,IFERROR((INDEX(GERAL[SNAP],33)-$E$8)/($E$9-$E$8),0),0))</f>
        <v/>
      </c>
      <c r="AF66">
        <f>IF(OR(X66="",AG66&lt;&gt;"DIREITO"),"",$L$2*IFERROR(Y66/$B$31,0)+$L$3*IF($D$31&gt;0,IFERROR(AC66/$D$31,0),0)+$L$4*IFERROR(AD66,0)-$L$5*IFERROR(AE66,0)-$L$6*MAX(0,IFERROR(AB66,0)-$L$7)+ROW()/1000000)</f>
        <v/>
      </c>
      <c r="AG66">
        <f>IFERROR(INDEX(GERAL[LADO],33),"")</f>
        <v/>
      </c>
    </row>
    <row r="67">
      <c r="M67">
        <f>IFERROR(INDEX(GERAL[PONTO],54),"")</f>
        <v/>
      </c>
      <c r="N67">
        <f>IF(M67="","",IFERROR(INDEX(GERAL[ACUMULADA],54),0))</f>
        <v/>
      </c>
      <c r="O67">
        <f>IF(N67="","",$B$11-N67)</f>
        <v/>
      </c>
      <c r="P67">
        <f>IF(N67="","",IF(N67*1.15&lt;=30,30,IF(N67*1.15&lt;=45,45,IF(N67*1.15&lt;=75,75,IF(N67*1.15&lt;=112.5,112.5,IF(N67*1.15&lt;=150,150,IF(N67*1.15&lt;=225,225,300)))))))</f>
        <v/>
      </c>
      <c r="Q67">
        <f>IF(P67="","",IFERROR(N67/P67,0))</f>
        <v/>
      </c>
      <c r="R67">
        <f>IF(M67="","",IFERROR(INDEX(Tabela7[QT %],MATCH(M67,Tabela7[PONTO],0)),0))</f>
        <v/>
      </c>
      <c r="S67">
        <f>IF(N67="","",IFERROR(1-ABS(N67-O67)/$B$11,0))</f>
        <v/>
      </c>
      <c r="T67">
        <f>IF(M67="","",IF($B$9&gt;$B$8,IFERROR((INDEX(GERAL[SNAP],54)-$B$8)/($B$9-$B$8),0),0))</f>
        <v/>
      </c>
      <c r="U67">
        <f>IF(OR(M67="",V67&lt;&gt;"ESQUERDO"),"",$L$2*IFERROR(N67/$B$11,0)+$L$3*IF($D$11&gt;0,IFERROR(R67/$D$11,0),0)+$L$4*IFERROR(S67,0)-$L$5*IFERROR(T67,0)-$L$6*MAX(0,IFERROR(Q67,0)-$L$7)+ROW()/1000000)</f>
        <v/>
      </c>
      <c r="V67">
        <f>IFERROR(INDEX(GERAL[LADO],54),"")</f>
        <v/>
      </c>
      <c r="X67">
        <f>IFERROR(INDEX(GERAL[PONTO],34),"")</f>
        <v/>
      </c>
      <c r="Y67">
        <f>IF(X67="","",IFERROR(INDEX(GERAL[ACUMULADA],34),0))</f>
        <v/>
      </c>
      <c r="Z67">
        <f>IF(Y67="","",$B$31-Y67)</f>
        <v/>
      </c>
      <c r="AA67">
        <f>IF(Y67="","",IF(Y67*1.15&lt;=30,30,IF(Y67*1.15&lt;=45,45,IF(Y67*1.15&lt;=75,75,IF(Y67*1.15&lt;=112.5,112.5,IF(Y67*1.15&lt;=150,150,IF(Y67*1.15&lt;=225,225,300)))))))</f>
        <v/>
      </c>
      <c r="AB67">
        <f>IF(AA67="","",IFERROR(Y67/AA67,0))</f>
        <v/>
      </c>
      <c r="AC67">
        <f>IF(X67="","",IFERROR(INDEX(DIR_ATUAL[QT %],MATCH(X67,DIR_ATUAL[PONTO],0)),0))</f>
        <v/>
      </c>
      <c r="AD67">
        <f>IF(Y67="","",IFERROR(1-ABS(Y67-Z67)/$B$31,0))</f>
        <v/>
      </c>
      <c r="AE67">
        <f>IF(X67="","",IF($E$9&gt;$E$8,IFERROR((INDEX(GERAL[SNAP],34)-$E$8)/($E$9-$E$8),0),0))</f>
        <v/>
      </c>
      <c r="AF67">
        <f>IF(OR(X67="",AG67&lt;&gt;"DIREITO"),"",$L$2*IFERROR(Y67/$B$31,0)+$L$3*IF($D$31&gt;0,IFERROR(AC67/$D$31,0),0)+$L$4*IFERROR(AD67,0)-$L$5*IFERROR(AE67,0)-$L$6*MAX(0,IFERROR(AB67,0)-$L$7)+ROW()/1000000)</f>
        <v/>
      </c>
      <c r="AG67">
        <f>IFERROR(INDEX(GERAL[LADO],34),"")</f>
        <v/>
      </c>
    </row>
    <row r="68">
      <c r="M68">
        <f>IFERROR(INDEX(GERAL[PONTO],55),"")</f>
        <v/>
      </c>
      <c r="N68">
        <f>IF(M68="","",IFERROR(INDEX(GERAL[ACUMULADA],55),0))</f>
        <v/>
      </c>
      <c r="O68">
        <f>IF(N68="","",$B$11-N68)</f>
        <v/>
      </c>
      <c r="P68">
        <f>IF(N68="","",IF(N68*1.15&lt;=30,30,IF(N68*1.15&lt;=45,45,IF(N68*1.15&lt;=75,75,IF(N68*1.15&lt;=112.5,112.5,IF(N68*1.15&lt;=150,150,IF(N68*1.15&lt;=225,225,300)))))))</f>
        <v/>
      </c>
      <c r="Q68">
        <f>IF(P68="","",IFERROR(N68/P68,0))</f>
        <v/>
      </c>
      <c r="R68">
        <f>IF(M68="","",IFERROR(INDEX(Tabela7[QT %],MATCH(M68,Tabela7[PONTO],0)),0))</f>
        <v/>
      </c>
      <c r="S68">
        <f>IF(N68="","",IFERROR(1-ABS(N68-O68)/$B$11,0))</f>
        <v/>
      </c>
      <c r="T68">
        <f>IF(M68="","",IF($B$9&gt;$B$8,IFERROR((INDEX(GERAL[SNAP],55)-$B$8)/($B$9-$B$8),0),0))</f>
        <v/>
      </c>
      <c r="U68">
        <f>IF(OR(M68="",V68&lt;&gt;"ESQUERDO"),"",$L$2*IFERROR(N68/$B$11,0)+$L$3*IF($D$11&gt;0,IFERROR(R68/$D$11,0),0)+$L$4*IFERROR(S68,0)-$L$5*IFERROR(T68,0)-$L$6*MAX(0,IFERROR(Q68,0)-$L$7)+ROW()/1000000)</f>
        <v/>
      </c>
      <c r="V68">
        <f>IFERROR(INDEX(GERAL[LADO],55),"")</f>
        <v/>
      </c>
      <c r="X68">
        <f>IFERROR(INDEX(GERAL[PONTO],35),"")</f>
        <v/>
      </c>
      <c r="Y68">
        <f>IF(X68="","",IFERROR(INDEX(GERAL[ACUMULADA],35),0))</f>
        <v/>
      </c>
      <c r="Z68">
        <f>IF(Y68="","",$B$31-Y68)</f>
        <v/>
      </c>
      <c r="AA68">
        <f>IF(Y68="","",IF(Y68*1.15&lt;=30,30,IF(Y68*1.15&lt;=45,45,IF(Y68*1.15&lt;=75,75,IF(Y68*1.15&lt;=112.5,112.5,IF(Y68*1.15&lt;=150,150,IF(Y68*1.15&lt;=225,225,300)))))))</f>
        <v/>
      </c>
      <c r="AB68">
        <f>IF(AA68="","",IFERROR(Y68/AA68,0))</f>
        <v/>
      </c>
      <c r="AC68">
        <f>IF(X68="","",IFERROR(INDEX(DIR_ATUAL[QT %],MATCH(X68,DIR_ATUAL[PONTO],0)),0))</f>
        <v/>
      </c>
      <c r="AD68">
        <f>IF(Y68="","",IFERROR(1-ABS(Y68-Z68)/$B$31,0))</f>
        <v/>
      </c>
      <c r="AE68">
        <f>IF(X68="","",IF($E$9&gt;$E$8,IFERROR((INDEX(GERAL[SNAP],35)-$E$8)/($E$9-$E$8),0),0))</f>
        <v/>
      </c>
      <c r="AF68">
        <f>IF(OR(X68="",AG68&lt;&gt;"DIREITO"),"",$L$2*IFERROR(Y68/$B$31,0)+$L$3*IF($D$31&gt;0,IFERROR(AC68/$D$31,0),0)+$L$4*IFERROR(AD68,0)-$L$5*IFERROR(AE68,0)-$L$6*MAX(0,IFERROR(AB68,0)-$L$7)+ROW()/1000000)</f>
        <v/>
      </c>
      <c r="AG68">
        <f>IFERROR(INDEX(GERAL[LADO],35),"")</f>
        <v/>
      </c>
    </row>
    <row r="69">
      <c r="M69">
        <f>IFERROR(INDEX(GERAL[PONTO],56),"")</f>
        <v/>
      </c>
      <c r="N69">
        <f>IF(M69="","",IFERROR(INDEX(GERAL[ACUMULADA],56),0))</f>
        <v/>
      </c>
      <c r="O69">
        <f>IF(N69="","",$B$11-N69)</f>
        <v/>
      </c>
      <c r="P69">
        <f>IF(N69="","",IF(N69*1.15&lt;=30,30,IF(N69*1.15&lt;=45,45,IF(N69*1.15&lt;=75,75,IF(N69*1.15&lt;=112.5,112.5,IF(N69*1.15&lt;=150,150,IF(N69*1.15&lt;=225,225,300)))))))</f>
        <v/>
      </c>
      <c r="Q69">
        <f>IF(P69="","",IFERROR(N69/P69,0))</f>
        <v/>
      </c>
      <c r="R69">
        <f>IF(M69="","",IFERROR(INDEX(Tabela7[QT %],MATCH(M69,Tabela7[PONTO],0)),0))</f>
        <v/>
      </c>
      <c r="S69">
        <f>IF(N69="","",IFERROR(1-ABS(N69-O69)/$B$11,0))</f>
        <v/>
      </c>
      <c r="T69">
        <f>IF(M69="","",IF($B$9&gt;$B$8,IFERROR((INDEX(GERAL[SNAP],56)-$B$8)/($B$9-$B$8),0),0))</f>
        <v/>
      </c>
      <c r="U69">
        <f>IF(OR(M69="",V69&lt;&gt;"ESQUERDO"),"",$L$2*IFERROR(N69/$B$11,0)+$L$3*IF($D$11&gt;0,IFERROR(R69/$D$11,0),0)+$L$4*IFERROR(S69,0)-$L$5*IFERROR(T69,0)-$L$6*MAX(0,IFERROR(Q69,0)-$L$7)+ROW()/1000000)</f>
        <v/>
      </c>
      <c r="V69">
        <f>IFERROR(INDEX(GERAL[LADO],56),"")</f>
        <v/>
      </c>
      <c r="X69">
        <f>IFERROR(INDEX(GERAL[PONTO],36),"")</f>
        <v/>
      </c>
      <c r="Y69">
        <f>IF(X69="","",IFERROR(INDEX(GERAL[ACUMULADA],36),0))</f>
        <v/>
      </c>
      <c r="Z69">
        <f>IF(Y69="","",$B$31-Y69)</f>
        <v/>
      </c>
      <c r="AA69">
        <f>IF(Y69="","",IF(Y69*1.15&lt;=30,30,IF(Y69*1.15&lt;=45,45,IF(Y69*1.15&lt;=75,75,IF(Y69*1.15&lt;=112.5,112.5,IF(Y69*1.15&lt;=150,150,IF(Y69*1.15&lt;=225,225,300)))))))</f>
        <v/>
      </c>
      <c r="AB69">
        <f>IF(AA69="","",IFERROR(Y69/AA69,0))</f>
        <v/>
      </c>
      <c r="AC69">
        <f>IF(X69="","",IFERROR(INDEX(DIR_ATUAL[QT %],MATCH(X69,DIR_ATUAL[PONTO],0)),0))</f>
        <v/>
      </c>
      <c r="AD69">
        <f>IF(Y69="","",IFERROR(1-ABS(Y69-Z69)/$B$31,0))</f>
        <v/>
      </c>
      <c r="AE69">
        <f>IF(X69="","",IF($E$9&gt;$E$8,IFERROR((INDEX(GERAL[SNAP],36)-$E$8)/($E$9-$E$8),0),0))</f>
        <v/>
      </c>
      <c r="AF69">
        <f>IF(OR(X69="",AG69&lt;&gt;"DIREITO"),"",$L$2*IFERROR(Y69/$B$31,0)+$L$3*IF($D$31&gt;0,IFERROR(AC69/$D$31,0),0)+$L$4*IFERROR(AD69,0)-$L$5*IFERROR(AE69,0)-$L$6*MAX(0,IFERROR(AB69,0)-$L$7)+ROW()/1000000)</f>
        <v/>
      </c>
      <c r="AG69">
        <f>IFERROR(INDEX(GERAL[LADO],36),"")</f>
        <v/>
      </c>
    </row>
    <row r="70">
      <c r="M70">
        <f>IFERROR(INDEX(GERAL[PONTO],57),"")</f>
        <v/>
      </c>
      <c r="N70">
        <f>IF(M70="","",IFERROR(INDEX(GERAL[ACUMULADA],57),0))</f>
        <v/>
      </c>
      <c r="O70">
        <f>IF(N70="","",$B$11-N70)</f>
        <v/>
      </c>
      <c r="P70">
        <f>IF(N70="","",IF(N70*1.15&lt;=30,30,IF(N70*1.15&lt;=45,45,IF(N70*1.15&lt;=75,75,IF(N70*1.15&lt;=112.5,112.5,IF(N70*1.15&lt;=150,150,IF(N70*1.15&lt;=225,225,300)))))))</f>
        <v/>
      </c>
      <c r="Q70">
        <f>IF(P70="","",IFERROR(N70/P70,0))</f>
        <v/>
      </c>
      <c r="R70">
        <f>IF(M70="","",IFERROR(INDEX(Tabela7[QT %],MATCH(M70,Tabela7[PONTO],0)),0))</f>
        <v/>
      </c>
      <c r="S70">
        <f>IF(N70="","",IFERROR(1-ABS(N70-O70)/$B$11,0))</f>
        <v/>
      </c>
      <c r="T70">
        <f>IF(M70="","",IF($B$9&gt;$B$8,IFERROR((INDEX(GERAL[SNAP],57)-$B$8)/($B$9-$B$8),0),0))</f>
        <v/>
      </c>
      <c r="U70">
        <f>IF(OR(M70="",V70&lt;&gt;"ESQUERDO"),"",$L$2*IFERROR(N70/$B$11,0)+$L$3*IF($D$11&gt;0,IFERROR(R70/$D$11,0),0)+$L$4*IFERROR(S70,0)-$L$5*IFERROR(T70,0)-$L$6*MAX(0,IFERROR(Q70,0)-$L$7)+ROW()/1000000)</f>
        <v/>
      </c>
      <c r="V70">
        <f>IFERROR(INDEX(GERAL[LADO],57),"")</f>
        <v/>
      </c>
      <c r="X70">
        <f>IFERROR(INDEX(GERAL[PONTO],37),"")</f>
        <v/>
      </c>
      <c r="Y70">
        <f>IF(X70="","",IFERROR(INDEX(GERAL[ACUMULADA],37),0))</f>
        <v/>
      </c>
      <c r="Z70">
        <f>IF(Y70="","",$B$31-Y70)</f>
        <v/>
      </c>
      <c r="AA70">
        <f>IF(Y70="","",IF(Y70*1.15&lt;=30,30,IF(Y70*1.15&lt;=45,45,IF(Y70*1.15&lt;=75,75,IF(Y70*1.15&lt;=112.5,112.5,IF(Y70*1.15&lt;=150,150,IF(Y70*1.15&lt;=225,225,300)))))))</f>
        <v/>
      </c>
      <c r="AB70">
        <f>IF(AA70="","",IFERROR(Y70/AA70,0))</f>
        <v/>
      </c>
      <c r="AC70">
        <f>IF(X70="","",IFERROR(INDEX(DIR_ATUAL[QT %],MATCH(X70,DIR_ATUAL[PONTO],0)),0))</f>
        <v/>
      </c>
      <c r="AD70">
        <f>IF(Y70="","",IFERROR(1-ABS(Y70-Z70)/$B$31,0))</f>
        <v/>
      </c>
      <c r="AE70">
        <f>IF(X70="","",IF($E$9&gt;$E$8,IFERROR((INDEX(GERAL[SNAP],37)-$E$8)/($E$9-$E$8),0),0))</f>
        <v/>
      </c>
      <c r="AF70">
        <f>IF(OR(X70="",AG70&lt;&gt;"DIREITO"),"",$L$2*IFERROR(Y70/$B$31,0)+$L$3*IF($D$31&gt;0,IFERROR(AC70/$D$31,0),0)+$L$4*IFERROR(AD70,0)-$L$5*IFERROR(AE70,0)-$L$6*MAX(0,IFERROR(AB70,0)-$L$7)+ROW()/1000000)</f>
        <v/>
      </c>
      <c r="AG70">
        <f>IFERROR(INDEX(GERAL[LADO],37),"")</f>
        <v/>
      </c>
    </row>
    <row r="71">
      <c r="M71">
        <f>IFERROR(INDEX(GERAL[PONTO],58),"")</f>
        <v/>
      </c>
      <c r="N71">
        <f>IF(M71="","",IFERROR(INDEX(GERAL[ACUMULADA],58),0))</f>
        <v/>
      </c>
      <c r="O71">
        <f>IF(N71="","",$B$11-N71)</f>
        <v/>
      </c>
      <c r="P71">
        <f>IF(N71="","",IF(N71*1.15&lt;=30,30,IF(N71*1.15&lt;=45,45,IF(N71*1.15&lt;=75,75,IF(N71*1.15&lt;=112.5,112.5,IF(N71*1.15&lt;=150,150,IF(N71*1.15&lt;=225,225,300)))))))</f>
        <v/>
      </c>
      <c r="Q71">
        <f>IF(P71="","",IFERROR(N71/P71,0))</f>
        <v/>
      </c>
      <c r="R71">
        <f>IF(M71="","",IFERROR(INDEX(Tabela7[QT %],MATCH(M71,Tabela7[PONTO],0)),0))</f>
        <v/>
      </c>
      <c r="S71">
        <f>IF(N71="","",IFERROR(1-ABS(N71-O71)/$B$11,0))</f>
        <v/>
      </c>
      <c r="T71">
        <f>IF(M71="","",IF($B$9&gt;$B$8,IFERROR((INDEX(GERAL[SNAP],58)-$B$8)/($B$9-$B$8),0),0))</f>
        <v/>
      </c>
      <c r="U71">
        <f>IF(OR(M71="",V71&lt;&gt;"ESQUERDO"),"",$L$2*IFERROR(N71/$B$11,0)+$L$3*IF($D$11&gt;0,IFERROR(R71/$D$11,0),0)+$L$4*IFERROR(S71,0)-$L$5*IFERROR(T71,0)-$L$6*MAX(0,IFERROR(Q71,0)-$L$7)+ROW()/1000000)</f>
        <v/>
      </c>
      <c r="V71">
        <f>IFERROR(INDEX(GERAL[LADO],58),"")</f>
        <v/>
      </c>
      <c r="X71">
        <f>IFERROR(INDEX(GERAL[PONTO],38),"")</f>
        <v/>
      </c>
      <c r="Y71">
        <f>IF(X71="","",IFERROR(INDEX(GERAL[ACUMULADA],38),0))</f>
        <v/>
      </c>
      <c r="Z71">
        <f>IF(Y71="","",$B$31-Y71)</f>
        <v/>
      </c>
      <c r="AA71">
        <f>IF(Y71="","",IF(Y71*1.15&lt;=30,30,IF(Y71*1.15&lt;=45,45,IF(Y71*1.15&lt;=75,75,IF(Y71*1.15&lt;=112.5,112.5,IF(Y71*1.15&lt;=150,150,IF(Y71*1.15&lt;=225,225,300)))))))</f>
        <v/>
      </c>
      <c r="AB71">
        <f>IF(AA71="","",IFERROR(Y71/AA71,0))</f>
        <v/>
      </c>
      <c r="AC71">
        <f>IF(X71="","",IFERROR(INDEX(DIR_ATUAL[QT %],MATCH(X71,DIR_ATUAL[PONTO],0)),0))</f>
        <v/>
      </c>
      <c r="AD71">
        <f>IF(Y71="","",IFERROR(1-ABS(Y71-Z71)/$B$31,0))</f>
        <v/>
      </c>
      <c r="AE71">
        <f>IF(X71="","",IF($E$9&gt;$E$8,IFERROR((INDEX(GERAL[SNAP],38)-$E$8)/($E$9-$E$8),0),0))</f>
        <v/>
      </c>
      <c r="AF71">
        <f>IF(OR(X71="",AG71&lt;&gt;"DIREITO"),"",$L$2*IFERROR(Y71/$B$31,0)+$L$3*IF($D$31&gt;0,IFERROR(AC71/$D$31,0),0)+$L$4*IFERROR(AD71,0)-$L$5*IFERROR(AE71,0)-$L$6*MAX(0,IFERROR(AB71,0)-$L$7)+ROW()/1000000)</f>
        <v/>
      </c>
      <c r="AG71">
        <f>IFERROR(INDEX(GERAL[LADO],38),"")</f>
        <v/>
      </c>
    </row>
    <row r="72">
      <c r="M72">
        <f>IFERROR(INDEX(GERAL[PONTO],59),"")</f>
        <v/>
      </c>
      <c r="N72">
        <f>IF(M72="","",IFERROR(INDEX(GERAL[ACUMULADA],59),0))</f>
        <v/>
      </c>
      <c r="O72">
        <f>IF(N72="","",$B$11-N72)</f>
        <v/>
      </c>
      <c r="P72">
        <f>IF(N72="","",IF(N72*1.15&lt;=30,30,IF(N72*1.15&lt;=45,45,IF(N72*1.15&lt;=75,75,IF(N72*1.15&lt;=112.5,112.5,IF(N72*1.15&lt;=150,150,IF(N72*1.15&lt;=225,225,300)))))))</f>
        <v/>
      </c>
      <c r="Q72">
        <f>IF(P72="","",IFERROR(N72/P72,0))</f>
        <v/>
      </c>
      <c r="R72">
        <f>IF(M72="","",IFERROR(INDEX(Tabela7[QT %],MATCH(M72,Tabela7[PONTO],0)),0))</f>
        <v/>
      </c>
      <c r="S72">
        <f>IF(N72="","",IFERROR(1-ABS(N72-O72)/$B$11,0))</f>
        <v/>
      </c>
      <c r="T72">
        <f>IF(M72="","",IF($B$9&gt;$B$8,IFERROR((INDEX(GERAL[SNAP],59)-$B$8)/($B$9-$B$8),0),0))</f>
        <v/>
      </c>
      <c r="U72">
        <f>IF(OR(M72="",V72&lt;&gt;"ESQUERDO"),"",$L$2*IFERROR(N72/$B$11,0)+$L$3*IF($D$11&gt;0,IFERROR(R72/$D$11,0),0)+$L$4*IFERROR(S72,0)-$L$5*IFERROR(T72,0)-$L$6*MAX(0,IFERROR(Q72,0)-$L$7)+ROW()/1000000)</f>
        <v/>
      </c>
      <c r="V72">
        <f>IFERROR(INDEX(GERAL[LADO],59),"")</f>
        <v/>
      </c>
      <c r="X72">
        <f>IFERROR(INDEX(GERAL[PONTO],39),"")</f>
        <v/>
      </c>
      <c r="Y72">
        <f>IF(X72="","",IFERROR(INDEX(GERAL[ACUMULADA],39),0))</f>
        <v/>
      </c>
      <c r="Z72">
        <f>IF(Y72="","",$B$31-Y72)</f>
        <v/>
      </c>
      <c r="AA72">
        <f>IF(Y72="","",IF(Y72*1.15&lt;=30,30,IF(Y72*1.15&lt;=45,45,IF(Y72*1.15&lt;=75,75,IF(Y72*1.15&lt;=112.5,112.5,IF(Y72*1.15&lt;=150,150,IF(Y72*1.15&lt;=225,225,300)))))))</f>
        <v/>
      </c>
      <c r="AB72">
        <f>IF(AA72="","",IFERROR(Y72/AA72,0))</f>
        <v/>
      </c>
      <c r="AC72">
        <f>IF(X72="","",IFERROR(INDEX(DIR_ATUAL[QT %],MATCH(X72,DIR_ATUAL[PONTO],0)),0))</f>
        <v/>
      </c>
      <c r="AD72">
        <f>IF(Y72="","",IFERROR(1-ABS(Y72-Z72)/$B$31,0))</f>
        <v/>
      </c>
      <c r="AE72">
        <f>IF(X72="","",IF($E$9&gt;$E$8,IFERROR((INDEX(GERAL[SNAP],39)-$E$8)/($E$9-$E$8),0),0))</f>
        <v/>
      </c>
      <c r="AF72">
        <f>IF(OR(X72="",AG72&lt;&gt;"DIREITO"),"",$L$2*IFERROR(Y72/$B$31,0)+$L$3*IF($D$31&gt;0,IFERROR(AC72/$D$31,0),0)+$L$4*IFERROR(AD72,0)-$L$5*IFERROR(AE72,0)-$L$6*MAX(0,IFERROR(AB72,0)-$L$7)+ROW()/1000000)</f>
        <v/>
      </c>
      <c r="AG72">
        <f>IFERROR(INDEX(GERAL[LADO],39),"")</f>
        <v/>
      </c>
    </row>
    <row r="73">
      <c r="M73">
        <f>IFERROR(INDEX(GERAL[PONTO],60),"")</f>
        <v/>
      </c>
      <c r="N73">
        <f>IF(M73="","",IFERROR(INDEX(GERAL[ACUMULADA],60),0))</f>
        <v/>
      </c>
      <c r="O73">
        <f>IF(N73="","",$B$11-N73)</f>
        <v/>
      </c>
      <c r="P73">
        <f>IF(N73="","",IF(N73*1.15&lt;=30,30,IF(N73*1.15&lt;=45,45,IF(N73*1.15&lt;=75,75,IF(N73*1.15&lt;=112.5,112.5,IF(N73*1.15&lt;=150,150,IF(N73*1.15&lt;=225,225,300)))))))</f>
        <v/>
      </c>
      <c r="Q73">
        <f>IF(P73="","",IFERROR(N73/P73,0))</f>
        <v/>
      </c>
      <c r="R73">
        <f>IF(M73="","",IFERROR(INDEX(Tabela7[QT %],MATCH(M73,Tabela7[PONTO],0)),0))</f>
        <v/>
      </c>
      <c r="S73">
        <f>IF(N73="","",IFERROR(1-ABS(N73-O73)/$B$11,0))</f>
        <v/>
      </c>
      <c r="T73">
        <f>IF(M73="","",IF($B$9&gt;$B$8,IFERROR((INDEX(GERAL[SNAP],60)-$B$8)/($B$9-$B$8),0),0))</f>
        <v/>
      </c>
      <c r="U73">
        <f>IF(OR(M73="",V73&lt;&gt;"ESQUERDO"),"",$L$2*IFERROR(N73/$B$11,0)+$L$3*IF($D$11&gt;0,IFERROR(R73/$D$11,0),0)+$L$4*IFERROR(S73,0)-$L$5*IFERROR(T73,0)-$L$6*MAX(0,IFERROR(Q73,0)-$L$7)+ROW()/1000000)</f>
        <v/>
      </c>
      <c r="V73">
        <f>IFERROR(INDEX(GERAL[LADO],60),"")</f>
        <v/>
      </c>
      <c r="X73">
        <f>IFERROR(INDEX(GERAL[PONTO],40),"")</f>
        <v/>
      </c>
      <c r="Y73">
        <f>IF(X73="","",IFERROR(INDEX(GERAL[ACUMULADA],40),0))</f>
        <v/>
      </c>
      <c r="Z73">
        <f>IF(Y73="","",$B$31-Y73)</f>
        <v/>
      </c>
      <c r="AA73">
        <f>IF(Y73="","",IF(Y73*1.15&lt;=30,30,IF(Y73*1.15&lt;=45,45,IF(Y73*1.15&lt;=75,75,IF(Y73*1.15&lt;=112.5,112.5,IF(Y73*1.15&lt;=150,150,IF(Y73*1.15&lt;=225,225,300)))))))</f>
        <v/>
      </c>
      <c r="AB73">
        <f>IF(AA73="","",IFERROR(Y73/AA73,0))</f>
        <v/>
      </c>
      <c r="AC73">
        <f>IF(X73="","",IFERROR(INDEX(DIR_ATUAL[QT %],MATCH(X73,DIR_ATUAL[PONTO],0)),0))</f>
        <v/>
      </c>
      <c r="AD73">
        <f>IF(Y73="","",IFERROR(1-ABS(Y73-Z73)/$B$31,0))</f>
        <v/>
      </c>
      <c r="AE73">
        <f>IF(X73="","",IF($E$9&gt;$E$8,IFERROR((INDEX(GERAL[SNAP],40)-$E$8)/($E$9-$E$8),0),0))</f>
        <v/>
      </c>
      <c r="AF73">
        <f>IF(OR(X73="",AG73&lt;&gt;"DIREITO"),"",$L$2*IFERROR(Y73/$B$31,0)+$L$3*IF($D$31&gt;0,IFERROR(AC73/$D$31,0),0)+$L$4*IFERROR(AD73,0)-$L$5*IFERROR(AE73,0)-$L$6*MAX(0,IFERROR(AB73,0)-$L$7)+ROW()/1000000)</f>
        <v/>
      </c>
      <c r="AG73">
        <f>IFERROR(INDEX(GERAL[LADO],40),"")</f>
        <v/>
      </c>
    </row>
    <row r="74">
      <c r="M74">
        <f>IFERROR(INDEX(GERAL[PONTO],61),"")</f>
        <v/>
      </c>
      <c r="N74">
        <f>IF(M74="","",IFERROR(INDEX(GERAL[ACUMULADA],61),0))</f>
        <v/>
      </c>
      <c r="O74">
        <f>IF(N74="","",$B$11-N74)</f>
        <v/>
      </c>
      <c r="P74">
        <f>IF(N74="","",IF(N74*1.15&lt;=30,30,IF(N74*1.15&lt;=45,45,IF(N74*1.15&lt;=75,75,IF(N74*1.15&lt;=112.5,112.5,IF(N74*1.15&lt;=150,150,IF(N74*1.15&lt;=225,225,300)))))))</f>
        <v/>
      </c>
      <c r="Q74">
        <f>IF(P74="","",IFERROR(N74/P74,0))</f>
        <v/>
      </c>
      <c r="R74">
        <f>IF(M74="","",IFERROR(INDEX(Tabela7[QT %],MATCH(M74,Tabela7[PONTO],0)),0))</f>
        <v/>
      </c>
      <c r="S74">
        <f>IF(N74="","",IFERROR(1-ABS(N74-O74)/$B$11,0))</f>
        <v/>
      </c>
      <c r="T74">
        <f>IF(M74="","",IF($B$9&gt;$B$8,IFERROR((INDEX(GERAL[SNAP],61)-$B$8)/($B$9-$B$8),0),0))</f>
        <v/>
      </c>
      <c r="U74">
        <f>IF(OR(M74="",V74&lt;&gt;"ESQUERDO"),"",$L$2*IFERROR(N74/$B$11,0)+$L$3*IF($D$11&gt;0,IFERROR(R74/$D$11,0),0)+$L$4*IFERROR(S74,0)-$L$5*IFERROR(T74,0)-$L$6*MAX(0,IFERROR(Q74,0)-$L$7)+ROW()/1000000)</f>
        <v/>
      </c>
      <c r="V74">
        <f>IFERROR(INDEX(GERAL[LADO],61),"")</f>
        <v/>
      </c>
      <c r="X74">
        <f>IFERROR(INDEX(GERAL[PONTO],41),"")</f>
        <v/>
      </c>
      <c r="Y74">
        <f>IF(X74="","",IFERROR(INDEX(GERAL[ACUMULADA],41),0))</f>
        <v/>
      </c>
      <c r="Z74">
        <f>IF(Y74="","",$B$31-Y74)</f>
        <v/>
      </c>
      <c r="AA74">
        <f>IF(Y74="","",IF(Y74*1.15&lt;=30,30,IF(Y74*1.15&lt;=45,45,IF(Y74*1.15&lt;=75,75,IF(Y74*1.15&lt;=112.5,112.5,IF(Y74*1.15&lt;=150,150,IF(Y74*1.15&lt;=225,225,300)))))))</f>
        <v/>
      </c>
      <c r="AB74">
        <f>IF(AA74="","",IFERROR(Y74/AA74,0))</f>
        <v/>
      </c>
      <c r="AC74">
        <f>IF(X74="","",IFERROR(INDEX(DIR_ATUAL[QT %],MATCH(X74,DIR_ATUAL[PONTO],0)),0))</f>
        <v/>
      </c>
      <c r="AD74">
        <f>IF(Y74="","",IFERROR(1-ABS(Y74-Z74)/$B$31,0))</f>
        <v/>
      </c>
      <c r="AE74">
        <f>IF(X74="","",IF($E$9&gt;$E$8,IFERROR((INDEX(GERAL[SNAP],41)-$E$8)/($E$9-$E$8),0),0))</f>
        <v/>
      </c>
      <c r="AF74">
        <f>IF(OR(X74="",AG74&lt;&gt;"DIREITO"),"",$L$2*IFERROR(Y74/$B$31,0)+$L$3*IF($D$31&gt;0,IFERROR(AC74/$D$31,0),0)+$L$4*IFERROR(AD74,0)-$L$5*IFERROR(AE74,0)-$L$6*MAX(0,IFERROR(AB74,0)-$L$7)+ROW()/1000000)</f>
        <v/>
      </c>
      <c r="AG74">
        <f>IFERROR(INDEX(GERAL[LADO],41),"")</f>
        <v/>
      </c>
    </row>
    <row r="75">
      <c r="M75">
        <f>IFERROR(INDEX(GERAL[PONTO],62),"")</f>
        <v/>
      </c>
      <c r="N75">
        <f>IF(M75="","",IFERROR(INDEX(GERAL[ACUMULADA],62),0))</f>
        <v/>
      </c>
      <c r="O75">
        <f>IF(N75="","",$B$11-N75)</f>
        <v/>
      </c>
      <c r="P75">
        <f>IF(N75="","",IF(N75*1.15&lt;=30,30,IF(N75*1.15&lt;=45,45,IF(N75*1.15&lt;=75,75,IF(N75*1.15&lt;=112.5,112.5,IF(N75*1.15&lt;=150,150,IF(N75*1.15&lt;=225,225,300)))))))</f>
        <v/>
      </c>
      <c r="Q75">
        <f>IF(P75="","",IFERROR(N75/P75,0))</f>
        <v/>
      </c>
      <c r="R75">
        <f>IF(M75="","",IFERROR(INDEX(Tabela7[QT %],MATCH(M75,Tabela7[PONTO],0)),0))</f>
        <v/>
      </c>
      <c r="S75">
        <f>IF(N75="","",IFERROR(1-ABS(N75-O75)/$B$11,0))</f>
        <v/>
      </c>
      <c r="T75">
        <f>IF(M75="","",IF($B$9&gt;$B$8,IFERROR((INDEX(GERAL[SNAP],62)-$B$8)/($B$9-$B$8),0),0))</f>
        <v/>
      </c>
      <c r="U75">
        <f>IF(OR(M75="",V75&lt;&gt;"ESQUERDO"),"",$L$2*IFERROR(N75/$B$11,0)+$L$3*IF($D$11&gt;0,IFERROR(R75/$D$11,0),0)+$L$4*IFERROR(S75,0)-$L$5*IFERROR(T75,0)-$L$6*MAX(0,IFERROR(Q75,0)-$L$7)+ROW()/1000000)</f>
        <v/>
      </c>
      <c r="V75">
        <f>IFERROR(INDEX(GERAL[LADO],62),"")</f>
        <v/>
      </c>
      <c r="X75">
        <f>IFERROR(INDEX(GERAL[PONTO],42),"")</f>
        <v/>
      </c>
      <c r="Y75">
        <f>IF(X75="","",IFERROR(INDEX(GERAL[ACUMULADA],42),0))</f>
        <v/>
      </c>
      <c r="Z75">
        <f>IF(Y75="","",$B$31-Y75)</f>
        <v/>
      </c>
      <c r="AA75">
        <f>IF(Y75="","",IF(Y75*1.15&lt;=30,30,IF(Y75*1.15&lt;=45,45,IF(Y75*1.15&lt;=75,75,IF(Y75*1.15&lt;=112.5,112.5,IF(Y75*1.15&lt;=150,150,IF(Y75*1.15&lt;=225,225,300)))))))</f>
        <v/>
      </c>
      <c r="AB75">
        <f>IF(AA75="","",IFERROR(Y75/AA75,0))</f>
        <v/>
      </c>
      <c r="AC75">
        <f>IF(X75="","",IFERROR(INDEX(DIR_ATUAL[QT %],MATCH(X75,DIR_ATUAL[PONTO],0)),0))</f>
        <v/>
      </c>
      <c r="AD75">
        <f>IF(Y75="","",IFERROR(1-ABS(Y75-Z75)/$B$31,0))</f>
        <v/>
      </c>
      <c r="AE75">
        <f>IF(X75="","",IF($E$9&gt;$E$8,IFERROR((INDEX(GERAL[SNAP],42)-$E$8)/($E$9-$E$8),0),0))</f>
        <v/>
      </c>
      <c r="AF75">
        <f>IF(OR(X75="",AG75&lt;&gt;"DIREITO"),"",$L$2*IFERROR(Y75/$B$31,0)+$L$3*IF($D$31&gt;0,IFERROR(AC75/$D$31,0),0)+$L$4*IFERROR(AD75,0)-$L$5*IFERROR(AE75,0)-$L$6*MAX(0,IFERROR(AB75,0)-$L$7)+ROW()/1000000)</f>
        <v/>
      </c>
      <c r="AG75">
        <f>IFERROR(INDEX(GERAL[LADO],42),"")</f>
        <v/>
      </c>
    </row>
    <row r="76">
      <c r="M76">
        <f>IFERROR(INDEX(GERAL[PONTO],63),"")</f>
        <v/>
      </c>
      <c r="N76">
        <f>IF(M76="","",IFERROR(INDEX(GERAL[ACUMULADA],63),0))</f>
        <v/>
      </c>
      <c r="O76">
        <f>IF(N76="","",$B$11-N76)</f>
        <v/>
      </c>
      <c r="P76">
        <f>IF(N76="","",IF(N76*1.15&lt;=30,30,IF(N76*1.15&lt;=45,45,IF(N76*1.15&lt;=75,75,IF(N76*1.15&lt;=112.5,112.5,IF(N76*1.15&lt;=150,150,IF(N76*1.15&lt;=225,225,300)))))))</f>
        <v/>
      </c>
      <c r="Q76">
        <f>IF(P76="","",IFERROR(N76/P76,0))</f>
        <v/>
      </c>
      <c r="R76">
        <f>IF(M76="","",IFERROR(INDEX(Tabela7[QT %],MATCH(M76,Tabela7[PONTO],0)),0))</f>
        <v/>
      </c>
      <c r="S76">
        <f>IF(N76="","",IFERROR(1-ABS(N76-O76)/$B$11,0))</f>
        <v/>
      </c>
      <c r="T76">
        <f>IF(M76="","",IF($B$9&gt;$B$8,IFERROR((INDEX(GERAL[SNAP],63)-$B$8)/($B$9-$B$8),0),0))</f>
        <v/>
      </c>
      <c r="U76">
        <f>IF(OR(M76="",V76&lt;&gt;"ESQUERDO"),"",$L$2*IFERROR(N76/$B$11,0)+$L$3*IF($D$11&gt;0,IFERROR(R76/$D$11,0),0)+$L$4*IFERROR(S76,0)-$L$5*IFERROR(T76,0)-$L$6*MAX(0,IFERROR(Q76,0)-$L$7)+ROW()/1000000)</f>
        <v/>
      </c>
      <c r="V76">
        <f>IFERROR(INDEX(GERAL[LADO],63),"")</f>
        <v/>
      </c>
      <c r="X76">
        <f>IFERROR(INDEX(GERAL[PONTO],43),"")</f>
        <v/>
      </c>
      <c r="Y76">
        <f>IF(X76="","",IFERROR(INDEX(GERAL[ACUMULADA],43),0))</f>
        <v/>
      </c>
      <c r="Z76">
        <f>IF(Y76="","",$B$31-Y76)</f>
        <v/>
      </c>
      <c r="AA76">
        <f>IF(Y76="","",IF(Y76*1.15&lt;=30,30,IF(Y76*1.15&lt;=45,45,IF(Y76*1.15&lt;=75,75,IF(Y76*1.15&lt;=112.5,112.5,IF(Y76*1.15&lt;=150,150,IF(Y76*1.15&lt;=225,225,300)))))))</f>
        <v/>
      </c>
      <c r="AB76">
        <f>IF(AA76="","",IFERROR(Y76/AA76,0))</f>
        <v/>
      </c>
      <c r="AC76">
        <f>IF(X76="","",IFERROR(INDEX(DIR_ATUAL[QT %],MATCH(X76,DIR_ATUAL[PONTO],0)),0))</f>
        <v/>
      </c>
      <c r="AD76">
        <f>IF(Y76="","",IFERROR(1-ABS(Y76-Z76)/$B$31,0))</f>
        <v/>
      </c>
      <c r="AE76">
        <f>IF(X76="","",IF($E$9&gt;$E$8,IFERROR((INDEX(GERAL[SNAP],43)-$E$8)/($E$9-$E$8),0),0))</f>
        <v/>
      </c>
      <c r="AF76">
        <f>IF(OR(X76="",AG76&lt;&gt;"DIREITO"),"",$L$2*IFERROR(Y76/$B$31,0)+$L$3*IF($D$31&gt;0,IFERROR(AC76/$D$31,0),0)+$L$4*IFERROR(AD76,0)-$L$5*IFERROR(AE76,0)-$L$6*MAX(0,IFERROR(AB76,0)-$L$7)+ROW()/1000000)</f>
        <v/>
      </c>
      <c r="AG76">
        <f>IFERROR(INDEX(GERAL[LADO],43),"")</f>
        <v/>
      </c>
    </row>
    <row r="77">
      <c r="M77">
        <f>IFERROR(INDEX(GERAL[PONTO],64),"")</f>
        <v/>
      </c>
      <c r="N77">
        <f>IF(M77="","",IFERROR(INDEX(GERAL[ACUMULADA],64),0))</f>
        <v/>
      </c>
      <c r="O77">
        <f>IF(N77="","",$B$11-N77)</f>
        <v/>
      </c>
      <c r="P77">
        <f>IF(N77="","",IF(N77*1.15&lt;=30,30,IF(N77*1.15&lt;=45,45,IF(N77*1.15&lt;=75,75,IF(N77*1.15&lt;=112.5,112.5,IF(N77*1.15&lt;=150,150,IF(N77*1.15&lt;=225,225,300)))))))</f>
        <v/>
      </c>
      <c r="Q77">
        <f>IF(P77="","",IFERROR(N77/P77,0))</f>
        <v/>
      </c>
      <c r="R77">
        <f>IF(M77="","",IFERROR(INDEX(Tabela7[QT %],MATCH(M77,Tabela7[PONTO],0)),0))</f>
        <v/>
      </c>
      <c r="S77">
        <f>IF(N77="","",IFERROR(1-ABS(N77-O77)/$B$11,0))</f>
        <v/>
      </c>
      <c r="T77">
        <f>IF(M77="","",IF($B$9&gt;$B$8,IFERROR((INDEX(GERAL[SNAP],64)-$B$8)/($B$9-$B$8),0),0))</f>
        <v/>
      </c>
      <c r="U77">
        <f>IF(OR(M77="",V77&lt;&gt;"ESQUERDO"),"",$L$2*IFERROR(N77/$B$11,0)+$L$3*IF($D$11&gt;0,IFERROR(R77/$D$11,0),0)+$L$4*IFERROR(S77,0)-$L$5*IFERROR(T77,0)-$L$6*MAX(0,IFERROR(Q77,0)-$L$7)+ROW()/1000000)</f>
        <v/>
      </c>
      <c r="V77">
        <f>IFERROR(INDEX(GERAL[LADO],64),"")</f>
        <v/>
      </c>
      <c r="X77">
        <f>IFERROR(INDEX(GERAL[PONTO],44),"")</f>
        <v/>
      </c>
      <c r="Y77">
        <f>IF(X77="","",IFERROR(INDEX(GERAL[ACUMULADA],44),0))</f>
        <v/>
      </c>
      <c r="Z77">
        <f>IF(Y77="","",$B$31-Y77)</f>
        <v/>
      </c>
      <c r="AA77">
        <f>IF(Y77="","",IF(Y77*1.15&lt;=30,30,IF(Y77*1.15&lt;=45,45,IF(Y77*1.15&lt;=75,75,IF(Y77*1.15&lt;=112.5,112.5,IF(Y77*1.15&lt;=150,150,IF(Y77*1.15&lt;=225,225,300)))))))</f>
        <v/>
      </c>
      <c r="AB77">
        <f>IF(AA77="","",IFERROR(Y77/AA77,0))</f>
        <v/>
      </c>
      <c r="AC77">
        <f>IF(X77="","",IFERROR(INDEX(DIR_ATUAL[QT %],MATCH(X77,DIR_ATUAL[PONTO],0)),0))</f>
        <v/>
      </c>
      <c r="AD77">
        <f>IF(Y77="","",IFERROR(1-ABS(Y77-Z77)/$B$31,0))</f>
        <v/>
      </c>
      <c r="AE77">
        <f>IF(X77="","",IF($E$9&gt;$E$8,IFERROR((INDEX(GERAL[SNAP],44)-$E$8)/($E$9-$E$8),0),0))</f>
        <v/>
      </c>
      <c r="AF77">
        <f>IF(OR(X77="",AG77&lt;&gt;"DIREITO"),"",$L$2*IFERROR(Y77/$B$31,0)+$L$3*IF($D$31&gt;0,IFERROR(AC77/$D$31,0),0)+$L$4*IFERROR(AD77,0)-$L$5*IFERROR(AE77,0)-$L$6*MAX(0,IFERROR(AB77,0)-$L$7)+ROW()/1000000)</f>
        <v/>
      </c>
      <c r="AG77">
        <f>IFERROR(INDEX(GERAL[LADO],44),"")</f>
        <v/>
      </c>
    </row>
    <row r="78">
      <c r="M78">
        <f>IFERROR(INDEX(GERAL[PONTO],65),"")</f>
        <v/>
      </c>
      <c r="N78">
        <f>IF(M78="","",IFERROR(INDEX(GERAL[ACUMULADA],65),0))</f>
        <v/>
      </c>
      <c r="O78">
        <f>IF(N78="","",$B$11-N78)</f>
        <v/>
      </c>
      <c r="P78">
        <f>IF(N78="","",IF(N78*1.15&lt;=30,30,IF(N78*1.15&lt;=45,45,IF(N78*1.15&lt;=75,75,IF(N78*1.15&lt;=112.5,112.5,IF(N78*1.15&lt;=150,150,IF(N78*1.15&lt;=225,225,300)))))))</f>
        <v/>
      </c>
      <c r="Q78">
        <f>IF(P78="","",IFERROR(N78/P78,0))</f>
        <v/>
      </c>
      <c r="R78">
        <f>IF(M78="","",IFERROR(INDEX(Tabela7[QT %],MATCH(M78,Tabela7[PONTO],0)),0))</f>
        <v/>
      </c>
      <c r="S78">
        <f>IF(N78="","",IFERROR(1-ABS(N78-O78)/$B$11,0))</f>
        <v/>
      </c>
      <c r="T78">
        <f>IF(M78="","",IF($B$9&gt;$B$8,IFERROR((INDEX(GERAL[SNAP],65)-$B$8)/($B$9-$B$8),0),0))</f>
        <v/>
      </c>
      <c r="U78">
        <f>IF(OR(M78="",V78&lt;&gt;"ESQUERDO"),"",$L$2*IFERROR(N78/$B$11,0)+$L$3*IF($D$11&gt;0,IFERROR(R78/$D$11,0),0)+$L$4*IFERROR(S78,0)-$L$5*IFERROR(T78,0)-$L$6*MAX(0,IFERROR(Q78,0)-$L$7)+ROW()/1000000)</f>
        <v/>
      </c>
      <c r="V78">
        <f>IFERROR(INDEX(GERAL[LADO],65),"")</f>
        <v/>
      </c>
      <c r="X78">
        <f>IFERROR(INDEX(GERAL[PONTO],45),"")</f>
        <v/>
      </c>
      <c r="Y78">
        <f>IF(X78="","",IFERROR(INDEX(GERAL[ACUMULADA],45),0))</f>
        <v/>
      </c>
      <c r="Z78">
        <f>IF(Y78="","",$B$31-Y78)</f>
        <v/>
      </c>
      <c r="AA78">
        <f>IF(Y78="","",IF(Y78*1.15&lt;=30,30,IF(Y78*1.15&lt;=45,45,IF(Y78*1.15&lt;=75,75,IF(Y78*1.15&lt;=112.5,112.5,IF(Y78*1.15&lt;=150,150,IF(Y78*1.15&lt;=225,225,300)))))))</f>
        <v/>
      </c>
      <c r="AB78">
        <f>IF(AA78="","",IFERROR(Y78/AA78,0))</f>
        <v/>
      </c>
      <c r="AC78">
        <f>IF(X78="","",IFERROR(INDEX(DIR_ATUAL[QT %],MATCH(X78,DIR_ATUAL[PONTO],0)),0))</f>
        <v/>
      </c>
      <c r="AD78">
        <f>IF(Y78="","",IFERROR(1-ABS(Y78-Z78)/$B$31,0))</f>
        <v/>
      </c>
      <c r="AE78">
        <f>IF(X78="","",IF($E$9&gt;$E$8,IFERROR((INDEX(GERAL[SNAP],45)-$E$8)/($E$9-$E$8),0),0))</f>
        <v/>
      </c>
      <c r="AF78">
        <f>IF(OR(X78="",AG78&lt;&gt;"DIREITO"),"",$L$2*IFERROR(Y78/$B$31,0)+$L$3*IF($D$31&gt;0,IFERROR(AC78/$D$31,0),0)+$L$4*IFERROR(AD78,0)-$L$5*IFERROR(AE78,0)-$L$6*MAX(0,IFERROR(AB78,0)-$L$7)+ROW()/1000000)</f>
        <v/>
      </c>
      <c r="AG78">
        <f>IFERROR(INDEX(GERAL[LADO],45),"")</f>
        <v/>
      </c>
    </row>
    <row r="79">
      <c r="M79">
        <f>IFERROR(INDEX(GERAL[PONTO],66),"")</f>
        <v/>
      </c>
      <c r="N79">
        <f>IF(M79="","",IFERROR(INDEX(GERAL[ACUMULADA],66),0))</f>
        <v/>
      </c>
      <c r="O79">
        <f>IF(N79="","",$B$11-N79)</f>
        <v/>
      </c>
      <c r="P79">
        <f>IF(N79="","",IF(N79*1.15&lt;=30,30,IF(N79*1.15&lt;=45,45,IF(N79*1.15&lt;=75,75,IF(N79*1.15&lt;=112.5,112.5,IF(N79*1.15&lt;=150,150,IF(N79*1.15&lt;=225,225,300)))))))</f>
        <v/>
      </c>
      <c r="Q79">
        <f>IF(P79="","",IFERROR(N79/P79,0))</f>
        <v/>
      </c>
      <c r="R79">
        <f>IF(M79="","",IFERROR(INDEX(Tabela7[QT %],MATCH(M79,Tabela7[PONTO],0)),0))</f>
        <v/>
      </c>
      <c r="S79">
        <f>IF(N79="","",IFERROR(1-ABS(N79-O79)/$B$11,0))</f>
        <v/>
      </c>
      <c r="T79">
        <f>IF(M79="","",IF($B$9&gt;$B$8,IFERROR((INDEX(GERAL[SNAP],66)-$B$8)/($B$9-$B$8),0),0))</f>
        <v/>
      </c>
      <c r="U79">
        <f>IF(OR(M79="",V79&lt;&gt;"ESQUERDO"),"",$L$2*IFERROR(N79/$B$11,0)+$L$3*IF($D$11&gt;0,IFERROR(R79/$D$11,0),0)+$L$4*IFERROR(S79,0)-$L$5*IFERROR(T79,0)-$L$6*MAX(0,IFERROR(Q79,0)-$L$7)+ROW()/1000000)</f>
        <v/>
      </c>
      <c r="V79">
        <f>IFERROR(INDEX(GERAL[LADO],66),"")</f>
        <v/>
      </c>
      <c r="X79">
        <f>IFERROR(INDEX(GERAL[PONTO],46),"")</f>
        <v/>
      </c>
      <c r="Y79">
        <f>IF(X79="","",IFERROR(INDEX(GERAL[ACUMULADA],46),0))</f>
        <v/>
      </c>
      <c r="Z79">
        <f>IF(Y79="","",$B$31-Y79)</f>
        <v/>
      </c>
      <c r="AA79">
        <f>IF(Y79="","",IF(Y79*1.15&lt;=30,30,IF(Y79*1.15&lt;=45,45,IF(Y79*1.15&lt;=75,75,IF(Y79*1.15&lt;=112.5,112.5,IF(Y79*1.15&lt;=150,150,IF(Y79*1.15&lt;=225,225,300)))))))</f>
        <v/>
      </c>
      <c r="AB79">
        <f>IF(AA79="","",IFERROR(Y79/AA79,0))</f>
        <v/>
      </c>
      <c r="AC79">
        <f>IF(X79="","",IFERROR(INDEX(DIR_ATUAL[QT %],MATCH(X79,DIR_ATUAL[PONTO],0)),0))</f>
        <v/>
      </c>
      <c r="AD79">
        <f>IF(Y79="","",IFERROR(1-ABS(Y79-Z79)/$B$31,0))</f>
        <v/>
      </c>
      <c r="AE79">
        <f>IF(X79="","",IF($E$9&gt;$E$8,IFERROR((INDEX(GERAL[SNAP],46)-$E$8)/($E$9-$E$8),0),0))</f>
        <v/>
      </c>
      <c r="AF79">
        <f>IF(OR(X79="",AG79&lt;&gt;"DIREITO"),"",$L$2*IFERROR(Y79/$B$31,0)+$L$3*IF($D$31&gt;0,IFERROR(AC79/$D$31,0),0)+$L$4*IFERROR(AD79,0)-$L$5*IFERROR(AE79,0)-$L$6*MAX(0,IFERROR(AB79,0)-$L$7)+ROW()/1000000)</f>
        <v/>
      </c>
      <c r="AG79">
        <f>IFERROR(INDEX(GERAL[LADO],46),"")</f>
        <v/>
      </c>
    </row>
    <row r="80">
      <c r="M80">
        <f>IFERROR(INDEX(GERAL[PONTO],67),"")</f>
        <v/>
      </c>
      <c r="N80">
        <f>IF(M80="","",IFERROR(INDEX(GERAL[ACUMULADA],67),0))</f>
        <v/>
      </c>
      <c r="O80">
        <f>IF(N80="","",$B$11-N80)</f>
        <v/>
      </c>
      <c r="P80">
        <f>IF(N80="","",IF(N80*1.15&lt;=30,30,IF(N80*1.15&lt;=45,45,IF(N80*1.15&lt;=75,75,IF(N80*1.15&lt;=112.5,112.5,IF(N80*1.15&lt;=150,150,IF(N80*1.15&lt;=225,225,300)))))))</f>
        <v/>
      </c>
      <c r="Q80">
        <f>IF(P80="","",IFERROR(N80/P80,0))</f>
        <v/>
      </c>
      <c r="R80">
        <f>IF(M80="","",IFERROR(INDEX(Tabela7[QT %],MATCH(M80,Tabela7[PONTO],0)),0))</f>
        <v/>
      </c>
      <c r="S80">
        <f>IF(N80="","",IFERROR(1-ABS(N80-O80)/$B$11,0))</f>
        <v/>
      </c>
      <c r="T80">
        <f>IF(M80="","",IF($B$9&gt;$B$8,IFERROR((INDEX(GERAL[SNAP],67)-$B$8)/($B$9-$B$8),0),0))</f>
        <v/>
      </c>
      <c r="U80">
        <f>IF(OR(M80="",V80&lt;&gt;"ESQUERDO"),"",$L$2*IFERROR(N80/$B$11,0)+$L$3*IF($D$11&gt;0,IFERROR(R80/$D$11,0),0)+$L$4*IFERROR(S80,0)-$L$5*IFERROR(T80,0)-$L$6*MAX(0,IFERROR(Q80,0)-$L$7)+ROW()/1000000)</f>
        <v/>
      </c>
      <c r="V80">
        <f>IFERROR(INDEX(GERAL[LADO],67),"")</f>
        <v/>
      </c>
      <c r="X80">
        <f>IFERROR(INDEX(GERAL[PONTO],47),"")</f>
        <v/>
      </c>
      <c r="Y80">
        <f>IF(X80="","",IFERROR(INDEX(GERAL[ACUMULADA],47),0))</f>
        <v/>
      </c>
      <c r="Z80">
        <f>IF(Y80="","",$B$31-Y80)</f>
        <v/>
      </c>
      <c r="AA80">
        <f>IF(Y80="","",IF(Y80*1.15&lt;=30,30,IF(Y80*1.15&lt;=45,45,IF(Y80*1.15&lt;=75,75,IF(Y80*1.15&lt;=112.5,112.5,IF(Y80*1.15&lt;=150,150,IF(Y80*1.15&lt;=225,225,300)))))))</f>
        <v/>
      </c>
      <c r="AB80">
        <f>IF(AA80="","",IFERROR(Y80/AA80,0))</f>
        <v/>
      </c>
      <c r="AC80">
        <f>IF(X80="","",IFERROR(INDEX(DIR_ATUAL[QT %],MATCH(X80,DIR_ATUAL[PONTO],0)),0))</f>
        <v/>
      </c>
      <c r="AD80">
        <f>IF(Y80="","",IFERROR(1-ABS(Y80-Z80)/$B$31,0))</f>
        <v/>
      </c>
      <c r="AE80">
        <f>IF(X80="","",IF($E$9&gt;$E$8,IFERROR((INDEX(GERAL[SNAP],47)-$E$8)/($E$9-$E$8),0),0))</f>
        <v/>
      </c>
      <c r="AF80">
        <f>IF(OR(X80="",AG80&lt;&gt;"DIREITO"),"",$L$2*IFERROR(Y80/$B$31,0)+$L$3*IF($D$31&gt;0,IFERROR(AC80/$D$31,0),0)+$L$4*IFERROR(AD80,0)-$L$5*IFERROR(AE80,0)-$L$6*MAX(0,IFERROR(AB80,0)-$L$7)+ROW()/1000000)</f>
        <v/>
      </c>
      <c r="AG80">
        <f>IFERROR(INDEX(GERAL[LADO],47),"")</f>
        <v/>
      </c>
    </row>
    <row r="81">
      <c r="M81">
        <f>IFERROR(INDEX(GERAL[PONTO],68),"")</f>
        <v/>
      </c>
      <c r="N81">
        <f>IF(M81="","",IFERROR(INDEX(GERAL[ACUMULADA],68),0))</f>
        <v/>
      </c>
      <c r="O81">
        <f>IF(N81="","",$B$11-N81)</f>
        <v/>
      </c>
      <c r="P81">
        <f>IF(N81="","",IF(N81*1.15&lt;=30,30,IF(N81*1.15&lt;=45,45,IF(N81*1.15&lt;=75,75,IF(N81*1.15&lt;=112.5,112.5,IF(N81*1.15&lt;=150,150,IF(N81*1.15&lt;=225,225,300)))))))</f>
        <v/>
      </c>
      <c r="Q81">
        <f>IF(P81="","",IFERROR(N81/P81,0))</f>
        <v/>
      </c>
      <c r="R81">
        <f>IF(M81="","",IFERROR(INDEX(Tabela7[QT %],MATCH(M81,Tabela7[PONTO],0)),0))</f>
        <v/>
      </c>
      <c r="S81">
        <f>IF(N81="","",IFERROR(1-ABS(N81-O81)/$B$11,0))</f>
        <v/>
      </c>
      <c r="T81">
        <f>IF(M81="","",IF($B$9&gt;$B$8,IFERROR((INDEX(GERAL[SNAP],68)-$B$8)/($B$9-$B$8),0),0))</f>
        <v/>
      </c>
      <c r="U81">
        <f>IF(OR(M81="",V81&lt;&gt;"ESQUERDO"),"",$L$2*IFERROR(N81/$B$11,0)+$L$3*IF($D$11&gt;0,IFERROR(R81/$D$11,0),0)+$L$4*IFERROR(S81,0)-$L$5*IFERROR(T81,0)-$L$6*MAX(0,IFERROR(Q81,0)-$L$7)+ROW()/1000000)</f>
        <v/>
      </c>
      <c r="V81">
        <f>IFERROR(INDEX(GERAL[LADO],68),"")</f>
        <v/>
      </c>
      <c r="X81">
        <f>IFERROR(INDEX(GERAL[PONTO],48),"")</f>
        <v/>
      </c>
      <c r="Y81">
        <f>IF(X81="","",IFERROR(INDEX(GERAL[ACUMULADA],48),0))</f>
        <v/>
      </c>
      <c r="Z81">
        <f>IF(Y81="","",$B$31-Y81)</f>
        <v/>
      </c>
      <c r="AA81">
        <f>IF(Y81="","",IF(Y81*1.15&lt;=30,30,IF(Y81*1.15&lt;=45,45,IF(Y81*1.15&lt;=75,75,IF(Y81*1.15&lt;=112.5,112.5,IF(Y81*1.15&lt;=150,150,IF(Y81*1.15&lt;=225,225,300)))))))</f>
        <v/>
      </c>
      <c r="AB81">
        <f>IF(AA81="","",IFERROR(Y81/AA81,0))</f>
        <v/>
      </c>
      <c r="AC81">
        <f>IF(X81="","",IFERROR(INDEX(DIR_ATUAL[QT %],MATCH(X81,DIR_ATUAL[PONTO],0)),0))</f>
        <v/>
      </c>
      <c r="AD81">
        <f>IF(Y81="","",IFERROR(1-ABS(Y81-Z81)/$B$31,0))</f>
        <v/>
      </c>
      <c r="AE81">
        <f>IF(X81="","",IF($E$9&gt;$E$8,IFERROR((INDEX(GERAL[SNAP],48)-$E$8)/($E$9-$E$8),0),0))</f>
        <v/>
      </c>
      <c r="AF81">
        <f>IF(OR(X81="",AG81&lt;&gt;"DIREITO"),"",$L$2*IFERROR(Y81/$B$31,0)+$L$3*IF($D$31&gt;0,IFERROR(AC81/$D$31,0),0)+$L$4*IFERROR(AD81,0)-$L$5*IFERROR(AE81,0)-$L$6*MAX(0,IFERROR(AB81,0)-$L$7)+ROW()/1000000)</f>
        <v/>
      </c>
      <c r="AG81">
        <f>IFERROR(INDEX(GERAL[LADO],48),"")</f>
        <v/>
      </c>
    </row>
    <row r="82">
      <c r="M82">
        <f>IFERROR(INDEX(GERAL[PONTO],69),"")</f>
        <v/>
      </c>
      <c r="N82">
        <f>IF(M82="","",IFERROR(INDEX(GERAL[ACUMULADA],69),0))</f>
        <v/>
      </c>
      <c r="O82">
        <f>IF(N82="","",$B$11-N82)</f>
        <v/>
      </c>
      <c r="P82">
        <f>IF(N82="","",IF(N82*1.15&lt;=30,30,IF(N82*1.15&lt;=45,45,IF(N82*1.15&lt;=75,75,IF(N82*1.15&lt;=112.5,112.5,IF(N82*1.15&lt;=150,150,IF(N82*1.15&lt;=225,225,300)))))))</f>
        <v/>
      </c>
      <c r="Q82">
        <f>IF(P82="","",IFERROR(N82/P82,0))</f>
        <v/>
      </c>
      <c r="R82">
        <f>IF(M82="","",IFERROR(INDEX(Tabela7[QT %],MATCH(M82,Tabela7[PONTO],0)),0))</f>
        <v/>
      </c>
      <c r="S82">
        <f>IF(N82="","",IFERROR(1-ABS(N82-O82)/$B$11,0))</f>
        <v/>
      </c>
      <c r="T82">
        <f>IF(M82="","",IF($B$9&gt;$B$8,IFERROR((INDEX(GERAL[SNAP],69)-$B$8)/($B$9-$B$8),0),0))</f>
        <v/>
      </c>
      <c r="U82">
        <f>IF(OR(M82="",V82&lt;&gt;"ESQUERDO"),"",$L$2*IFERROR(N82/$B$11,0)+$L$3*IF($D$11&gt;0,IFERROR(R82/$D$11,0),0)+$L$4*IFERROR(S82,0)-$L$5*IFERROR(T82,0)-$L$6*MAX(0,IFERROR(Q82,0)-$L$7)+ROW()/1000000)</f>
        <v/>
      </c>
      <c r="V82">
        <f>IFERROR(INDEX(GERAL[LADO],69),"")</f>
        <v/>
      </c>
      <c r="X82">
        <f>IFERROR(INDEX(GERAL[PONTO],49),"")</f>
        <v/>
      </c>
      <c r="Y82">
        <f>IF(X82="","",IFERROR(INDEX(GERAL[ACUMULADA],49),0))</f>
        <v/>
      </c>
      <c r="Z82">
        <f>IF(Y82="","",$B$31-Y82)</f>
        <v/>
      </c>
      <c r="AA82">
        <f>IF(Y82="","",IF(Y82*1.15&lt;=30,30,IF(Y82*1.15&lt;=45,45,IF(Y82*1.15&lt;=75,75,IF(Y82*1.15&lt;=112.5,112.5,IF(Y82*1.15&lt;=150,150,IF(Y82*1.15&lt;=225,225,300)))))))</f>
        <v/>
      </c>
      <c r="AB82">
        <f>IF(AA82="","",IFERROR(Y82/AA82,0))</f>
        <v/>
      </c>
      <c r="AC82">
        <f>IF(X82="","",IFERROR(INDEX(DIR_ATUAL[QT %],MATCH(X82,DIR_ATUAL[PONTO],0)),0))</f>
        <v/>
      </c>
      <c r="AD82">
        <f>IF(Y82="","",IFERROR(1-ABS(Y82-Z82)/$B$31,0))</f>
        <v/>
      </c>
      <c r="AE82">
        <f>IF(X82="","",IF($E$9&gt;$E$8,IFERROR((INDEX(GERAL[SNAP],49)-$E$8)/($E$9-$E$8),0),0))</f>
        <v/>
      </c>
      <c r="AF82">
        <f>IF(OR(X82="",AG82&lt;&gt;"DIREITO"),"",$L$2*IFERROR(Y82/$B$31,0)+$L$3*IF($D$31&gt;0,IFERROR(AC82/$D$31,0),0)+$L$4*IFERROR(AD82,0)-$L$5*IFERROR(AE82,0)-$L$6*MAX(0,IFERROR(AB82,0)-$L$7)+ROW()/1000000)</f>
        <v/>
      </c>
      <c r="AG82">
        <f>IFERROR(INDEX(GERAL[LADO],49),"")</f>
        <v/>
      </c>
    </row>
    <row r="83">
      <c r="M83">
        <f>IFERROR(INDEX(GERAL[PONTO],70),"")</f>
        <v/>
      </c>
      <c r="N83">
        <f>IF(M83="","",IFERROR(INDEX(GERAL[ACUMULADA],70),0))</f>
        <v/>
      </c>
      <c r="O83">
        <f>IF(N83="","",$B$11-N83)</f>
        <v/>
      </c>
      <c r="P83">
        <f>IF(N83="","",IF(N83*1.15&lt;=30,30,IF(N83*1.15&lt;=45,45,IF(N83*1.15&lt;=75,75,IF(N83*1.15&lt;=112.5,112.5,IF(N83*1.15&lt;=150,150,IF(N83*1.15&lt;=225,225,300)))))))</f>
        <v/>
      </c>
      <c r="Q83">
        <f>IF(P83="","",IFERROR(N83/P83,0))</f>
        <v/>
      </c>
      <c r="R83">
        <f>IF(M83="","",IFERROR(INDEX(Tabela7[QT %],MATCH(M83,Tabela7[PONTO],0)),0))</f>
        <v/>
      </c>
      <c r="S83">
        <f>IF(N83="","",IFERROR(1-ABS(N83-O83)/$B$11,0))</f>
        <v/>
      </c>
      <c r="T83">
        <f>IF(M83="","",IF($B$9&gt;$B$8,IFERROR((INDEX(GERAL[SNAP],70)-$B$8)/($B$9-$B$8),0),0))</f>
        <v/>
      </c>
      <c r="U83">
        <f>IF(OR(M83="",V83&lt;&gt;"ESQUERDO"),"",$L$2*IFERROR(N83/$B$11,0)+$L$3*IF($D$11&gt;0,IFERROR(R83/$D$11,0),0)+$L$4*IFERROR(S83,0)-$L$5*IFERROR(T83,0)-$L$6*MAX(0,IFERROR(Q83,0)-$L$7)+ROW()/1000000)</f>
        <v/>
      </c>
      <c r="V83">
        <f>IFERROR(INDEX(GERAL[LADO],70),"")</f>
        <v/>
      </c>
      <c r="X83">
        <f>IFERROR(INDEX(GERAL[PONTO],50),"")</f>
        <v/>
      </c>
      <c r="Y83">
        <f>IF(X83="","",IFERROR(INDEX(GERAL[ACUMULADA],50),0))</f>
        <v/>
      </c>
      <c r="Z83">
        <f>IF(Y83="","",$B$31-Y83)</f>
        <v/>
      </c>
      <c r="AA83">
        <f>IF(Y83="","",IF(Y83*1.15&lt;=30,30,IF(Y83*1.15&lt;=45,45,IF(Y83*1.15&lt;=75,75,IF(Y83*1.15&lt;=112.5,112.5,IF(Y83*1.15&lt;=150,150,IF(Y83*1.15&lt;=225,225,300)))))))</f>
        <v/>
      </c>
      <c r="AB83">
        <f>IF(AA83="","",IFERROR(Y83/AA83,0))</f>
        <v/>
      </c>
      <c r="AC83">
        <f>IF(X83="","",IFERROR(INDEX(DIR_ATUAL[QT %],MATCH(X83,DIR_ATUAL[PONTO],0)),0))</f>
        <v/>
      </c>
      <c r="AD83">
        <f>IF(Y83="","",IFERROR(1-ABS(Y83-Z83)/$B$31,0))</f>
        <v/>
      </c>
      <c r="AE83">
        <f>IF(X83="","",IF($E$9&gt;$E$8,IFERROR((INDEX(GERAL[SNAP],50)-$E$8)/($E$9-$E$8),0),0))</f>
        <v/>
      </c>
      <c r="AF83">
        <f>IF(OR(X83="",AG83&lt;&gt;"DIREITO"),"",$L$2*IFERROR(Y83/$B$31,0)+$L$3*IF($D$31&gt;0,IFERROR(AC83/$D$31,0),0)+$L$4*IFERROR(AD83,0)-$L$5*IFERROR(AE83,0)-$L$6*MAX(0,IFERROR(AB83,0)-$L$7)+ROW()/1000000)</f>
        <v/>
      </c>
      <c r="AG83">
        <f>IFERROR(INDEX(GERAL[LADO],50),"")</f>
        <v/>
      </c>
    </row>
    <row r="84">
      <c r="M84">
        <f>IFERROR(INDEX(GERAL[PONTO],71),"")</f>
        <v/>
      </c>
      <c r="N84">
        <f>IF(M84="","",IFERROR(INDEX(GERAL[ACUMULADA],71),0))</f>
        <v/>
      </c>
      <c r="O84">
        <f>IF(N84="","",$B$11-N84)</f>
        <v/>
      </c>
      <c r="P84">
        <f>IF(N84="","",IF(N84*1.15&lt;=30,30,IF(N84*1.15&lt;=45,45,IF(N84*1.15&lt;=75,75,IF(N84*1.15&lt;=112.5,112.5,IF(N84*1.15&lt;=150,150,IF(N84*1.15&lt;=225,225,300)))))))</f>
        <v/>
      </c>
      <c r="Q84">
        <f>IF(P84="","",IFERROR(N84/P84,0))</f>
        <v/>
      </c>
      <c r="R84">
        <f>IF(M84="","",IFERROR(INDEX(Tabela7[QT %],MATCH(M84,Tabela7[PONTO],0)),0))</f>
        <v/>
      </c>
      <c r="S84">
        <f>IF(N84="","",IFERROR(1-ABS(N84-O84)/$B$11,0))</f>
        <v/>
      </c>
      <c r="T84">
        <f>IF(M84="","",IF($B$9&gt;$B$8,IFERROR((INDEX(GERAL[SNAP],71)-$B$8)/($B$9-$B$8),0),0))</f>
        <v/>
      </c>
      <c r="U84">
        <f>IF(OR(M84="",V84&lt;&gt;"ESQUERDO"),"",$L$2*IFERROR(N84/$B$11,0)+$L$3*IF($D$11&gt;0,IFERROR(R84/$D$11,0),0)+$L$4*IFERROR(S84,0)-$L$5*IFERROR(T84,0)-$L$6*MAX(0,IFERROR(Q84,0)-$L$7)+ROW()/1000000)</f>
        <v/>
      </c>
      <c r="V84">
        <f>IFERROR(INDEX(GERAL[LADO],71),"")</f>
        <v/>
      </c>
      <c r="X84">
        <f>IFERROR(INDEX(GERAL[PONTO],51),"")</f>
        <v/>
      </c>
      <c r="Y84">
        <f>IF(X84="","",IFERROR(INDEX(GERAL[ACUMULADA],51),0))</f>
        <v/>
      </c>
      <c r="Z84">
        <f>IF(Y84="","",$B$31-Y84)</f>
        <v/>
      </c>
      <c r="AA84">
        <f>IF(Y84="","",IF(Y84*1.15&lt;=30,30,IF(Y84*1.15&lt;=45,45,IF(Y84*1.15&lt;=75,75,IF(Y84*1.15&lt;=112.5,112.5,IF(Y84*1.15&lt;=150,150,IF(Y84*1.15&lt;=225,225,300)))))))</f>
        <v/>
      </c>
      <c r="AB84">
        <f>IF(AA84="","",IFERROR(Y84/AA84,0))</f>
        <v/>
      </c>
      <c r="AC84">
        <f>IF(X84="","",IFERROR(INDEX(DIR_ATUAL[QT %],MATCH(X84,DIR_ATUAL[PONTO],0)),0))</f>
        <v/>
      </c>
      <c r="AD84">
        <f>IF(Y84="","",IFERROR(1-ABS(Y84-Z84)/$B$31,0))</f>
        <v/>
      </c>
      <c r="AE84">
        <f>IF(X84="","",IF($E$9&gt;$E$8,IFERROR((INDEX(GERAL[SNAP],51)-$E$8)/($E$9-$E$8),0),0))</f>
        <v/>
      </c>
      <c r="AF84">
        <f>IF(OR(X84="",AG84&lt;&gt;"DIREITO"),"",$L$2*IFERROR(Y84/$B$31,0)+$L$3*IF($D$31&gt;0,IFERROR(AC84/$D$31,0),0)+$L$4*IFERROR(AD84,0)-$L$5*IFERROR(AE84,0)-$L$6*MAX(0,IFERROR(AB84,0)-$L$7)+ROW()/1000000)</f>
        <v/>
      </c>
      <c r="AG84">
        <f>IFERROR(INDEX(GERAL[LADO],51),"")</f>
        <v/>
      </c>
    </row>
    <row r="85">
      <c r="M85">
        <f>IFERROR(INDEX(GERAL[PONTO],72),"")</f>
        <v/>
      </c>
      <c r="N85">
        <f>IF(M85="","",IFERROR(INDEX(GERAL[ACUMULADA],72),0))</f>
        <v/>
      </c>
      <c r="O85">
        <f>IF(N85="","",$B$11-N85)</f>
        <v/>
      </c>
      <c r="P85">
        <f>IF(N85="","",IF(N85*1.15&lt;=30,30,IF(N85*1.15&lt;=45,45,IF(N85*1.15&lt;=75,75,IF(N85*1.15&lt;=112.5,112.5,IF(N85*1.15&lt;=150,150,IF(N85*1.15&lt;=225,225,300)))))))</f>
        <v/>
      </c>
      <c r="Q85">
        <f>IF(P85="","",IFERROR(N85/P85,0))</f>
        <v/>
      </c>
      <c r="R85">
        <f>IF(M85="","",IFERROR(INDEX(Tabela7[QT %],MATCH(M85,Tabela7[PONTO],0)),0))</f>
        <v/>
      </c>
      <c r="S85">
        <f>IF(N85="","",IFERROR(1-ABS(N85-O85)/$B$11,0))</f>
        <v/>
      </c>
      <c r="T85">
        <f>IF(M85="","",IF($B$9&gt;$B$8,IFERROR((INDEX(GERAL[SNAP],72)-$B$8)/($B$9-$B$8),0),0))</f>
        <v/>
      </c>
      <c r="U85">
        <f>IF(OR(M85="",V85&lt;&gt;"ESQUERDO"),"",$L$2*IFERROR(N85/$B$11,0)+$L$3*IF($D$11&gt;0,IFERROR(R85/$D$11,0),0)+$L$4*IFERROR(S85,0)-$L$5*IFERROR(T85,0)-$L$6*MAX(0,IFERROR(Q85,0)-$L$7)+ROW()/1000000)</f>
        <v/>
      </c>
      <c r="V85">
        <f>IFERROR(INDEX(GERAL[LADO],72),"")</f>
        <v/>
      </c>
      <c r="X85">
        <f>IFERROR(INDEX(GERAL[PONTO],52),"")</f>
        <v/>
      </c>
      <c r="Y85">
        <f>IF(X85="","",IFERROR(INDEX(GERAL[ACUMULADA],52),0))</f>
        <v/>
      </c>
      <c r="Z85">
        <f>IF(Y85="","",$B$31-Y85)</f>
        <v/>
      </c>
      <c r="AA85">
        <f>IF(Y85="","",IF(Y85*1.15&lt;=30,30,IF(Y85*1.15&lt;=45,45,IF(Y85*1.15&lt;=75,75,IF(Y85*1.15&lt;=112.5,112.5,IF(Y85*1.15&lt;=150,150,IF(Y85*1.15&lt;=225,225,300)))))))</f>
        <v/>
      </c>
      <c r="AB85">
        <f>IF(AA85="","",IFERROR(Y85/AA85,0))</f>
        <v/>
      </c>
      <c r="AC85">
        <f>IF(X85="","",IFERROR(INDEX(DIR_ATUAL[QT %],MATCH(X85,DIR_ATUAL[PONTO],0)),0))</f>
        <v/>
      </c>
      <c r="AD85">
        <f>IF(Y85="","",IFERROR(1-ABS(Y85-Z85)/$B$31,0))</f>
        <v/>
      </c>
      <c r="AE85">
        <f>IF(X85="","",IF($E$9&gt;$E$8,IFERROR((INDEX(GERAL[SNAP],52)-$E$8)/($E$9-$E$8),0),0))</f>
        <v/>
      </c>
      <c r="AF85">
        <f>IF(OR(X85="",AG85&lt;&gt;"DIREITO"),"",$L$2*IFERROR(Y85/$B$31,0)+$L$3*IF($D$31&gt;0,IFERROR(AC85/$D$31,0),0)+$L$4*IFERROR(AD85,0)-$L$5*IFERROR(AE85,0)-$L$6*MAX(0,IFERROR(AB85,0)-$L$7)+ROW()/1000000)</f>
        <v/>
      </c>
      <c r="AG85">
        <f>IFERROR(INDEX(GERAL[LADO],52),"")</f>
        <v/>
      </c>
    </row>
    <row r="86">
      <c r="M86">
        <f>IFERROR(INDEX(GERAL[PONTO],73),"")</f>
        <v/>
      </c>
      <c r="N86">
        <f>IF(M86="","",IFERROR(INDEX(GERAL[ACUMULADA],73),0))</f>
        <v/>
      </c>
      <c r="O86">
        <f>IF(N86="","",$B$11-N86)</f>
        <v/>
      </c>
      <c r="P86">
        <f>IF(N86="","",IF(N86*1.15&lt;=30,30,IF(N86*1.15&lt;=45,45,IF(N86*1.15&lt;=75,75,IF(N86*1.15&lt;=112.5,112.5,IF(N86*1.15&lt;=150,150,IF(N86*1.15&lt;=225,225,300)))))))</f>
        <v/>
      </c>
      <c r="Q86">
        <f>IF(P86="","",IFERROR(N86/P86,0))</f>
        <v/>
      </c>
      <c r="R86">
        <f>IF(M86="","",IFERROR(INDEX(Tabela7[QT %],MATCH(M86,Tabela7[PONTO],0)),0))</f>
        <v/>
      </c>
      <c r="S86">
        <f>IF(N86="","",IFERROR(1-ABS(N86-O86)/$B$11,0))</f>
        <v/>
      </c>
      <c r="T86">
        <f>IF(M86="","",IF($B$9&gt;$B$8,IFERROR((INDEX(GERAL[SNAP],73)-$B$8)/($B$9-$B$8),0),0))</f>
        <v/>
      </c>
      <c r="U86">
        <f>IF(OR(M86="",V86&lt;&gt;"ESQUERDO"),"",$L$2*IFERROR(N86/$B$11,0)+$L$3*IF($D$11&gt;0,IFERROR(R86/$D$11,0),0)+$L$4*IFERROR(S86,0)-$L$5*IFERROR(T86,0)-$L$6*MAX(0,IFERROR(Q86,0)-$L$7)+ROW()/1000000)</f>
        <v/>
      </c>
      <c r="V86">
        <f>IFERROR(INDEX(GERAL[LADO],73),"")</f>
        <v/>
      </c>
      <c r="X86">
        <f>IFERROR(INDEX(GERAL[PONTO],53),"")</f>
        <v/>
      </c>
      <c r="Y86">
        <f>IF(X86="","",IFERROR(INDEX(GERAL[ACUMULADA],53),0))</f>
        <v/>
      </c>
      <c r="Z86">
        <f>IF(Y86="","",$B$31-Y86)</f>
        <v/>
      </c>
      <c r="AA86">
        <f>IF(Y86="","",IF(Y86*1.15&lt;=30,30,IF(Y86*1.15&lt;=45,45,IF(Y86*1.15&lt;=75,75,IF(Y86*1.15&lt;=112.5,112.5,IF(Y86*1.15&lt;=150,150,IF(Y86*1.15&lt;=225,225,300)))))))</f>
        <v/>
      </c>
      <c r="AB86">
        <f>IF(AA86="","",IFERROR(Y86/AA86,0))</f>
        <v/>
      </c>
      <c r="AC86">
        <f>IF(X86="","",IFERROR(INDEX(DIR_ATUAL[QT %],MATCH(X86,DIR_ATUAL[PONTO],0)),0))</f>
        <v/>
      </c>
      <c r="AD86">
        <f>IF(Y86="","",IFERROR(1-ABS(Y86-Z86)/$B$31,0))</f>
        <v/>
      </c>
      <c r="AE86">
        <f>IF(X86="","",IF($E$9&gt;$E$8,IFERROR((INDEX(GERAL[SNAP],53)-$E$8)/($E$9-$E$8),0),0))</f>
        <v/>
      </c>
      <c r="AF86">
        <f>IF(OR(X86="",AG86&lt;&gt;"DIREITO"),"",$L$2*IFERROR(Y86/$B$31,0)+$L$3*IF($D$31&gt;0,IFERROR(AC86/$D$31,0),0)+$L$4*IFERROR(AD86,0)-$L$5*IFERROR(AE86,0)-$L$6*MAX(0,IFERROR(AB86,0)-$L$7)+ROW()/1000000)</f>
        <v/>
      </c>
      <c r="AG86">
        <f>IFERROR(INDEX(GERAL[LADO],53),"")</f>
        <v/>
      </c>
    </row>
    <row r="87">
      <c r="M87">
        <f>IFERROR(INDEX(GERAL[PONTO],74),"")</f>
        <v/>
      </c>
      <c r="N87">
        <f>IF(M87="","",IFERROR(INDEX(GERAL[ACUMULADA],74),0))</f>
        <v/>
      </c>
      <c r="O87">
        <f>IF(N87="","",$B$11-N87)</f>
        <v/>
      </c>
      <c r="P87">
        <f>IF(N87="","",IF(N87*1.15&lt;=30,30,IF(N87*1.15&lt;=45,45,IF(N87*1.15&lt;=75,75,IF(N87*1.15&lt;=112.5,112.5,IF(N87*1.15&lt;=150,150,IF(N87*1.15&lt;=225,225,300)))))))</f>
        <v/>
      </c>
      <c r="Q87">
        <f>IF(P87="","",IFERROR(N87/P87,0))</f>
        <v/>
      </c>
      <c r="R87">
        <f>IF(M87="","",IFERROR(INDEX(Tabela7[QT %],MATCH(M87,Tabela7[PONTO],0)),0))</f>
        <v/>
      </c>
      <c r="S87">
        <f>IF(N87="","",IFERROR(1-ABS(N87-O87)/$B$11,0))</f>
        <v/>
      </c>
      <c r="T87">
        <f>IF(M87="","",IF($B$9&gt;$B$8,IFERROR((INDEX(GERAL[SNAP],74)-$B$8)/($B$9-$B$8),0),0))</f>
        <v/>
      </c>
      <c r="U87">
        <f>IF(OR(M87="",V87&lt;&gt;"ESQUERDO"),"",$L$2*IFERROR(N87/$B$11,0)+$L$3*IF($D$11&gt;0,IFERROR(R87/$D$11,0),0)+$L$4*IFERROR(S87,0)-$L$5*IFERROR(T87,0)-$L$6*MAX(0,IFERROR(Q87,0)-$L$7)+ROW()/1000000)</f>
        <v/>
      </c>
      <c r="V87">
        <f>IFERROR(INDEX(GERAL[LADO],74),"")</f>
        <v/>
      </c>
      <c r="X87">
        <f>IFERROR(INDEX(GERAL[PONTO],54),"")</f>
        <v/>
      </c>
      <c r="Y87">
        <f>IF(X87="","",IFERROR(INDEX(GERAL[ACUMULADA],54),0))</f>
        <v/>
      </c>
      <c r="Z87">
        <f>IF(Y87="","",$B$31-Y87)</f>
        <v/>
      </c>
      <c r="AA87">
        <f>IF(Y87="","",IF(Y87*1.15&lt;=30,30,IF(Y87*1.15&lt;=45,45,IF(Y87*1.15&lt;=75,75,IF(Y87*1.15&lt;=112.5,112.5,IF(Y87*1.15&lt;=150,150,IF(Y87*1.15&lt;=225,225,300)))))))</f>
        <v/>
      </c>
      <c r="AB87">
        <f>IF(AA87="","",IFERROR(Y87/AA87,0))</f>
        <v/>
      </c>
      <c r="AC87">
        <f>IF(X87="","",IFERROR(INDEX(DIR_ATUAL[QT %],MATCH(X87,DIR_ATUAL[PONTO],0)),0))</f>
        <v/>
      </c>
      <c r="AD87">
        <f>IF(Y87="","",IFERROR(1-ABS(Y87-Z87)/$B$31,0))</f>
        <v/>
      </c>
      <c r="AE87">
        <f>IF(X87="","",IF($E$9&gt;$E$8,IFERROR((INDEX(GERAL[SNAP],54)-$E$8)/($E$9-$E$8),0),0))</f>
        <v/>
      </c>
      <c r="AF87">
        <f>IF(OR(X87="",AG87&lt;&gt;"DIREITO"),"",$L$2*IFERROR(Y87/$B$31,0)+$L$3*IF($D$31&gt;0,IFERROR(AC87/$D$31,0),0)+$L$4*IFERROR(AD87,0)-$L$5*IFERROR(AE87,0)-$L$6*MAX(0,IFERROR(AB87,0)-$L$7)+ROW()/1000000)</f>
        <v/>
      </c>
      <c r="AG87">
        <f>IFERROR(INDEX(GERAL[LADO],54),"")</f>
        <v/>
      </c>
    </row>
    <row r="88">
      <c r="M88">
        <f>IFERROR(INDEX(GERAL[PONTO],75),"")</f>
        <v/>
      </c>
      <c r="N88">
        <f>IF(M88="","",IFERROR(INDEX(GERAL[ACUMULADA],75),0))</f>
        <v/>
      </c>
      <c r="O88">
        <f>IF(N88="","",$B$11-N88)</f>
        <v/>
      </c>
      <c r="P88">
        <f>IF(N88="","",IF(N88*1.15&lt;=30,30,IF(N88*1.15&lt;=45,45,IF(N88*1.15&lt;=75,75,IF(N88*1.15&lt;=112.5,112.5,IF(N88*1.15&lt;=150,150,IF(N88*1.15&lt;=225,225,300)))))))</f>
        <v/>
      </c>
      <c r="Q88">
        <f>IF(P88="","",IFERROR(N88/P88,0))</f>
        <v/>
      </c>
      <c r="R88">
        <f>IF(M88="","",IFERROR(INDEX(Tabela7[QT %],MATCH(M88,Tabela7[PONTO],0)),0))</f>
        <v/>
      </c>
      <c r="S88">
        <f>IF(N88="","",IFERROR(1-ABS(N88-O88)/$B$11,0))</f>
        <v/>
      </c>
      <c r="T88">
        <f>IF(M88="","",IF($B$9&gt;$B$8,IFERROR((INDEX(GERAL[SNAP],75)-$B$8)/($B$9-$B$8),0),0))</f>
        <v/>
      </c>
      <c r="U88">
        <f>IF(OR(M88="",V88&lt;&gt;"ESQUERDO"),"",$L$2*IFERROR(N88/$B$11,0)+$L$3*IF($D$11&gt;0,IFERROR(R88/$D$11,0),0)+$L$4*IFERROR(S88,0)-$L$5*IFERROR(T88,0)-$L$6*MAX(0,IFERROR(Q88,0)-$L$7)+ROW()/1000000)</f>
        <v/>
      </c>
      <c r="V88">
        <f>IFERROR(INDEX(GERAL[LADO],75),"")</f>
        <v/>
      </c>
      <c r="X88">
        <f>IFERROR(INDEX(GERAL[PONTO],55),"")</f>
        <v/>
      </c>
      <c r="Y88">
        <f>IF(X88="","",IFERROR(INDEX(GERAL[ACUMULADA],55),0))</f>
        <v/>
      </c>
      <c r="Z88">
        <f>IF(Y88="","",$B$31-Y88)</f>
        <v/>
      </c>
      <c r="AA88">
        <f>IF(Y88="","",IF(Y88*1.15&lt;=30,30,IF(Y88*1.15&lt;=45,45,IF(Y88*1.15&lt;=75,75,IF(Y88*1.15&lt;=112.5,112.5,IF(Y88*1.15&lt;=150,150,IF(Y88*1.15&lt;=225,225,300)))))))</f>
        <v/>
      </c>
      <c r="AB88">
        <f>IF(AA88="","",IFERROR(Y88/AA88,0))</f>
        <v/>
      </c>
      <c r="AC88">
        <f>IF(X88="","",IFERROR(INDEX(DIR_ATUAL[QT %],MATCH(X88,DIR_ATUAL[PONTO],0)),0))</f>
        <v/>
      </c>
      <c r="AD88">
        <f>IF(Y88="","",IFERROR(1-ABS(Y88-Z88)/$B$31,0))</f>
        <v/>
      </c>
      <c r="AE88">
        <f>IF(X88="","",IF($E$9&gt;$E$8,IFERROR((INDEX(GERAL[SNAP],55)-$E$8)/($E$9-$E$8),0),0))</f>
        <v/>
      </c>
      <c r="AF88">
        <f>IF(OR(X88="",AG88&lt;&gt;"DIREITO"),"",$L$2*IFERROR(Y88/$B$31,0)+$L$3*IF($D$31&gt;0,IFERROR(AC88/$D$31,0),0)+$L$4*IFERROR(AD88,0)-$L$5*IFERROR(AE88,0)-$L$6*MAX(0,IFERROR(AB88,0)-$L$7)+ROW()/1000000)</f>
        <v/>
      </c>
      <c r="AG88">
        <f>IFERROR(INDEX(GERAL[LADO],55),"")</f>
        <v/>
      </c>
    </row>
    <row r="89">
      <c r="M89">
        <f>IFERROR(INDEX(GERAL[PONTO],76),"")</f>
        <v/>
      </c>
      <c r="N89">
        <f>IF(M89="","",IFERROR(INDEX(GERAL[ACUMULADA],76),0))</f>
        <v/>
      </c>
      <c r="O89">
        <f>IF(N89="","",$B$11-N89)</f>
        <v/>
      </c>
      <c r="P89">
        <f>IF(N89="","",IF(N89*1.15&lt;=30,30,IF(N89*1.15&lt;=45,45,IF(N89*1.15&lt;=75,75,IF(N89*1.15&lt;=112.5,112.5,IF(N89*1.15&lt;=150,150,IF(N89*1.15&lt;=225,225,300)))))))</f>
        <v/>
      </c>
      <c r="Q89">
        <f>IF(P89="","",IFERROR(N89/P89,0))</f>
        <v/>
      </c>
      <c r="R89">
        <f>IF(M89="","",IFERROR(INDEX(Tabela7[QT %],MATCH(M89,Tabela7[PONTO],0)),0))</f>
        <v/>
      </c>
      <c r="S89">
        <f>IF(N89="","",IFERROR(1-ABS(N89-O89)/$B$11,0))</f>
        <v/>
      </c>
      <c r="T89">
        <f>IF(M89="","",IF($B$9&gt;$B$8,IFERROR((INDEX(GERAL[SNAP],76)-$B$8)/($B$9-$B$8),0),0))</f>
        <v/>
      </c>
      <c r="U89">
        <f>IF(OR(M89="",V89&lt;&gt;"ESQUERDO"),"",$L$2*IFERROR(N89/$B$11,0)+$L$3*IF($D$11&gt;0,IFERROR(R89/$D$11,0),0)+$L$4*IFERROR(S89,0)-$L$5*IFERROR(T89,0)-$L$6*MAX(0,IFERROR(Q89,0)-$L$7)+ROW()/1000000)</f>
        <v/>
      </c>
      <c r="V89">
        <f>IFERROR(INDEX(GERAL[LADO],76),"")</f>
        <v/>
      </c>
      <c r="X89">
        <f>IFERROR(INDEX(GERAL[PONTO],56),"")</f>
        <v/>
      </c>
      <c r="Y89">
        <f>IF(X89="","",IFERROR(INDEX(GERAL[ACUMULADA],56),0))</f>
        <v/>
      </c>
      <c r="Z89">
        <f>IF(Y89="","",$B$31-Y89)</f>
        <v/>
      </c>
      <c r="AA89">
        <f>IF(Y89="","",IF(Y89*1.15&lt;=30,30,IF(Y89*1.15&lt;=45,45,IF(Y89*1.15&lt;=75,75,IF(Y89*1.15&lt;=112.5,112.5,IF(Y89*1.15&lt;=150,150,IF(Y89*1.15&lt;=225,225,300)))))))</f>
        <v/>
      </c>
      <c r="AB89">
        <f>IF(AA89="","",IFERROR(Y89/AA89,0))</f>
        <v/>
      </c>
      <c r="AC89">
        <f>IF(X89="","",IFERROR(INDEX(DIR_ATUAL[QT %],MATCH(X89,DIR_ATUAL[PONTO],0)),0))</f>
        <v/>
      </c>
      <c r="AD89">
        <f>IF(Y89="","",IFERROR(1-ABS(Y89-Z89)/$B$31,0))</f>
        <v/>
      </c>
      <c r="AE89">
        <f>IF(X89="","",IF($E$9&gt;$E$8,IFERROR((INDEX(GERAL[SNAP],56)-$E$8)/($E$9-$E$8),0),0))</f>
        <v/>
      </c>
      <c r="AF89">
        <f>IF(OR(X89="",AG89&lt;&gt;"DIREITO"),"",$L$2*IFERROR(Y89/$B$31,0)+$L$3*IF($D$31&gt;0,IFERROR(AC89/$D$31,0),0)+$L$4*IFERROR(AD89,0)-$L$5*IFERROR(AE89,0)-$L$6*MAX(0,IFERROR(AB89,0)-$L$7)+ROW()/1000000)</f>
        <v/>
      </c>
      <c r="AG89">
        <f>IFERROR(INDEX(GERAL[LADO],56),"")</f>
        <v/>
      </c>
    </row>
    <row r="90">
      <c r="M90">
        <f>IFERROR(INDEX(GERAL[PONTO],77),"")</f>
        <v/>
      </c>
      <c r="N90">
        <f>IF(M90="","",IFERROR(INDEX(GERAL[ACUMULADA],77),0))</f>
        <v/>
      </c>
      <c r="O90">
        <f>IF(N90="","",$B$11-N90)</f>
        <v/>
      </c>
      <c r="P90">
        <f>IF(N90="","",IF(N90*1.15&lt;=30,30,IF(N90*1.15&lt;=45,45,IF(N90*1.15&lt;=75,75,IF(N90*1.15&lt;=112.5,112.5,IF(N90*1.15&lt;=150,150,IF(N90*1.15&lt;=225,225,300)))))))</f>
        <v/>
      </c>
      <c r="Q90">
        <f>IF(P90="","",IFERROR(N90/P90,0))</f>
        <v/>
      </c>
      <c r="R90">
        <f>IF(M90="","",IFERROR(INDEX(Tabela7[QT %],MATCH(M90,Tabela7[PONTO],0)),0))</f>
        <v/>
      </c>
      <c r="S90">
        <f>IF(N90="","",IFERROR(1-ABS(N90-O90)/$B$11,0))</f>
        <v/>
      </c>
      <c r="T90">
        <f>IF(M90="","",IF($B$9&gt;$B$8,IFERROR((INDEX(GERAL[SNAP],77)-$B$8)/($B$9-$B$8),0),0))</f>
        <v/>
      </c>
      <c r="U90">
        <f>IF(OR(M90="",V90&lt;&gt;"ESQUERDO"),"",$L$2*IFERROR(N90/$B$11,0)+$L$3*IF($D$11&gt;0,IFERROR(R90/$D$11,0),0)+$L$4*IFERROR(S90,0)-$L$5*IFERROR(T90,0)-$L$6*MAX(0,IFERROR(Q90,0)-$L$7)+ROW()/1000000)</f>
        <v/>
      </c>
      <c r="V90">
        <f>IFERROR(INDEX(GERAL[LADO],77),"")</f>
        <v/>
      </c>
      <c r="X90">
        <f>IFERROR(INDEX(GERAL[PONTO],57),"")</f>
        <v/>
      </c>
      <c r="Y90">
        <f>IF(X90="","",IFERROR(INDEX(GERAL[ACUMULADA],57),0))</f>
        <v/>
      </c>
      <c r="Z90">
        <f>IF(Y90="","",$B$31-Y90)</f>
        <v/>
      </c>
      <c r="AA90">
        <f>IF(Y90="","",IF(Y90*1.15&lt;=30,30,IF(Y90*1.15&lt;=45,45,IF(Y90*1.15&lt;=75,75,IF(Y90*1.15&lt;=112.5,112.5,IF(Y90*1.15&lt;=150,150,IF(Y90*1.15&lt;=225,225,300)))))))</f>
        <v/>
      </c>
      <c r="AB90">
        <f>IF(AA90="","",IFERROR(Y90/AA90,0))</f>
        <v/>
      </c>
      <c r="AC90">
        <f>IF(X90="","",IFERROR(INDEX(DIR_ATUAL[QT %],MATCH(X90,DIR_ATUAL[PONTO],0)),0))</f>
        <v/>
      </c>
      <c r="AD90">
        <f>IF(Y90="","",IFERROR(1-ABS(Y90-Z90)/$B$31,0))</f>
        <v/>
      </c>
      <c r="AE90">
        <f>IF(X90="","",IF($E$9&gt;$E$8,IFERROR((INDEX(GERAL[SNAP],57)-$E$8)/($E$9-$E$8),0),0))</f>
        <v/>
      </c>
      <c r="AF90">
        <f>IF(OR(X90="",AG90&lt;&gt;"DIREITO"),"",$L$2*IFERROR(Y90/$B$31,0)+$L$3*IF($D$31&gt;0,IFERROR(AC90/$D$31,0),0)+$L$4*IFERROR(AD90,0)-$L$5*IFERROR(AE90,0)-$L$6*MAX(0,IFERROR(AB90,0)-$L$7)+ROW()/1000000)</f>
        <v/>
      </c>
      <c r="AG90">
        <f>IFERROR(INDEX(GERAL[LADO],57),"")</f>
        <v/>
      </c>
    </row>
    <row r="91">
      <c r="M91">
        <f>IFERROR(INDEX(GERAL[PONTO],78),"")</f>
        <v/>
      </c>
      <c r="N91">
        <f>IF(M91="","",IFERROR(INDEX(GERAL[ACUMULADA],78),0))</f>
        <v/>
      </c>
      <c r="O91">
        <f>IF(N91="","",$B$11-N91)</f>
        <v/>
      </c>
      <c r="P91">
        <f>IF(N91="","",IF(N91*1.15&lt;=30,30,IF(N91*1.15&lt;=45,45,IF(N91*1.15&lt;=75,75,IF(N91*1.15&lt;=112.5,112.5,IF(N91*1.15&lt;=150,150,IF(N91*1.15&lt;=225,225,300)))))))</f>
        <v/>
      </c>
      <c r="Q91">
        <f>IF(P91="","",IFERROR(N91/P91,0))</f>
        <v/>
      </c>
      <c r="R91">
        <f>IF(M91="","",IFERROR(INDEX(Tabela7[QT %],MATCH(M91,Tabela7[PONTO],0)),0))</f>
        <v/>
      </c>
      <c r="S91">
        <f>IF(N91="","",IFERROR(1-ABS(N91-O91)/$B$11,0))</f>
        <v/>
      </c>
      <c r="T91">
        <f>IF(M91="","",IF($B$9&gt;$B$8,IFERROR((INDEX(GERAL[SNAP],78)-$B$8)/($B$9-$B$8),0),0))</f>
        <v/>
      </c>
      <c r="U91">
        <f>IF(OR(M91="",V91&lt;&gt;"ESQUERDO"),"",$L$2*IFERROR(N91/$B$11,0)+$L$3*IF($D$11&gt;0,IFERROR(R91/$D$11,0),0)+$L$4*IFERROR(S91,0)-$L$5*IFERROR(T91,0)-$L$6*MAX(0,IFERROR(Q91,0)-$L$7)+ROW()/1000000)</f>
        <v/>
      </c>
      <c r="V91">
        <f>IFERROR(INDEX(GERAL[LADO],78),"")</f>
        <v/>
      </c>
      <c r="X91">
        <f>IFERROR(INDEX(GERAL[PONTO],58),"")</f>
        <v/>
      </c>
      <c r="Y91">
        <f>IF(X91="","",IFERROR(INDEX(GERAL[ACUMULADA],58),0))</f>
        <v/>
      </c>
      <c r="Z91">
        <f>IF(Y91="","",$B$31-Y91)</f>
        <v/>
      </c>
      <c r="AA91">
        <f>IF(Y91="","",IF(Y91*1.15&lt;=30,30,IF(Y91*1.15&lt;=45,45,IF(Y91*1.15&lt;=75,75,IF(Y91*1.15&lt;=112.5,112.5,IF(Y91*1.15&lt;=150,150,IF(Y91*1.15&lt;=225,225,300)))))))</f>
        <v/>
      </c>
      <c r="AB91">
        <f>IF(AA91="","",IFERROR(Y91/AA91,0))</f>
        <v/>
      </c>
      <c r="AC91">
        <f>IF(X91="","",IFERROR(INDEX(DIR_ATUAL[QT %],MATCH(X91,DIR_ATUAL[PONTO],0)),0))</f>
        <v/>
      </c>
      <c r="AD91">
        <f>IF(Y91="","",IFERROR(1-ABS(Y91-Z91)/$B$31,0))</f>
        <v/>
      </c>
      <c r="AE91">
        <f>IF(X91="","",IF($E$9&gt;$E$8,IFERROR((INDEX(GERAL[SNAP],58)-$E$8)/($E$9-$E$8),0),0))</f>
        <v/>
      </c>
      <c r="AF91">
        <f>IF(OR(X91="",AG91&lt;&gt;"DIREITO"),"",$L$2*IFERROR(Y91/$B$31,0)+$L$3*IF($D$31&gt;0,IFERROR(AC91/$D$31,0),0)+$L$4*IFERROR(AD91,0)-$L$5*IFERROR(AE91,0)-$L$6*MAX(0,IFERROR(AB91,0)-$L$7)+ROW()/1000000)</f>
        <v/>
      </c>
      <c r="AG91">
        <f>IFERROR(INDEX(GERAL[LADO],58),"")</f>
        <v/>
      </c>
    </row>
    <row r="92">
      <c r="M92">
        <f>IFERROR(INDEX(GERAL[PONTO],79),"")</f>
        <v/>
      </c>
      <c r="N92">
        <f>IF(M92="","",IFERROR(INDEX(GERAL[ACUMULADA],79),0))</f>
        <v/>
      </c>
      <c r="O92">
        <f>IF(N92="","",$B$11-N92)</f>
        <v/>
      </c>
      <c r="P92">
        <f>IF(N92="","",IF(N92*1.15&lt;=30,30,IF(N92*1.15&lt;=45,45,IF(N92*1.15&lt;=75,75,IF(N92*1.15&lt;=112.5,112.5,IF(N92*1.15&lt;=150,150,IF(N92*1.15&lt;=225,225,300)))))))</f>
        <v/>
      </c>
      <c r="Q92">
        <f>IF(P92="","",IFERROR(N92/P92,0))</f>
        <v/>
      </c>
      <c r="R92">
        <f>IF(M92="","",IFERROR(INDEX(Tabela7[QT %],MATCH(M92,Tabela7[PONTO],0)),0))</f>
        <v/>
      </c>
      <c r="S92">
        <f>IF(N92="","",IFERROR(1-ABS(N92-O92)/$B$11,0))</f>
        <v/>
      </c>
      <c r="T92">
        <f>IF(M92="","",IF($B$9&gt;$B$8,IFERROR((INDEX(GERAL[SNAP],79)-$B$8)/($B$9-$B$8),0),0))</f>
        <v/>
      </c>
      <c r="U92">
        <f>IF(OR(M92="",V92&lt;&gt;"ESQUERDO"),"",$L$2*IFERROR(N92/$B$11,0)+$L$3*IF($D$11&gt;0,IFERROR(R92/$D$11,0),0)+$L$4*IFERROR(S92,0)-$L$5*IFERROR(T92,0)-$L$6*MAX(0,IFERROR(Q92,0)-$L$7)+ROW()/1000000)</f>
        <v/>
      </c>
      <c r="V92">
        <f>IFERROR(INDEX(GERAL[LADO],79),"")</f>
        <v/>
      </c>
      <c r="X92">
        <f>IFERROR(INDEX(GERAL[PONTO],59),"")</f>
        <v/>
      </c>
      <c r="Y92">
        <f>IF(X92="","",IFERROR(INDEX(GERAL[ACUMULADA],59),0))</f>
        <v/>
      </c>
      <c r="Z92">
        <f>IF(Y92="","",$B$31-Y92)</f>
        <v/>
      </c>
      <c r="AA92">
        <f>IF(Y92="","",IF(Y92*1.15&lt;=30,30,IF(Y92*1.15&lt;=45,45,IF(Y92*1.15&lt;=75,75,IF(Y92*1.15&lt;=112.5,112.5,IF(Y92*1.15&lt;=150,150,IF(Y92*1.15&lt;=225,225,300)))))))</f>
        <v/>
      </c>
      <c r="AB92">
        <f>IF(AA92="","",IFERROR(Y92/AA92,0))</f>
        <v/>
      </c>
      <c r="AC92">
        <f>IF(X92="","",IFERROR(INDEX(DIR_ATUAL[QT %],MATCH(X92,DIR_ATUAL[PONTO],0)),0))</f>
        <v/>
      </c>
      <c r="AD92">
        <f>IF(Y92="","",IFERROR(1-ABS(Y92-Z92)/$B$31,0))</f>
        <v/>
      </c>
      <c r="AE92">
        <f>IF(X92="","",IF($E$9&gt;$E$8,IFERROR((INDEX(GERAL[SNAP],59)-$E$8)/($E$9-$E$8),0),0))</f>
        <v/>
      </c>
      <c r="AF92">
        <f>IF(OR(X92="",AG92&lt;&gt;"DIREITO"),"",$L$2*IFERROR(Y92/$B$31,0)+$L$3*IF($D$31&gt;0,IFERROR(AC92/$D$31,0),0)+$L$4*IFERROR(AD92,0)-$L$5*IFERROR(AE92,0)-$L$6*MAX(0,IFERROR(AB92,0)-$L$7)+ROW()/1000000)</f>
        <v/>
      </c>
      <c r="AG92">
        <f>IFERROR(INDEX(GERAL[LADO],59),"")</f>
        <v/>
      </c>
    </row>
    <row r="93">
      <c r="M93">
        <f>IFERROR(INDEX(GERAL[PONTO],80),"")</f>
        <v/>
      </c>
      <c r="N93">
        <f>IF(M93="","",IFERROR(INDEX(GERAL[ACUMULADA],80),0))</f>
        <v/>
      </c>
      <c r="O93">
        <f>IF(N93="","",$B$11-N93)</f>
        <v/>
      </c>
      <c r="P93">
        <f>IF(N93="","",IF(N93*1.15&lt;=30,30,IF(N93*1.15&lt;=45,45,IF(N93*1.15&lt;=75,75,IF(N93*1.15&lt;=112.5,112.5,IF(N93*1.15&lt;=150,150,IF(N93*1.15&lt;=225,225,300)))))))</f>
        <v/>
      </c>
      <c r="Q93">
        <f>IF(P93="","",IFERROR(N93/P93,0))</f>
        <v/>
      </c>
      <c r="R93">
        <f>IF(M93="","",IFERROR(INDEX(Tabela7[QT %],MATCH(M93,Tabela7[PONTO],0)),0))</f>
        <v/>
      </c>
      <c r="S93">
        <f>IF(N93="","",IFERROR(1-ABS(N93-O93)/$B$11,0))</f>
        <v/>
      </c>
      <c r="T93">
        <f>IF(M93="","",IF($B$9&gt;$B$8,IFERROR((INDEX(GERAL[SNAP],80)-$B$8)/($B$9-$B$8),0),0))</f>
        <v/>
      </c>
      <c r="U93">
        <f>IF(OR(M93="",V93&lt;&gt;"ESQUERDO"),"",$L$2*IFERROR(N93/$B$11,0)+$L$3*IF($D$11&gt;0,IFERROR(R93/$D$11,0),0)+$L$4*IFERROR(S93,0)-$L$5*IFERROR(T93,0)-$L$6*MAX(0,IFERROR(Q93,0)-$L$7)+ROW()/1000000)</f>
        <v/>
      </c>
      <c r="V93">
        <f>IFERROR(INDEX(GERAL[LADO],80),"")</f>
        <v/>
      </c>
      <c r="X93">
        <f>IFERROR(INDEX(GERAL[PONTO],60),"")</f>
        <v/>
      </c>
      <c r="Y93">
        <f>IF(X93="","",IFERROR(INDEX(GERAL[ACUMULADA],60),0))</f>
        <v/>
      </c>
      <c r="Z93">
        <f>IF(Y93="","",$B$31-Y93)</f>
        <v/>
      </c>
      <c r="AA93">
        <f>IF(Y93="","",IF(Y93*1.15&lt;=30,30,IF(Y93*1.15&lt;=45,45,IF(Y93*1.15&lt;=75,75,IF(Y93*1.15&lt;=112.5,112.5,IF(Y93*1.15&lt;=150,150,IF(Y93*1.15&lt;=225,225,300)))))))</f>
        <v/>
      </c>
      <c r="AB93">
        <f>IF(AA93="","",IFERROR(Y93/AA93,0))</f>
        <v/>
      </c>
      <c r="AC93">
        <f>IF(X93="","",IFERROR(INDEX(DIR_ATUAL[QT %],MATCH(X93,DIR_ATUAL[PONTO],0)),0))</f>
        <v/>
      </c>
      <c r="AD93">
        <f>IF(Y93="","",IFERROR(1-ABS(Y93-Z93)/$B$31,0))</f>
        <v/>
      </c>
      <c r="AE93">
        <f>IF(X93="","",IF($E$9&gt;$E$8,IFERROR((INDEX(GERAL[SNAP],60)-$E$8)/($E$9-$E$8),0),0))</f>
        <v/>
      </c>
      <c r="AF93">
        <f>IF(OR(X93="",AG93&lt;&gt;"DIREITO"),"",$L$2*IFERROR(Y93/$B$31,0)+$L$3*IF($D$31&gt;0,IFERROR(AC93/$D$31,0),0)+$L$4*IFERROR(AD93,0)-$L$5*IFERROR(AE93,0)-$L$6*MAX(0,IFERROR(AB93,0)-$L$7)+ROW()/1000000)</f>
        <v/>
      </c>
      <c r="AG93">
        <f>IFERROR(INDEX(GERAL[LADO],60),"")</f>
        <v/>
      </c>
    </row>
    <row r="94">
      <c r="M94">
        <f>IFERROR(INDEX(GERAL[PONTO],81),"")</f>
        <v/>
      </c>
      <c r="N94">
        <f>IF(M94="","",IFERROR(INDEX(GERAL[ACUMULADA],81),0))</f>
        <v/>
      </c>
      <c r="O94">
        <f>IF(N94="","",$B$11-N94)</f>
        <v/>
      </c>
      <c r="P94">
        <f>IF(N94="","",IF(N94*1.15&lt;=30,30,IF(N94*1.15&lt;=45,45,IF(N94*1.15&lt;=75,75,IF(N94*1.15&lt;=112.5,112.5,IF(N94*1.15&lt;=150,150,IF(N94*1.15&lt;=225,225,300)))))))</f>
        <v/>
      </c>
      <c r="Q94">
        <f>IF(P94="","",IFERROR(N94/P94,0))</f>
        <v/>
      </c>
      <c r="R94">
        <f>IF(M94="","",IFERROR(INDEX(Tabela7[QT %],MATCH(M94,Tabela7[PONTO],0)),0))</f>
        <v/>
      </c>
      <c r="S94">
        <f>IF(N94="","",IFERROR(1-ABS(N94-O94)/$B$11,0))</f>
        <v/>
      </c>
      <c r="T94">
        <f>IF(M94="","",IF($B$9&gt;$B$8,IFERROR((INDEX(GERAL[SNAP],81)-$B$8)/($B$9-$B$8),0),0))</f>
        <v/>
      </c>
      <c r="U94">
        <f>IF(OR(M94="",V94&lt;&gt;"ESQUERDO"),"",$L$2*IFERROR(N94/$B$11,0)+$L$3*IF($D$11&gt;0,IFERROR(R94/$D$11,0),0)+$L$4*IFERROR(S94,0)-$L$5*IFERROR(T94,0)-$L$6*MAX(0,IFERROR(Q94,0)-$L$7)+ROW()/1000000)</f>
        <v/>
      </c>
      <c r="V94">
        <f>IFERROR(INDEX(GERAL[LADO],81),"")</f>
        <v/>
      </c>
      <c r="X94">
        <f>IFERROR(INDEX(GERAL[PONTO],61),"")</f>
        <v/>
      </c>
      <c r="Y94">
        <f>IF(X94="","",IFERROR(INDEX(GERAL[ACUMULADA],61),0))</f>
        <v/>
      </c>
      <c r="Z94">
        <f>IF(Y94="","",$B$31-Y94)</f>
        <v/>
      </c>
      <c r="AA94">
        <f>IF(Y94="","",IF(Y94*1.15&lt;=30,30,IF(Y94*1.15&lt;=45,45,IF(Y94*1.15&lt;=75,75,IF(Y94*1.15&lt;=112.5,112.5,IF(Y94*1.15&lt;=150,150,IF(Y94*1.15&lt;=225,225,300)))))))</f>
        <v/>
      </c>
      <c r="AB94">
        <f>IF(AA94="","",IFERROR(Y94/AA94,0))</f>
        <v/>
      </c>
      <c r="AC94">
        <f>IF(X94="","",IFERROR(INDEX(DIR_ATUAL[QT %],MATCH(X94,DIR_ATUAL[PONTO],0)),0))</f>
        <v/>
      </c>
      <c r="AD94">
        <f>IF(Y94="","",IFERROR(1-ABS(Y94-Z94)/$B$31,0))</f>
        <v/>
      </c>
      <c r="AE94">
        <f>IF(X94="","",IF($E$9&gt;$E$8,IFERROR((INDEX(GERAL[SNAP],61)-$E$8)/($E$9-$E$8),0),0))</f>
        <v/>
      </c>
      <c r="AF94">
        <f>IF(OR(X94="",AG94&lt;&gt;"DIREITO"),"",$L$2*IFERROR(Y94/$B$31,0)+$L$3*IF($D$31&gt;0,IFERROR(AC94/$D$31,0),0)+$L$4*IFERROR(AD94,0)-$L$5*IFERROR(AE94,0)-$L$6*MAX(0,IFERROR(AB94,0)-$L$7)+ROW()/1000000)</f>
        <v/>
      </c>
      <c r="AG94">
        <f>IFERROR(INDEX(GERAL[LADO],61),"")</f>
        <v/>
      </c>
    </row>
    <row r="95">
      <c r="M95">
        <f>IFERROR(INDEX(GERAL[PONTO],82),"")</f>
        <v/>
      </c>
      <c r="N95">
        <f>IF(M95="","",IFERROR(INDEX(GERAL[ACUMULADA],82),0))</f>
        <v/>
      </c>
      <c r="O95">
        <f>IF(N95="","",$B$11-N95)</f>
        <v/>
      </c>
      <c r="P95">
        <f>IF(N95="","",IF(N95*1.15&lt;=30,30,IF(N95*1.15&lt;=45,45,IF(N95*1.15&lt;=75,75,IF(N95*1.15&lt;=112.5,112.5,IF(N95*1.15&lt;=150,150,IF(N95*1.15&lt;=225,225,300)))))))</f>
        <v/>
      </c>
      <c r="Q95">
        <f>IF(P95="","",IFERROR(N95/P95,0))</f>
        <v/>
      </c>
      <c r="R95">
        <f>IF(M95="","",IFERROR(INDEX(Tabela7[QT %],MATCH(M95,Tabela7[PONTO],0)),0))</f>
        <v/>
      </c>
      <c r="S95">
        <f>IF(N95="","",IFERROR(1-ABS(N95-O95)/$B$11,0))</f>
        <v/>
      </c>
      <c r="T95">
        <f>IF(M95="","",IF($B$9&gt;$B$8,IFERROR((INDEX(GERAL[SNAP],82)-$B$8)/($B$9-$B$8),0),0))</f>
        <v/>
      </c>
      <c r="U95">
        <f>IF(OR(M95="",V95&lt;&gt;"ESQUERDO"),"",$L$2*IFERROR(N95/$B$11,0)+$L$3*IF($D$11&gt;0,IFERROR(R95/$D$11,0),0)+$L$4*IFERROR(S95,0)-$L$5*IFERROR(T95,0)-$L$6*MAX(0,IFERROR(Q95,0)-$L$7)+ROW()/1000000)</f>
        <v/>
      </c>
      <c r="V95">
        <f>IFERROR(INDEX(GERAL[LADO],82),"")</f>
        <v/>
      </c>
      <c r="X95">
        <f>IFERROR(INDEX(GERAL[PONTO],62),"")</f>
        <v/>
      </c>
      <c r="Y95">
        <f>IF(X95="","",IFERROR(INDEX(GERAL[ACUMULADA],62),0))</f>
        <v/>
      </c>
      <c r="Z95">
        <f>IF(Y95="","",$B$31-Y95)</f>
        <v/>
      </c>
      <c r="AA95">
        <f>IF(Y95="","",IF(Y95*1.15&lt;=30,30,IF(Y95*1.15&lt;=45,45,IF(Y95*1.15&lt;=75,75,IF(Y95*1.15&lt;=112.5,112.5,IF(Y95*1.15&lt;=150,150,IF(Y95*1.15&lt;=225,225,300)))))))</f>
        <v/>
      </c>
      <c r="AB95">
        <f>IF(AA95="","",IFERROR(Y95/AA95,0))</f>
        <v/>
      </c>
      <c r="AC95">
        <f>IF(X95="","",IFERROR(INDEX(DIR_ATUAL[QT %],MATCH(X95,DIR_ATUAL[PONTO],0)),0))</f>
        <v/>
      </c>
      <c r="AD95">
        <f>IF(Y95="","",IFERROR(1-ABS(Y95-Z95)/$B$31,0))</f>
        <v/>
      </c>
      <c r="AE95">
        <f>IF(X95="","",IF($E$9&gt;$E$8,IFERROR((INDEX(GERAL[SNAP],62)-$E$8)/($E$9-$E$8),0),0))</f>
        <v/>
      </c>
      <c r="AF95">
        <f>IF(OR(X95="",AG95&lt;&gt;"DIREITO"),"",$L$2*IFERROR(Y95/$B$31,0)+$L$3*IF($D$31&gt;0,IFERROR(AC95/$D$31,0),0)+$L$4*IFERROR(AD95,0)-$L$5*IFERROR(AE95,0)-$L$6*MAX(0,IFERROR(AB95,0)-$L$7)+ROW()/1000000)</f>
        <v/>
      </c>
      <c r="AG95">
        <f>IFERROR(INDEX(GERAL[LADO],62),"")</f>
        <v/>
      </c>
    </row>
    <row r="96">
      <c r="M96">
        <f>IFERROR(INDEX(GERAL[PONTO],83),"")</f>
        <v/>
      </c>
      <c r="N96">
        <f>IF(M96="","",IFERROR(INDEX(GERAL[ACUMULADA],83),0))</f>
        <v/>
      </c>
      <c r="O96">
        <f>IF(N96="","",$B$11-N96)</f>
        <v/>
      </c>
      <c r="P96">
        <f>IF(N96="","",IF(N96*1.15&lt;=30,30,IF(N96*1.15&lt;=45,45,IF(N96*1.15&lt;=75,75,IF(N96*1.15&lt;=112.5,112.5,IF(N96*1.15&lt;=150,150,IF(N96*1.15&lt;=225,225,300)))))))</f>
        <v/>
      </c>
      <c r="Q96">
        <f>IF(P96="","",IFERROR(N96/P96,0))</f>
        <v/>
      </c>
      <c r="R96">
        <f>IF(M96="","",IFERROR(INDEX(Tabela7[QT %],MATCH(M96,Tabela7[PONTO],0)),0))</f>
        <v/>
      </c>
      <c r="S96">
        <f>IF(N96="","",IFERROR(1-ABS(N96-O96)/$B$11,0))</f>
        <v/>
      </c>
      <c r="T96">
        <f>IF(M96="","",IF($B$9&gt;$B$8,IFERROR((INDEX(GERAL[SNAP],83)-$B$8)/($B$9-$B$8),0),0))</f>
        <v/>
      </c>
      <c r="U96">
        <f>IF(OR(M96="",V96&lt;&gt;"ESQUERDO"),"",$L$2*IFERROR(N96/$B$11,0)+$L$3*IF($D$11&gt;0,IFERROR(R96/$D$11,0),0)+$L$4*IFERROR(S96,0)-$L$5*IFERROR(T96,0)-$L$6*MAX(0,IFERROR(Q96,0)-$L$7)+ROW()/1000000)</f>
        <v/>
      </c>
      <c r="V96">
        <f>IFERROR(INDEX(GERAL[LADO],83),"")</f>
        <v/>
      </c>
      <c r="X96">
        <f>IFERROR(INDEX(GERAL[PONTO],63),"")</f>
        <v/>
      </c>
      <c r="Y96">
        <f>IF(X96="","",IFERROR(INDEX(GERAL[ACUMULADA],63),0))</f>
        <v/>
      </c>
      <c r="Z96">
        <f>IF(Y96="","",$B$31-Y96)</f>
        <v/>
      </c>
      <c r="AA96">
        <f>IF(Y96="","",IF(Y96*1.15&lt;=30,30,IF(Y96*1.15&lt;=45,45,IF(Y96*1.15&lt;=75,75,IF(Y96*1.15&lt;=112.5,112.5,IF(Y96*1.15&lt;=150,150,IF(Y96*1.15&lt;=225,225,300)))))))</f>
        <v/>
      </c>
      <c r="AB96">
        <f>IF(AA96="","",IFERROR(Y96/AA96,0))</f>
        <v/>
      </c>
      <c r="AC96">
        <f>IF(X96="","",IFERROR(INDEX(DIR_ATUAL[QT %],MATCH(X96,DIR_ATUAL[PONTO],0)),0))</f>
        <v/>
      </c>
      <c r="AD96">
        <f>IF(Y96="","",IFERROR(1-ABS(Y96-Z96)/$B$31,0))</f>
        <v/>
      </c>
      <c r="AE96">
        <f>IF(X96="","",IF($E$9&gt;$E$8,IFERROR((INDEX(GERAL[SNAP],63)-$E$8)/($E$9-$E$8),0),0))</f>
        <v/>
      </c>
      <c r="AF96">
        <f>IF(OR(X96="",AG96&lt;&gt;"DIREITO"),"",$L$2*IFERROR(Y96/$B$31,0)+$L$3*IF($D$31&gt;0,IFERROR(AC96/$D$31,0),0)+$L$4*IFERROR(AD96,0)-$L$5*IFERROR(AE96,0)-$L$6*MAX(0,IFERROR(AB96,0)-$L$7)+ROW()/1000000)</f>
        <v/>
      </c>
      <c r="AG96">
        <f>IFERROR(INDEX(GERAL[LADO],63),"")</f>
        <v/>
      </c>
    </row>
    <row r="97">
      <c r="M97">
        <f>IFERROR(INDEX(GERAL[PONTO],84),"")</f>
        <v/>
      </c>
      <c r="N97">
        <f>IF(M97="","",IFERROR(INDEX(GERAL[ACUMULADA],84),0))</f>
        <v/>
      </c>
      <c r="O97">
        <f>IF(N97="","",$B$11-N97)</f>
        <v/>
      </c>
      <c r="P97">
        <f>IF(N97="","",IF(N97*1.15&lt;=30,30,IF(N97*1.15&lt;=45,45,IF(N97*1.15&lt;=75,75,IF(N97*1.15&lt;=112.5,112.5,IF(N97*1.15&lt;=150,150,IF(N97*1.15&lt;=225,225,300)))))))</f>
        <v/>
      </c>
      <c r="Q97">
        <f>IF(P97="","",IFERROR(N97/P97,0))</f>
        <v/>
      </c>
      <c r="R97">
        <f>IF(M97="","",IFERROR(INDEX(Tabela7[QT %],MATCH(M97,Tabela7[PONTO],0)),0))</f>
        <v/>
      </c>
      <c r="S97">
        <f>IF(N97="","",IFERROR(1-ABS(N97-O97)/$B$11,0))</f>
        <v/>
      </c>
      <c r="T97">
        <f>IF(M97="","",IF($B$9&gt;$B$8,IFERROR((INDEX(GERAL[SNAP],84)-$B$8)/($B$9-$B$8),0),0))</f>
        <v/>
      </c>
      <c r="U97">
        <f>IF(OR(M97="",V97&lt;&gt;"ESQUERDO"),"",$L$2*IFERROR(N97/$B$11,0)+$L$3*IF($D$11&gt;0,IFERROR(R97/$D$11,0),0)+$L$4*IFERROR(S97,0)-$L$5*IFERROR(T97,0)-$L$6*MAX(0,IFERROR(Q97,0)-$L$7)+ROW()/1000000)</f>
        <v/>
      </c>
      <c r="V97">
        <f>IFERROR(INDEX(GERAL[LADO],84),"")</f>
        <v/>
      </c>
      <c r="X97">
        <f>IFERROR(INDEX(GERAL[PONTO],64),"")</f>
        <v/>
      </c>
      <c r="Y97">
        <f>IF(X97="","",IFERROR(INDEX(GERAL[ACUMULADA],64),0))</f>
        <v/>
      </c>
      <c r="Z97">
        <f>IF(Y97="","",$B$31-Y97)</f>
        <v/>
      </c>
      <c r="AA97">
        <f>IF(Y97="","",IF(Y97*1.15&lt;=30,30,IF(Y97*1.15&lt;=45,45,IF(Y97*1.15&lt;=75,75,IF(Y97*1.15&lt;=112.5,112.5,IF(Y97*1.15&lt;=150,150,IF(Y97*1.15&lt;=225,225,300)))))))</f>
        <v/>
      </c>
      <c r="AB97">
        <f>IF(AA97="","",IFERROR(Y97/AA97,0))</f>
        <v/>
      </c>
      <c r="AC97">
        <f>IF(X97="","",IFERROR(INDEX(DIR_ATUAL[QT %],MATCH(X97,DIR_ATUAL[PONTO],0)),0))</f>
        <v/>
      </c>
      <c r="AD97">
        <f>IF(Y97="","",IFERROR(1-ABS(Y97-Z97)/$B$31,0))</f>
        <v/>
      </c>
      <c r="AE97">
        <f>IF(X97="","",IF($E$9&gt;$E$8,IFERROR((INDEX(GERAL[SNAP],64)-$E$8)/($E$9-$E$8),0),0))</f>
        <v/>
      </c>
      <c r="AF97">
        <f>IF(OR(X97="",AG97&lt;&gt;"DIREITO"),"",$L$2*IFERROR(Y97/$B$31,0)+$L$3*IF($D$31&gt;0,IFERROR(AC97/$D$31,0),0)+$L$4*IFERROR(AD97,0)-$L$5*IFERROR(AE97,0)-$L$6*MAX(0,IFERROR(AB97,0)-$L$7)+ROW()/1000000)</f>
        <v/>
      </c>
      <c r="AG97">
        <f>IFERROR(INDEX(GERAL[LADO],64),"")</f>
        <v/>
      </c>
    </row>
    <row r="98">
      <c r="M98">
        <f>IFERROR(INDEX(GERAL[PONTO],85),"")</f>
        <v/>
      </c>
      <c r="N98">
        <f>IF(M98="","",IFERROR(INDEX(GERAL[ACUMULADA],85),0))</f>
        <v/>
      </c>
      <c r="O98">
        <f>IF(N98="","",$B$11-N98)</f>
        <v/>
      </c>
      <c r="P98">
        <f>IF(N98="","",IF(N98*1.15&lt;=30,30,IF(N98*1.15&lt;=45,45,IF(N98*1.15&lt;=75,75,IF(N98*1.15&lt;=112.5,112.5,IF(N98*1.15&lt;=150,150,IF(N98*1.15&lt;=225,225,300)))))))</f>
        <v/>
      </c>
      <c r="Q98">
        <f>IF(P98="","",IFERROR(N98/P98,0))</f>
        <v/>
      </c>
      <c r="R98">
        <f>IF(M98="","",IFERROR(INDEX(Tabela7[QT %],MATCH(M98,Tabela7[PONTO],0)),0))</f>
        <v/>
      </c>
      <c r="S98">
        <f>IF(N98="","",IFERROR(1-ABS(N98-O98)/$B$11,0))</f>
        <v/>
      </c>
      <c r="T98">
        <f>IF(M98="","",IF($B$9&gt;$B$8,IFERROR((INDEX(GERAL[SNAP],85)-$B$8)/($B$9-$B$8),0),0))</f>
        <v/>
      </c>
      <c r="U98">
        <f>IF(OR(M98="",V98&lt;&gt;"ESQUERDO"),"",$L$2*IFERROR(N98/$B$11,0)+$L$3*IF($D$11&gt;0,IFERROR(R98/$D$11,0),0)+$L$4*IFERROR(S98,0)-$L$5*IFERROR(T98,0)-$L$6*MAX(0,IFERROR(Q98,0)-$L$7)+ROW()/1000000)</f>
        <v/>
      </c>
      <c r="V98">
        <f>IFERROR(INDEX(GERAL[LADO],85),"")</f>
        <v/>
      </c>
      <c r="X98">
        <f>IFERROR(INDEX(GERAL[PONTO],65),"")</f>
        <v/>
      </c>
      <c r="Y98">
        <f>IF(X98="","",IFERROR(INDEX(GERAL[ACUMULADA],65),0))</f>
        <v/>
      </c>
      <c r="Z98">
        <f>IF(Y98="","",$B$31-Y98)</f>
        <v/>
      </c>
      <c r="AA98">
        <f>IF(Y98="","",IF(Y98*1.15&lt;=30,30,IF(Y98*1.15&lt;=45,45,IF(Y98*1.15&lt;=75,75,IF(Y98*1.15&lt;=112.5,112.5,IF(Y98*1.15&lt;=150,150,IF(Y98*1.15&lt;=225,225,300)))))))</f>
        <v/>
      </c>
      <c r="AB98">
        <f>IF(AA98="","",IFERROR(Y98/AA98,0))</f>
        <v/>
      </c>
      <c r="AC98">
        <f>IF(X98="","",IFERROR(INDEX(DIR_ATUAL[QT %],MATCH(X98,DIR_ATUAL[PONTO],0)),0))</f>
        <v/>
      </c>
      <c r="AD98">
        <f>IF(Y98="","",IFERROR(1-ABS(Y98-Z98)/$B$31,0))</f>
        <v/>
      </c>
      <c r="AE98">
        <f>IF(X98="","",IF($E$9&gt;$E$8,IFERROR((INDEX(GERAL[SNAP],65)-$E$8)/($E$9-$E$8),0),0))</f>
        <v/>
      </c>
      <c r="AF98">
        <f>IF(OR(X98="",AG98&lt;&gt;"DIREITO"),"",$L$2*IFERROR(Y98/$B$31,0)+$L$3*IF($D$31&gt;0,IFERROR(AC98/$D$31,0),0)+$L$4*IFERROR(AD98,0)-$L$5*IFERROR(AE98,0)-$L$6*MAX(0,IFERROR(AB98,0)-$L$7)+ROW()/1000000)</f>
        <v/>
      </c>
      <c r="AG98">
        <f>IFERROR(INDEX(GERAL[LADO],65),"")</f>
        <v/>
      </c>
    </row>
    <row r="99">
      <c r="M99">
        <f>IFERROR(INDEX(GERAL[PONTO],86),"")</f>
        <v/>
      </c>
      <c r="N99">
        <f>IF(M99="","",IFERROR(INDEX(GERAL[ACUMULADA],86),0))</f>
        <v/>
      </c>
      <c r="O99">
        <f>IF(N99="","",$B$11-N99)</f>
        <v/>
      </c>
      <c r="P99">
        <f>IF(N99="","",IF(N99*1.15&lt;=30,30,IF(N99*1.15&lt;=45,45,IF(N99*1.15&lt;=75,75,IF(N99*1.15&lt;=112.5,112.5,IF(N99*1.15&lt;=150,150,IF(N99*1.15&lt;=225,225,300)))))))</f>
        <v/>
      </c>
      <c r="Q99">
        <f>IF(P99="","",IFERROR(N99/P99,0))</f>
        <v/>
      </c>
      <c r="R99">
        <f>IF(M99="","",IFERROR(INDEX(Tabela7[QT %],MATCH(M99,Tabela7[PONTO],0)),0))</f>
        <v/>
      </c>
      <c r="S99">
        <f>IF(N99="","",IFERROR(1-ABS(N99-O99)/$B$11,0))</f>
        <v/>
      </c>
      <c r="T99">
        <f>IF(M99="","",IF($B$9&gt;$B$8,IFERROR((INDEX(GERAL[SNAP],86)-$B$8)/($B$9-$B$8),0),0))</f>
        <v/>
      </c>
      <c r="U99">
        <f>IF(OR(M99="",V99&lt;&gt;"ESQUERDO"),"",$L$2*IFERROR(N99/$B$11,0)+$L$3*IF($D$11&gt;0,IFERROR(R99/$D$11,0),0)+$L$4*IFERROR(S99,0)-$L$5*IFERROR(T99,0)-$L$6*MAX(0,IFERROR(Q99,0)-$L$7)+ROW()/1000000)</f>
        <v/>
      </c>
      <c r="V99">
        <f>IFERROR(INDEX(GERAL[LADO],86),"")</f>
        <v/>
      </c>
      <c r="X99">
        <f>IFERROR(INDEX(GERAL[PONTO],66),"")</f>
        <v/>
      </c>
      <c r="Y99">
        <f>IF(X99="","",IFERROR(INDEX(GERAL[ACUMULADA],66),0))</f>
        <v/>
      </c>
      <c r="Z99">
        <f>IF(Y99="","",$B$31-Y99)</f>
        <v/>
      </c>
      <c r="AA99">
        <f>IF(Y99="","",IF(Y99*1.15&lt;=30,30,IF(Y99*1.15&lt;=45,45,IF(Y99*1.15&lt;=75,75,IF(Y99*1.15&lt;=112.5,112.5,IF(Y99*1.15&lt;=150,150,IF(Y99*1.15&lt;=225,225,300)))))))</f>
        <v/>
      </c>
      <c r="AB99">
        <f>IF(AA99="","",IFERROR(Y99/AA99,0))</f>
        <v/>
      </c>
      <c r="AC99">
        <f>IF(X99="","",IFERROR(INDEX(DIR_ATUAL[QT %],MATCH(X99,DIR_ATUAL[PONTO],0)),0))</f>
        <v/>
      </c>
      <c r="AD99">
        <f>IF(Y99="","",IFERROR(1-ABS(Y99-Z99)/$B$31,0))</f>
        <v/>
      </c>
      <c r="AE99">
        <f>IF(X99="","",IF($E$9&gt;$E$8,IFERROR((INDEX(GERAL[SNAP],66)-$E$8)/($E$9-$E$8),0),0))</f>
        <v/>
      </c>
      <c r="AF99">
        <f>IF(OR(X99="",AG99&lt;&gt;"DIREITO"),"",$L$2*IFERROR(Y99/$B$31,0)+$L$3*IF($D$31&gt;0,IFERROR(AC99/$D$31,0),0)+$L$4*IFERROR(AD99,0)-$L$5*IFERROR(AE99,0)-$L$6*MAX(0,IFERROR(AB99,0)-$L$7)+ROW()/1000000)</f>
        <v/>
      </c>
      <c r="AG99">
        <f>IFERROR(INDEX(GERAL[LADO],66),"")</f>
        <v/>
      </c>
    </row>
    <row r="100">
      <c r="M100">
        <f>IFERROR(INDEX(GERAL[PONTO],87),"")</f>
        <v/>
      </c>
      <c r="N100">
        <f>IF(M100="","",IFERROR(INDEX(GERAL[ACUMULADA],87),0))</f>
        <v/>
      </c>
      <c r="O100">
        <f>IF(N100="","",$B$11-N100)</f>
        <v/>
      </c>
      <c r="P100">
        <f>IF(N100="","",IF(N100*1.15&lt;=30,30,IF(N100*1.15&lt;=45,45,IF(N100*1.15&lt;=75,75,IF(N100*1.15&lt;=112.5,112.5,IF(N100*1.15&lt;=150,150,IF(N100*1.15&lt;=225,225,300)))))))</f>
        <v/>
      </c>
      <c r="Q100">
        <f>IF(P100="","",IFERROR(N100/P100,0))</f>
        <v/>
      </c>
      <c r="R100">
        <f>IF(M100="","",IFERROR(INDEX(Tabela7[QT %],MATCH(M100,Tabela7[PONTO],0)),0))</f>
        <v/>
      </c>
      <c r="S100">
        <f>IF(N100="","",IFERROR(1-ABS(N100-O100)/$B$11,0))</f>
        <v/>
      </c>
      <c r="T100">
        <f>IF(M100="","",IF($B$9&gt;$B$8,IFERROR((INDEX(GERAL[SNAP],87)-$B$8)/($B$9-$B$8),0),0))</f>
        <v/>
      </c>
      <c r="U100">
        <f>IF(OR(M100="",V100&lt;&gt;"ESQUERDO"),"",$L$2*IFERROR(N100/$B$11,0)+$L$3*IF($D$11&gt;0,IFERROR(R100/$D$11,0),0)+$L$4*IFERROR(S100,0)-$L$5*IFERROR(T100,0)-$L$6*MAX(0,IFERROR(Q100,0)-$L$7)+ROW()/1000000)</f>
        <v/>
      </c>
      <c r="V100">
        <f>IFERROR(INDEX(GERAL[LADO],87),"")</f>
        <v/>
      </c>
      <c r="X100">
        <f>IFERROR(INDEX(GERAL[PONTO],67),"")</f>
        <v/>
      </c>
      <c r="Y100">
        <f>IF(X100="","",IFERROR(INDEX(GERAL[ACUMULADA],67),0))</f>
        <v/>
      </c>
      <c r="Z100">
        <f>IF(Y100="","",$B$31-Y100)</f>
        <v/>
      </c>
      <c r="AA100">
        <f>IF(Y100="","",IF(Y100*1.15&lt;=30,30,IF(Y100*1.15&lt;=45,45,IF(Y100*1.15&lt;=75,75,IF(Y100*1.15&lt;=112.5,112.5,IF(Y100*1.15&lt;=150,150,IF(Y100*1.15&lt;=225,225,300)))))))</f>
        <v/>
      </c>
      <c r="AB100">
        <f>IF(AA100="","",IFERROR(Y100/AA100,0))</f>
        <v/>
      </c>
      <c r="AC100">
        <f>IF(X100="","",IFERROR(INDEX(DIR_ATUAL[QT %],MATCH(X100,DIR_ATUAL[PONTO],0)),0))</f>
        <v/>
      </c>
      <c r="AD100">
        <f>IF(Y100="","",IFERROR(1-ABS(Y100-Z100)/$B$31,0))</f>
        <v/>
      </c>
      <c r="AE100">
        <f>IF(X100="","",IF($E$9&gt;$E$8,IFERROR((INDEX(GERAL[SNAP],67)-$E$8)/($E$9-$E$8),0),0))</f>
        <v/>
      </c>
      <c r="AF100">
        <f>IF(OR(X100="",AG100&lt;&gt;"DIREITO"),"",$L$2*IFERROR(Y100/$B$31,0)+$L$3*IF($D$31&gt;0,IFERROR(AC100/$D$31,0),0)+$L$4*IFERROR(AD100,0)-$L$5*IFERROR(AE100,0)-$L$6*MAX(0,IFERROR(AB100,0)-$L$7)+ROW()/1000000)</f>
        <v/>
      </c>
      <c r="AG100">
        <f>IFERROR(INDEX(GERAL[LADO],67),"")</f>
        <v/>
      </c>
    </row>
    <row r="101">
      <c r="M101">
        <f>IFERROR(INDEX(GERAL[PONTO],88),"")</f>
        <v/>
      </c>
      <c r="N101">
        <f>IF(M101="","",IFERROR(INDEX(GERAL[ACUMULADA],88),0))</f>
        <v/>
      </c>
      <c r="O101">
        <f>IF(N101="","",$B$11-N101)</f>
        <v/>
      </c>
      <c r="P101">
        <f>IF(N101="","",IF(N101*1.15&lt;=30,30,IF(N101*1.15&lt;=45,45,IF(N101*1.15&lt;=75,75,IF(N101*1.15&lt;=112.5,112.5,IF(N101*1.15&lt;=150,150,IF(N101*1.15&lt;=225,225,300)))))))</f>
        <v/>
      </c>
      <c r="Q101">
        <f>IF(P101="","",IFERROR(N101/P101,0))</f>
        <v/>
      </c>
      <c r="R101">
        <f>IF(M101="","",IFERROR(INDEX(Tabela7[QT %],MATCH(M101,Tabela7[PONTO],0)),0))</f>
        <v/>
      </c>
      <c r="S101">
        <f>IF(N101="","",IFERROR(1-ABS(N101-O101)/$B$11,0))</f>
        <v/>
      </c>
      <c r="T101">
        <f>IF(M101="","",IF($B$9&gt;$B$8,IFERROR((INDEX(GERAL[SNAP],88)-$B$8)/($B$9-$B$8),0),0))</f>
        <v/>
      </c>
      <c r="U101">
        <f>IF(OR(M101="",V101&lt;&gt;"ESQUERDO"),"",$L$2*IFERROR(N101/$B$11,0)+$L$3*IF($D$11&gt;0,IFERROR(R101/$D$11,0),0)+$L$4*IFERROR(S101,0)-$L$5*IFERROR(T101,0)-$L$6*MAX(0,IFERROR(Q101,0)-$L$7)+ROW()/1000000)</f>
        <v/>
      </c>
      <c r="V101">
        <f>IFERROR(INDEX(GERAL[LADO],88),"")</f>
        <v/>
      </c>
      <c r="X101">
        <f>IFERROR(INDEX(GERAL[PONTO],68),"")</f>
        <v/>
      </c>
      <c r="Y101">
        <f>IF(X101="","",IFERROR(INDEX(GERAL[ACUMULADA],68),0))</f>
        <v/>
      </c>
      <c r="Z101">
        <f>IF(Y101="","",$B$31-Y101)</f>
        <v/>
      </c>
      <c r="AA101">
        <f>IF(Y101="","",IF(Y101*1.15&lt;=30,30,IF(Y101*1.15&lt;=45,45,IF(Y101*1.15&lt;=75,75,IF(Y101*1.15&lt;=112.5,112.5,IF(Y101*1.15&lt;=150,150,IF(Y101*1.15&lt;=225,225,300)))))))</f>
        <v/>
      </c>
      <c r="AB101">
        <f>IF(AA101="","",IFERROR(Y101/AA101,0))</f>
        <v/>
      </c>
      <c r="AC101">
        <f>IF(X101="","",IFERROR(INDEX(DIR_ATUAL[QT %],MATCH(X101,DIR_ATUAL[PONTO],0)),0))</f>
        <v/>
      </c>
      <c r="AD101">
        <f>IF(Y101="","",IFERROR(1-ABS(Y101-Z101)/$B$31,0))</f>
        <v/>
      </c>
      <c r="AE101">
        <f>IF(X101="","",IF($E$9&gt;$E$8,IFERROR((INDEX(GERAL[SNAP],68)-$E$8)/($E$9-$E$8),0),0))</f>
        <v/>
      </c>
      <c r="AF101">
        <f>IF(OR(X101="",AG101&lt;&gt;"DIREITO"),"",$L$2*IFERROR(Y101/$B$31,0)+$L$3*IF($D$31&gt;0,IFERROR(AC101/$D$31,0),0)+$L$4*IFERROR(AD101,0)-$L$5*IFERROR(AE101,0)-$L$6*MAX(0,IFERROR(AB101,0)-$L$7)+ROW()/1000000)</f>
        <v/>
      </c>
      <c r="AG101">
        <f>IFERROR(INDEX(GERAL[LADO],68),"")</f>
        <v/>
      </c>
    </row>
    <row r="102">
      <c r="M102">
        <f>IFERROR(INDEX(GERAL[PONTO],89),"")</f>
        <v/>
      </c>
      <c r="N102">
        <f>IF(M102="","",IFERROR(INDEX(GERAL[ACUMULADA],89),0))</f>
        <v/>
      </c>
      <c r="O102">
        <f>IF(N102="","",$B$11-N102)</f>
        <v/>
      </c>
      <c r="P102">
        <f>IF(N102="","",IF(N102*1.15&lt;=30,30,IF(N102*1.15&lt;=45,45,IF(N102*1.15&lt;=75,75,IF(N102*1.15&lt;=112.5,112.5,IF(N102*1.15&lt;=150,150,IF(N102*1.15&lt;=225,225,300)))))))</f>
        <v/>
      </c>
      <c r="Q102">
        <f>IF(P102="","",IFERROR(N102/P102,0))</f>
        <v/>
      </c>
      <c r="R102">
        <f>IF(M102="","",IFERROR(INDEX(Tabela7[QT %],MATCH(M102,Tabela7[PONTO],0)),0))</f>
        <v/>
      </c>
      <c r="S102">
        <f>IF(N102="","",IFERROR(1-ABS(N102-O102)/$B$11,0))</f>
        <v/>
      </c>
      <c r="T102">
        <f>IF(M102="","",IF($B$9&gt;$B$8,IFERROR((INDEX(GERAL[SNAP],89)-$B$8)/($B$9-$B$8),0),0))</f>
        <v/>
      </c>
      <c r="U102">
        <f>IF(OR(M102="",V102&lt;&gt;"ESQUERDO"),"",$L$2*IFERROR(N102/$B$11,0)+$L$3*IF($D$11&gt;0,IFERROR(R102/$D$11,0),0)+$L$4*IFERROR(S102,0)-$L$5*IFERROR(T102,0)-$L$6*MAX(0,IFERROR(Q102,0)-$L$7)+ROW()/1000000)</f>
        <v/>
      </c>
      <c r="V102">
        <f>IFERROR(INDEX(GERAL[LADO],89),"")</f>
        <v/>
      </c>
      <c r="X102">
        <f>IFERROR(INDEX(GERAL[PONTO],69),"")</f>
        <v/>
      </c>
      <c r="Y102">
        <f>IF(X102="","",IFERROR(INDEX(GERAL[ACUMULADA],69),0))</f>
        <v/>
      </c>
      <c r="Z102">
        <f>IF(Y102="","",$B$31-Y102)</f>
        <v/>
      </c>
      <c r="AA102">
        <f>IF(Y102="","",IF(Y102*1.15&lt;=30,30,IF(Y102*1.15&lt;=45,45,IF(Y102*1.15&lt;=75,75,IF(Y102*1.15&lt;=112.5,112.5,IF(Y102*1.15&lt;=150,150,IF(Y102*1.15&lt;=225,225,300)))))))</f>
        <v/>
      </c>
      <c r="AB102">
        <f>IF(AA102="","",IFERROR(Y102/AA102,0))</f>
        <v/>
      </c>
      <c r="AC102">
        <f>IF(X102="","",IFERROR(INDEX(DIR_ATUAL[QT %],MATCH(X102,DIR_ATUAL[PONTO],0)),0))</f>
        <v/>
      </c>
      <c r="AD102">
        <f>IF(Y102="","",IFERROR(1-ABS(Y102-Z102)/$B$31,0))</f>
        <v/>
      </c>
      <c r="AE102">
        <f>IF(X102="","",IF($E$9&gt;$E$8,IFERROR((INDEX(GERAL[SNAP],69)-$E$8)/($E$9-$E$8),0),0))</f>
        <v/>
      </c>
      <c r="AF102">
        <f>IF(OR(X102="",AG102&lt;&gt;"DIREITO"),"",$L$2*IFERROR(Y102/$B$31,0)+$L$3*IF($D$31&gt;0,IFERROR(AC102/$D$31,0),0)+$L$4*IFERROR(AD102,0)-$L$5*IFERROR(AE102,0)-$L$6*MAX(0,IFERROR(AB102,0)-$L$7)+ROW()/1000000)</f>
        <v/>
      </c>
      <c r="AG102">
        <f>IFERROR(INDEX(GERAL[LADO],69),"")</f>
        <v/>
      </c>
    </row>
    <row r="103">
      <c r="M103">
        <f>IFERROR(INDEX(GERAL[PONTO],90),"")</f>
        <v/>
      </c>
      <c r="N103">
        <f>IF(M103="","",IFERROR(INDEX(GERAL[ACUMULADA],90),0))</f>
        <v/>
      </c>
      <c r="O103">
        <f>IF(N103="","",$B$11-N103)</f>
        <v/>
      </c>
      <c r="P103">
        <f>IF(N103="","",IF(N103*1.15&lt;=30,30,IF(N103*1.15&lt;=45,45,IF(N103*1.15&lt;=75,75,IF(N103*1.15&lt;=112.5,112.5,IF(N103*1.15&lt;=150,150,IF(N103*1.15&lt;=225,225,300)))))))</f>
        <v/>
      </c>
      <c r="Q103">
        <f>IF(P103="","",IFERROR(N103/P103,0))</f>
        <v/>
      </c>
      <c r="R103">
        <f>IF(M103="","",IFERROR(INDEX(Tabela7[QT %],MATCH(M103,Tabela7[PONTO],0)),0))</f>
        <v/>
      </c>
      <c r="S103">
        <f>IF(N103="","",IFERROR(1-ABS(N103-O103)/$B$11,0))</f>
        <v/>
      </c>
      <c r="T103">
        <f>IF(M103="","",IF($B$9&gt;$B$8,IFERROR((INDEX(GERAL[SNAP],90)-$B$8)/($B$9-$B$8),0),0))</f>
        <v/>
      </c>
      <c r="U103">
        <f>IF(OR(M103="",V103&lt;&gt;"ESQUERDO"),"",$L$2*IFERROR(N103/$B$11,0)+$L$3*IF($D$11&gt;0,IFERROR(R103/$D$11,0),0)+$L$4*IFERROR(S103,0)-$L$5*IFERROR(T103,0)-$L$6*MAX(0,IFERROR(Q103,0)-$L$7)+ROW()/1000000)</f>
        <v/>
      </c>
      <c r="V103">
        <f>IFERROR(INDEX(GERAL[LADO],90),"")</f>
        <v/>
      </c>
      <c r="X103">
        <f>IFERROR(INDEX(GERAL[PONTO],70),"")</f>
        <v/>
      </c>
      <c r="Y103">
        <f>IF(X103="","",IFERROR(INDEX(GERAL[ACUMULADA],70),0))</f>
        <v/>
      </c>
      <c r="Z103">
        <f>IF(Y103="","",$B$31-Y103)</f>
        <v/>
      </c>
      <c r="AA103">
        <f>IF(Y103="","",IF(Y103*1.15&lt;=30,30,IF(Y103*1.15&lt;=45,45,IF(Y103*1.15&lt;=75,75,IF(Y103*1.15&lt;=112.5,112.5,IF(Y103*1.15&lt;=150,150,IF(Y103*1.15&lt;=225,225,300)))))))</f>
        <v/>
      </c>
      <c r="AB103">
        <f>IF(AA103="","",IFERROR(Y103/AA103,0))</f>
        <v/>
      </c>
      <c r="AC103">
        <f>IF(X103="","",IFERROR(INDEX(DIR_ATUAL[QT %],MATCH(X103,DIR_ATUAL[PONTO],0)),0))</f>
        <v/>
      </c>
      <c r="AD103">
        <f>IF(Y103="","",IFERROR(1-ABS(Y103-Z103)/$B$31,0))</f>
        <v/>
      </c>
      <c r="AE103">
        <f>IF(X103="","",IF($E$9&gt;$E$8,IFERROR((INDEX(GERAL[SNAP],70)-$E$8)/($E$9-$E$8),0),0))</f>
        <v/>
      </c>
      <c r="AF103">
        <f>IF(OR(X103="",AG103&lt;&gt;"DIREITO"),"",$L$2*IFERROR(Y103/$B$31,0)+$L$3*IF($D$31&gt;0,IFERROR(AC103/$D$31,0),0)+$L$4*IFERROR(AD103,0)-$L$5*IFERROR(AE103,0)-$L$6*MAX(0,IFERROR(AB103,0)-$L$7)+ROW()/1000000)</f>
        <v/>
      </c>
      <c r="AG103">
        <f>IFERROR(INDEX(GERAL[LADO],70),"")</f>
        <v/>
      </c>
    </row>
    <row r="104">
      <c r="M104">
        <f>IFERROR(INDEX(GERAL[PONTO],91),"")</f>
        <v/>
      </c>
      <c r="N104">
        <f>IF(M104="","",IFERROR(INDEX(GERAL[ACUMULADA],91),0))</f>
        <v/>
      </c>
      <c r="O104">
        <f>IF(N104="","",$B$11-N104)</f>
        <v/>
      </c>
      <c r="P104">
        <f>IF(N104="","",IF(N104*1.15&lt;=30,30,IF(N104*1.15&lt;=45,45,IF(N104*1.15&lt;=75,75,IF(N104*1.15&lt;=112.5,112.5,IF(N104*1.15&lt;=150,150,IF(N104*1.15&lt;=225,225,300)))))))</f>
        <v/>
      </c>
      <c r="Q104">
        <f>IF(P104="","",IFERROR(N104/P104,0))</f>
        <v/>
      </c>
      <c r="R104">
        <f>IF(M104="","",IFERROR(INDEX(Tabela7[QT %],MATCH(M104,Tabela7[PONTO],0)),0))</f>
        <v/>
      </c>
      <c r="S104">
        <f>IF(N104="","",IFERROR(1-ABS(N104-O104)/$B$11,0))</f>
        <v/>
      </c>
      <c r="T104">
        <f>IF(M104="","",IF($B$9&gt;$B$8,IFERROR((INDEX(GERAL[SNAP],91)-$B$8)/($B$9-$B$8),0),0))</f>
        <v/>
      </c>
      <c r="U104">
        <f>IF(OR(M104="",V104&lt;&gt;"ESQUERDO"),"",$L$2*IFERROR(N104/$B$11,0)+$L$3*IF($D$11&gt;0,IFERROR(R104/$D$11,0),0)+$L$4*IFERROR(S104,0)-$L$5*IFERROR(T104,0)-$L$6*MAX(0,IFERROR(Q104,0)-$L$7)+ROW()/1000000)</f>
        <v/>
      </c>
      <c r="V104">
        <f>IFERROR(INDEX(GERAL[LADO],91),"")</f>
        <v/>
      </c>
      <c r="X104">
        <f>IFERROR(INDEX(GERAL[PONTO],71),"")</f>
        <v/>
      </c>
      <c r="Y104">
        <f>IF(X104="","",IFERROR(INDEX(GERAL[ACUMULADA],71),0))</f>
        <v/>
      </c>
      <c r="Z104">
        <f>IF(Y104="","",$B$31-Y104)</f>
        <v/>
      </c>
      <c r="AA104">
        <f>IF(Y104="","",IF(Y104*1.15&lt;=30,30,IF(Y104*1.15&lt;=45,45,IF(Y104*1.15&lt;=75,75,IF(Y104*1.15&lt;=112.5,112.5,IF(Y104*1.15&lt;=150,150,IF(Y104*1.15&lt;=225,225,300)))))))</f>
        <v/>
      </c>
      <c r="AB104">
        <f>IF(AA104="","",IFERROR(Y104/AA104,0))</f>
        <v/>
      </c>
      <c r="AC104">
        <f>IF(X104="","",IFERROR(INDEX(DIR_ATUAL[QT %],MATCH(X104,DIR_ATUAL[PONTO],0)),0))</f>
        <v/>
      </c>
      <c r="AD104">
        <f>IF(Y104="","",IFERROR(1-ABS(Y104-Z104)/$B$31,0))</f>
        <v/>
      </c>
      <c r="AE104">
        <f>IF(X104="","",IF($E$9&gt;$E$8,IFERROR((INDEX(GERAL[SNAP],71)-$E$8)/($E$9-$E$8),0),0))</f>
        <v/>
      </c>
      <c r="AF104">
        <f>IF(OR(X104="",AG104&lt;&gt;"DIREITO"),"",$L$2*IFERROR(Y104/$B$31,0)+$L$3*IF($D$31&gt;0,IFERROR(AC104/$D$31,0),0)+$L$4*IFERROR(AD104,0)-$L$5*IFERROR(AE104,0)-$L$6*MAX(0,IFERROR(AB104,0)-$L$7)+ROW()/1000000)</f>
        <v/>
      </c>
      <c r="AG104">
        <f>IFERROR(INDEX(GERAL[LADO],71),"")</f>
        <v/>
      </c>
    </row>
    <row r="105">
      <c r="M105">
        <f>IFERROR(INDEX(GERAL[PONTO],92),"")</f>
        <v/>
      </c>
      <c r="N105">
        <f>IF(M105="","",IFERROR(INDEX(GERAL[ACUMULADA],92),0))</f>
        <v/>
      </c>
      <c r="O105">
        <f>IF(N105="","",$B$11-N105)</f>
        <v/>
      </c>
      <c r="P105">
        <f>IF(N105="","",IF(N105*1.15&lt;=30,30,IF(N105*1.15&lt;=45,45,IF(N105*1.15&lt;=75,75,IF(N105*1.15&lt;=112.5,112.5,IF(N105*1.15&lt;=150,150,IF(N105*1.15&lt;=225,225,300)))))))</f>
        <v/>
      </c>
      <c r="Q105">
        <f>IF(P105="","",IFERROR(N105/P105,0))</f>
        <v/>
      </c>
      <c r="R105">
        <f>IF(M105="","",IFERROR(INDEX(Tabela7[QT %],MATCH(M105,Tabela7[PONTO],0)),0))</f>
        <v/>
      </c>
      <c r="S105">
        <f>IF(N105="","",IFERROR(1-ABS(N105-O105)/$B$11,0))</f>
        <v/>
      </c>
      <c r="T105">
        <f>IF(M105="","",IF($B$9&gt;$B$8,IFERROR((INDEX(GERAL[SNAP],92)-$B$8)/($B$9-$B$8),0),0))</f>
        <v/>
      </c>
      <c r="U105">
        <f>IF(OR(M105="",V105&lt;&gt;"ESQUERDO"),"",$L$2*IFERROR(N105/$B$11,0)+$L$3*IF($D$11&gt;0,IFERROR(R105/$D$11,0),0)+$L$4*IFERROR(S105,0)-$L$5*IFERROR(T105,0)-$L$6*MAX(0,IFERROR(Q105,0)-$L$7)+ROW()/1000000)</f>
        <v/>
      </c>
      <c r="V105">
        <f>IFERROR(INDEX(GERAL[LADO],92),"")</f>
        <v/>
      </c>
      <c r="X105">
        <f>IFERROR(INDEX(GERAL[PONTO],72),"")</f>
        <v/>
      </c>
      <c r="Y105">
        <f>IF(X105="","",IFERROR(INDEX(GERAL[ACUMULADA],72),0))</f>
        <v/>
      </c>
      <c r="Z105">
        <f>IF(Y105="","",$B$31-Y105)</f>
        <v/>
      </c>
      <c r="AA105">
        <f>IF(Y105="","",IF(Y105*1.15&lt;=30,30,IF(Y105*1.15&lt;=45,45,IF(Y105*1.15&lt;=75,75,IF(Y105*1.15&lt;=112.5,112.5,IF(Y105*1.15&lt;=150,150,IF(Y105*1.15&lt;=225,225,300)))))))</f>
        <v/>
      </c>
      <c r="AB105">
        <f>IF(AA105="","",IFERROR(Y105/AA105,0))</f>
        <v/>
      </c>
      <c r="AC105">
        <f>IF(X105="","",IFERROR(INDEX(DIR_ATUAL[QT %],MATCH(X105,DIR_ATUAL[PONTO],0)),0))</f>
        <v/>
      </c>
      <c r="AD105">
        <f>IF(Y105="","",IFERROR(1-ABS(Y105-Z105)/$B$31,0))</f>
        <v/>
      </c>
      <c r="AE105">
        <f>IF(X105="","",IF($E$9&gt;$E$8,IFERROR((INDEX(GERAL[SNAP],72)-$E$8)/($E$9-$E$8),0),0))</f>
        <v/>
      </c>
      <c r="AF105">
        <f>IF(OR(X105="",AG105&lt;&gt;"DIREITO"),"",$L$2*IFERROR(Y105/$B$31,0)+$L$3*IF($D$31&gt;0,IFERROR(AC105/$D$31,0),0)+$L$4*IFERROR(AD105,0)-$L$5*IFERROR(AE105,0)-$L$6*MAX(0,IFERROR(AB105,0)-$L$7)+ROW()/1000000)</f>
        <v/>
      </c>
      <c r="AG105">
        <f>IFERROR(INDEX(GERAL[LADO],72),"")</f>
        <v/>
      </c>
    </row>
    <row r="106">
      <c r="M106">
        <f>IFERROR(INDEX(GERAL[PONTO],93),"")</f>
        <v/>
      </c>
      <c r="N106">
        <f>IF(M106="","",IFERROR(INDEX(GERAL[ACUMULADA],93),0))</f>
        <v/>
      </c>
      <c r="O106">
        <f>IF(N106="","",$B$11-N106)</f>
        <v/>
      </c>
      <c r="P106">
        <f>IF(N106="","",IF(N106*1.15&lt;=30,30,IF(N106*1.15&lt;=45,45,IF(N106*1.15&lt;=75,75,IF(N106*1.15&lt;=112.5,112.5,IF(N106*1.15&lt;=150,150,IF(N106*1.15&lt;=225,225,300)))))))</f>
        <v/>
      </c>
      <c r="Q106">
        <f>IF(P106="","",IFERROR(N106/P106,0))</f>
        <v/>
      </c>
      <c r="R106">
        <f>IF(M106="","",IFERROR(INDEX(Tabela7[QT %],MATCH(M106,Tabela7[PONTO],0)),0))</f>
        <v/>
      </c>
      <c r="S106">
        <f>IF(N106="","",IFERROR(1-ABS(N106-O106)/$B$11,0))</f>
        <v/>
      </c>
      <c r="T106">
        <f>IF(M106="","",IF($B$9&gt;$B$8,IFERROR((INDEX(GERAL[SNAP],93)-$B$8)/($B$9-$B$8),0),0))</f>
        <v/>
      </c>
      <c r="U106">
        <f>IF(OR(M106="",V106&lt;&gt;"ESQUERDO"),"",$L$2*IFERROR(N106/$B$11,0)+$L$3*IF($D$11&gt;0,IFERROR(R106/$D$11,0),0)+$L$4*IFERROR(S106,0)-$L$5*IFERROR(T106,0)-$L$6*MAX(0,IFERROR(Q106,0)-$L$7)+ROW()/1000000)</f>
        <v/>
      </c>
      <c r="V106">
        <f>IFERROR(INDEX(GERAL[LADO],93),"")</f>
        <v/>
      </c>
      <c r="X106">
        <f>IFERROR(INDEX(GERAL[PONTO],73),"")</f>
        <v/>
      </c>
      <c r="Y106">
        <f>IF(X106="","",IFERROR(INDEX(GERAL[ACUMULADA],73),0))</f>
        <v/>
      </c>
      <c r="Z106">
        <f>IF(Y106="","",$B$31-Y106)</f>
        <v/>
      </c>
      <c r="AA106">
        <f>IF(Y106="","",IF(Y106*1.15&lt;=30,30,IF(Y106*1.15&lt;=45,45,IF(Y106*1.15&lt;=75,75,IF(Y106*1.15&lt;=112.5,112.5,IF(Y106*1.15&lt;=150,150,IF(Y106*1.15&lt;=225,225,300)))))))</f>
        <v/>
      </c>
      <c r="AB106">
        <f>IF(AA106="","",IFERROR(Y106/AA106,0))</f>
        <v/>
      </c>
      <c r="AC106">
        <f>IF(X106="","",IFERROR(INDEX(DIR_ATUAL[QT %],MATCH(X106,DIR_ATUAL[PONTO],0)),0))</f>
        <v/>
      </c>
      <c r="AD106">
        <f>IF(Y106="","",IFERROR(1-ABS(Y106-Z106)/$B$31,0))</f>
        <v/>
      </c>
      <c r="AE106">
        <f>IF(X106="","",IF($E$9&gt;$E$8,IFERROR((INDEX(GERAL[SNAP],73)-$E$8)/($E$9-$E$8),0),0))</f>
        <v/>
      </c>
      <c r="AF106">
        <f>IF(OR(X106="",AG106&lt;&gt;"DIREITO"),"",$L$2*IFERROR(Y106/$B$31,0)+$L$3*IF($D$31&gt;0,IFERROR(AC106/$D$31,0),0)+$L$4*IFERROR(AD106,0)-$L$5*IFERROR(AE106,0)-$L$6*MAX(0,IFERROR(AB106,0)-$L$7)+ROW()/1000000)</f>
        <v/>
      </c>
      <c r="AG106">
        <f>IFERROR(INDEX(GERAL[LADO],73),"")</f>
        <v/>
      </c>
    </row>
    <row r="107">
      <c r="M107">
        <f>IFERROR(INDEX(GERAL[PONTO],94),"")</f>
        <v/>
      </c>
      <c r="N107">
        <f>IF(M107="","",IFERROR(INDEX(GERAL[ACUMULADA],94),0))</f>
        <v/>
      </c>
      <c r="O107">
        <f>IF(N107="","",$B$11-N107)</f>
        <v/>
      </c>
      <c r="P107">
        <f>IF(N107="","",IF(N107*1.15&lt;=30,30,IF(N107*1.15&lt;=45,45,IF(N107*1.15&lt;=75,75,IF(N107*1.15&lt;=112.5,112.5,IF(N107*1.15&lt;=150,150,IF(N107*1.15&lt;=225,225,300)))))))</f>
        <v/>
      </c>
      <c r="Q107">
        <f>IF(P107="","",IFERROR(N107/P107,0))</f>
        <v/>
      </c>
      <c r="R107">
        <f>IF(M107="","",IFERROR(INDEX(Tabela7[QT %],MATCH(M107,Tabela7[PONTO],0)),0))</f>
        <v/>
      </c>
      <c r="S107">
        <f>IF(N107="","",IFERROR(1-ABS(N107-O107)/$B$11,0))</f>
        <v/>
      </c>
      <c r="T107">
        <f>IF(M107="","",IF($B$9&gt;$B$8,IFERROR((INDEX(GERAL[SNAP],94)-$B$8)/($B$9-$B$8),0),0))</f>
        <v/>
      </c>
      <c r="U107">
        <f>IF(OR(M107="",V107&lt;&gt;"ESQUERDO"),"",$L$2*IFERROR(N107/$B$11,0)+$L$3*IF($D$11&gt;0,IFERROR(R107/$D$11,0),0)+$L$4*IFERROR(S107,0)-$L$5*IFERROR(T107,0)-$L$6*MAX(0,IFERROR(Q107,0)-$L$7)+ROW()/1000000)</f>
        <v/>
      </c>
      <c r="V107">
        <f>IFERROR(INDEX(GERAL[LADO],94),"")</f>
        <v/>
      </c>
      <c r="X107">
        <f>IFERROR(INDEX(GERAL[PONTO],74),"")</f>
        <v/>
      </c>
      <c r="Y107">
        <f>IF(X107="","",IFERROR(INDEX(GERAL[ACUMULADA],74),0))</f>
        <v/>
      </c>
      <c r="Z107">
        <f>IF(Y107="","",$B$31-Y107)</f>
        <v/>
      </c>
      <c r="AA107">
        <f>IF(Y107="","",IF(Y107*1.15&lt;=30,30,IF(Y107*1.15&lt;=45,45,IF(Y107*1.15&lt;=75,75,IF(Y107*1.15&lt;=112.5,112.5,IF(Y107*1.15&lt;=150,150,IF(Y107*1.15&lt;=225,225,300)))))))</f>
        <v/>
      </c>
      <c r="AB107">
        <f>IF(AA107="","",IFERROR(Y107/AA107,0))</f>
        <v/>
      </c>
      <c r="AC107">
        <f>IF(X107="","",IFERROR(INDEX(DIR_ATUAL[QT %],MATCH(X107,DIR_ATUAL[PONTO],0)),0))</f>
        <v/>
      </c>
      <c r="AD107">
        <f>IF(Y107="","",IFERROR(1-ABS(Y107-Z107)/$B$31,0))</f>
        <v/>
      </c>
      <c r="AE107">
        <f>IF(X107="","",IF($E$9&gt;$E$8,IFERROR((INDEX(GERAL[SNAP],74)-$E$8)/($E$9-$E$8),0),0))</f>
        <v/>
      </c>
      <c r="AF107">
        <f>IF(OR(X107="",AG107&lt;&gt;"DIREITO"),"",$L$2*IFERROR(Y107/$B$31,0)+$L$3*IF($D$31&gt;0,IFERROR(AC107/$D$31,0),0)+$L$4*IFERROR(AD107,0)-$L$5*IFERROR(AE107,0)-$L$6*MAX(0,IFERROR(AB107,0)-$L$7)+ROW()/1000000)</f>
        <v/>
      </c>
      <c r="AG107">
        <f>IFERROR(INDEX(GERAL[LADO],74),"")</f>
        <v/>
      </c>
    </row>
    <row r="108">
      <c r="M108">
        <f>IFERROR(INDEX(GERAL[PONTO],95),"")</f>
        <v/>
      </c>
      <c r="N108">
        <f>IF(M108="","",IFERROR(INDEX(GERAL[ACUMULADA],95),0))</f>
        <v/>
      </c>
      <c r="O108">
        <f>IF(N108="","",$B$11-N108)</f>
        <v/>
      </c>
      <c r="P108">
        <f>IF(N108="","",IF(N108*1.15&lt;=30,30,IF(N108*1.15&lt;=45,45,IF(N108*1.15&lt;=75,75,IF(N108*1.15&lt;=112.5,112.5,IF(N108*1.15&lt;=150,150,IF(N108*1.15&lt;=225,225,300)))))))</f>
        <v/>
      </c>
      <c r="Q108">
        <f>IF(P108="","",IFERROR(N108/P108,0))</f>
        <v/>
      </c>
      <c r="R108">
        <f>IF(M108="","",IFERROR(INDEX(Tabela7[QT %],MATCH(M108,Tabela7[PONTO],0)),0))</f>
        <v/>
      </c>
      <c r="S108">
        <f>IF(N108="","",IFERROR(1-ABS(N108-O108)/$B$11,0))</f>
        <v/>
      </c>
      <c r="T108">
        <f>IF(M108="","",IF($B$9&gt;$B$8,IFERROR((INDEX(GERAL[SNAP],95)-$B$8)/($B$9-$B$8),0),0))</f>
        <v/>
      </c>
      <c r="U108">
        <f>IF(OR(M108="",V108&lt;&gt;"ESQUERDO"),"",$L$2*IFERROR(N108/$B$11,0)+$L$3*IF($D$11&gt;0,IFERROR(R108/$D$11,0),0)+$L$4*IFERROR(S108,0)-$L$5*IFERROR(T108,0)-$L$6*MAX(0,IFERROR(Q108,0)-$L$7)+ROW()/1000000)</f>
        <v/>
      </c>
      <c r="V108">
        <f>IFERROR(INDEX(GERAL[LADO],95),"")</f>
        <v/>
      </c>
      <c r="X108">
        <f>IFERROR(INDEX(GERAL[PONTO],75),"")</f>
        <v/>
      </c>
      <c r="Y108">
        <f>IF(X108="","",IFERROR(INDEX(GERAL[ACUMULADA],75),0))</f>
        <v/>
      </c>
      <c r="Z108">
        <f>IF(Y108="","",$B$31-Y108)</f>
        <v/>
      </c>
      <c r="AA108">
        <f>IF(Y108="","",IF(Y108*1.15&lt;=30,30,IF(Y108*1.15&lt;=45,45,IF(Y108*1.15&lt;=75,75,IF(Y108*1.15&lt;=112.5,112.5,IF(Y108*1.15&lt;=150,150,IF(Y108*1.15&lt;=225,225,300)))))))</f>
        <v/>
      </c>
      <c r="AB108">
        <f>IF(AA108="","",IFERROR(Y108/AA108,0))</f>
        <v/>
      </c>
      <c r="AC108">
        <f>IF(X108="","",IFERROR(INDEX(DIR_ATUAL[QT %],MATCH(X108,DIR_ATUAL[PONTO],0)),0))</f>
        <v/>
      </c>
      <c r="AD108">
        <f>IF(Y108="","",IFERROR(1-ABS(Y108-Z108)/$B$31,0))</f>
        <v/>
      </c>
      <c r="AE108">
        <f>IF(X108="","",IF($E$9&gt;$E$8,IFERROR((INDEX(GERAL[SNAP],75)-$E$8)/($E$9-$E$8),0),0))</f>
        <v/>
      </c>
      <c r="AF108">
        <f>IF(OR(X108="",AG108&lt;&gt;"DIREITO"),"",$L$2*IFERROR(Y108/$B$31,0)+$L$3*IF($D$31&gt;0,IFERROR(AC108/$D$31,0),0)+$L$4*IFERROR(AD108,0)-$L$5*IFERROR(AE108,0)-$L$6*MAX(0,IFERROR(AB108,0)-$L$7)+ROW()/1000000)</f>
        <v/>
      </c>
      <c r="AG108">
        <f>IFERROR(INDEX(GERAL[LADO],75),"")</f>
        <v/>
      </c>
    </row>
    <row r="109">
      <c r="M109">
        <f>IFERROR(INDEX(GERAL[PONTO],96),"")</f>
        <v/>
      </c>
      <c r="N109">
        <f>IF(M109="","",IFERROR(INDEX(GERAL[ACUMULADA],96),0))</f>
        <v/>
      </c>
      <c r="O109">
        <f>IF(N109="","",$B$11-N109)</f>
        <v/>
      </c>
      <c r="P109">
        <f>IF(N109="","",IF(N109*1.15&lt;=30,30,IF(N109*1.15&lt;=45,45,IF(N109*1.15&lt;=75,75,IF(N109*1.15&lt;=112.5,112.5,IF(N109*1.15&lt;=150,150,IF(N109*1.15&lt;=225,225,300)))))))</f>
        <v/>
      </c>
      <c r="Q109">
        <f>IF(P109="","",IFERROR(N109/P109,0))</f>
        <v/>
      </c>
      <c r="R109">
        <f>IF(M109="","",IFERROR(INDEX(Tabela7[QT %],MATCH(M109,Tabela7[PONTO],0)),0))</f>
        <v/>
      </c>
      <c r="S109">
        <f>IF(N109="","",IFERROR(1-ABS(N109-O109)/$B$11,0))</f>
        <v/>
      </c>
      <c r="T109">
        <f>IF(M109="","",IF($B$9&gt;$B$8,IFERROR((INDEX(GERAL[SNAP],96)-$B$8)/($B$9-$B$8),0),0))</f>
        <v/>
      </c>
      <c r="U109">
        <f>IF(OR(M109="",V109&lt;&gt;"ESQUERDO"),"",$L$2*IFERROR(N109/$B$11,0)+$L$3*IF($D$11&gt;0,IFERROR(R109/$D$11,0),0)+$L$4*IFERROR(S109,0)-$L$5*IFERROR(T109,0)-$L$6*MAX(0,IFERROR(Q109,0)-$L$7)+ROW()/1000000)</f>
        <v/>
      </c>
      <c r="V109">
        <f>IFERROR(INDEX(GERAL[LADO],96),"")</f>
        <v/>
      </c>
      <c r="X109">
        <f>IFERROR(INDEX(GERAL[PONTO],76),"")</f>
        <v/>
      </c>
      <c r="Y109">
        <f>IF(X109="","",IFERROR(INDEX(GERAL[ACUMULADA],76),0))</f>
        <v/>
      </c>
      <c r="Z109">
        <f>IF(Y109="","",$B$31-Y109)</f>
        <v/>
      </c>
      <c r="AA109">
        <f>IF(Y109="","",IF(Y109*1.15&lt;=30,30,IF(Y109*1.15&lt;=45,45,IF(Y109*1.15&lt;=75,75,IF(Y109*1.15&lt;=112.5,112.5,IF(Y109*1.15&lt;=150,150,IF(Y109*1.15&lt;=225,225,300)))))))</f>
        <v/>
      </c>
      <c r="AB109">
        <f>IF(AA109="","",IFERROR(Y109/AA109,0))</f>
        <v/>
      </c>
      <c r="AC109">
        <f>IF(X109="","",IFERROR(INDEX(DIR_ATUAL[QT %],MATCH(X109,DIR_ATUAL[PONTO],0)),0))</f>
        <v/>
      </c>
      <c r="AD109">
        <f>IF(Y109="","",IFERROR(1-ABS(Y109-Z109)/$B$31,0))</f>
        <v/>
      </c>
      <c r="AE109">
        <f>IF(X109="","",IF($E$9&gt;$E$8,IFERROR((INDEX(GERAL[SNAP],76)-$E$8)/($E$9-$E$8),0),0))</f>
        <v/>
      </c>
      <c r="AF109">
        <f>IF(OR(X109="",AG109&lt;&gt;"DIREITO"),"",$L$2*IFERROR(Y109/$B$31,0)+$L$3*IF($D$31&gt;0,IFERROR(AC109/$D$31,0),0)+$L$4*IFERROR(AD109,0)-$L$5*IFERROR(AE109,0)-$L$6*MAX(0,IFERROR(AB109,0)-$L$7)+ROW()/1000000)</f>
        <v/>
      </c>
      <c r="AG109">
        <f>IFERROR(INDEX(GERAL[LADO],76),"")</f>
        <v/>
      </c>
    </row>
    <row r="110">
      <c r="M110">
        <f>IFERROR(INDEX(GERAL[PONTO],97),"")</f>
        <v/>
      </c>
      <c r="N110">
        <f>IF(M110="","",IFERROR(INDEX(GERAL[ACUMULADA],97),0))</f>
        <v/>
      </c>
      <c r="O110">
        <f>IF(N110="","",$B$11-N110)</f>
        <v/>
      </c>
      <c r="P110">
        <f>IF(N110="","",IF(N110*1.15&lt;=30,30,IF(N110*1.15&lt;=45,45,IF(N110*1.15&lt;=75,75,IF(N110*1.15&lt;=112.5,112.5,IF(N110*1.15&lt;=150,150,IF(N110*1.15&lt;=225,225,300)))))))</f>
        <v/>
      </c>
      <c r="Q110">
        <f>IF(P110="","",IFERROR(N110/P110,0))</f>
        <v/>
      </c>
      <c r="R110">
        <f>IF(M110="","",IFERROR(INDEX(Tabela7[QT %],MATCH(M110,Tabela7[PONTO],0)),0))</f>
        <v/>
      </c>
      <c r="S110">
        <f>IF(N110="","",IFERROR(1-ABS(N110-O110)/$B$11,0))</f>
        <v/>
      </c>
      <c r="T110">
        <f>IF(M110="","",IF($B$9&gt;$B$8,IFERROR((INDEX(GERAL[SNAP],97)-$B$8)/($B$9-$B$8),0),0))</f>
        <v/>
      </c>
      <c r="U110">
        <f>IF(OR(M110="",V110&lt;&gt;"ESQUERDO"),"",$L$2*IFERROR(N110/$B$11,0)+$L$3*IF($D$11&gt;0,IFERROR(R110/$D$11,0),0)+$L$4*IFERROR(S110,0)-$L$5*IFERROR(T110,0)-$L$6*MAX(0,IFERROR(Q110,0)-$L$7)+ROW()/1000000)</f>
        <v/>
      </c>
      <c r="V110">
        <f>IFERROR(INDEX(GERAL[LADO],97),"")</f>
        <v/>
      </c>
      <c r="X110">
        <f>IFERROR(INDEX(GERAL[PONTO],77),"")</f>
        <v/>
      </c>
      <c r="Y110">
        <f>IF(X110="","",IFERROR(INDEX(GERAL[ACUMULADA],77),0))</f>
        <v/>
      </c>
      <c r="Z110">
        <f>IF(Y110="","",$B$31-Y110)</f>
        <v/>
      </c>
      <c r="AA110">
        <f>IF(Y110="","",IF(Y110*1.15&lt;=30,30,IF(Y110*1.15&lt;=45,45,IF(Y110*1.15&lt;=75,75,IF(Y110*1.15&lt;=112.5,112.5,IF(Y110*1.15&lt;=150,150,IF(Y110*1.15&lt;=225,225,300)))))))</f>
        <v/>
      </c>
      <c r="AB110">
        <f>IF(AA110="","",IFERROR(Y110/AA110,0))</f>
        <v/>
      </c>
      <c r="AC110">
        <f>IF(X110="","",IFERROR(INDEX(DIR_ATUAL[QT %],MATCH(X110,DIR_ATUAL[PONTO],0)),0))</f>
        <v/>
      </c>
      <c r="AD110">
        <f>IF(Y110="","",IFERROR(1-ABS(Y110-Z110)/$B$31,0))</f>
        <v/>
      </c>
      <c r="AE110">
        <f>IF(X110="","",IF($E$9&gt;$E$8,IFERROR((INDEX(GERAL[SNAP],77)-$E$8)/($E$9-$E$8),0),0))</f>
        <v/>
      </c>
      <c r="AF110">
        <f>IF(OR(X110="",AG110&lt;&gt;"DIREITO"),"",$L$2*IFERROR(Y110/$B$31,0)+$L$3*IF($D$31&gt;0,IFERROR(AC110/$D$31,0),0)+$L$4*IFERROR(AD110,0)-$L$5*IFERROR(AE110,0)-$L$6*MAX(0,IFERROR(AB110,0)-$L$7)+ROW()/1000000)</f>
        <v/>
      </c>
      <c r="AG110">
        <f>IFERROR(INDEX(GERAL[LADO],77),"")</f>
        <v/>
      </c>
    </row>
    <row r="111">
      <c r="M111">
        <f>IFERROR(INDEX(GERAL[PONTO],98),"")</f>
        <v/>
      </c>
      <c r="N111">
        <f>IF(M111="","",IFERROR(INDEX(GERAL[ACUMULADA],98),0))</f>
        <v/>
      </c>
      <c r="O111">
        <f>IF(N111="","",$B$11-N111)</f>
        <v/>
      </c>
      <c r="P111">
        <f>IF(N111="","",IF(N111*1.15&lt;=30,30,IF(N111*1.15&lt;=45,45,IF(N111*1.15&lt;=75,75,IF(N111*1.15&lt;=112.5,112.5,IF(N111*1.15&lt;=150,150,IF(N111*1.15&lt;=225,225,300)))))))</f>
        <v/>
      </c>
      <c r="Q111">
        <f>IF(P111="","",IFERROR(N111/P111,0))</f>
        <v/>
      </c>
      <c r="R111">
        <f>IF(M111="","",IFERROR(INDEX(Tabela7[QT %],MATCH(M111,Tabela7[PONTO],0)),0))</f>
        <v/>
      </c>
      <c r="S111">
        <f>IF(N111="","",IFERROR(1-ABS(N111-O111)/$B$11,0))</f>
        <v/>
      </c>
      <c r="T111">
        <f>IF(M111="","",IF($B$9&gt;$B$8,IFERROR((INDEX(GERAL[SNAP],98)-$B$8)/($B$9-$B$8),0),0))</f>
        <v/>
      </c>
      <c r="U111">
        <f>IF(OR(M111="",V111&lt;&gt;"ESQUERDO"),"",$L$2*IFERROR(N111/$B$11,0)+$L$3*IF($D$11&gt;0,IFERROR(R111/$D$11,0),0)+$L$4*IFERROR(S111,0)-$L$5*IFERROR(T111,0)-$L$6*MAX(0,IFERROR(Q111,0)-$L$7)+ROW()/1000000)</f>
        <v/>
      </c>
      <c r="V111">
        <f>IFERROR(INDEX(GERAL[LADO],98),"")</f>
        <v/>
      </c>
      <c r="X111">
        <f>IFERROR(INDEX(GERAL[PONTO],78),"")</f>
        <v/>
      </c>
      <c r="Y111">
        <f>IF(X111="","",IFERROR(INDEX(GERAL[ACUMULADA],78),0))</f>
        <v/>
      </c>
      <c r="Z111">
        <f>IF(Y111="","",$B$31-Y111)</f>
        <v/>
      </c>
      <c r="AA111">
        <f>IF(Y111="","",IF(Y111*1.15&lt;=30,30,IF(Y111*1.15&lt;=45,45,IF(Y111*1.15&lt;=75,75,IF(Y111*1.15&lt;=112.5,112.5,IF(Y111*1.15&lt;=150,150,IF(Y111*1.15&lt;=225,225,300)))))))</f>
        <v/>
      </c>
      <c r="AB111">
        <f>IF(AA111="","",IFERROR(Y111/AA111,0))</f>
        <v/>
      </c>
      <c r="AC111">
        <f>IF(X111="","",IFERROR(INDEX(DIR_ATUAL[QT %],MATCH(X111,DIR_ATUAL[PONTO],0)),0))</f>
        <v/>
      </c>
      <c r="AD111">
        <f>IF(Y111="","",IFERROR(1-ABS(Y111-Z111)/$B$31,0))</f>
        <v/>
      </c>
      <c r="AE111">
        <f>IF(X111="","",IF($E$9&gt;$E$8,IFERROR((INDEX(GERAL[SNAP],78)-$E$8)/($E$9-$E$8),0),0))</f>
        <v/>
      </c>
      <c r="AF111">
        <f>IF(OR(X111="",AG111&lt;&gt;"DIREITO"),"",$L$2*IFERROR(Y111/$B$31,0)+$L$3*IF($D$31&gt;0,IFERROR(AC111/$D$31,0),0)+$L$4*IFERROR(AD111,0)-$L$5*IFERROR(AE111,0)-$L$6*MAX(0,IFERROR(AB111,0)-$L$7)+ROW()/1000000)</f>
        <v/>
      </c>
      <c r="AG111">
        <f>IFERROR(INDEX(GERAL[LADO],78),"")</f>
        <v/>
      </c>
    </row>
    <row r="112">
      <c r="M112">
        <f>IFERROR(INDEX(GERAL[PONTO],99),"")</f>
        <v/>
      </c>
      <c r="N112">
        <f>IF(M112="","",IFERROR(INDEX(GERAL[ACUMULADA],99),0))</f>
        <v/>
      </c>
      <c r="O112">
        <f>IF(N112="","",$B$11-N112)</f>
        <v/>
      </c>
      <c r="P112">
        <f>IF(N112="","",IF(N112*1.15&lt;=30,30,IF(N112*1.15&lt;=45,45,IF(N112*1.15&lt;=75,75,IF(N112*1.15&lt;=112.5,112.5,IF(N112*1.15&lt;=150,150,IF(N112*1.15&lt;=225,225,300)))))))</f>
        <v/>
      </c>
      <c r="Q112">
        <f>IF(P112="","",IFERROR(N112/P112,0))</f>
        <v/>
      </c>
      <c r="R112">
        <f>IF(M112="","",IFERROR(INDEX(Tabela7[QT %],MATCH(M112,Tabela7[PONTO],0)),0))</f>
        <v/>
      </c>
      <c r="S112">
        <f>IF(N112="","",IFERROR(1-ABS(N112-O112)/$B$11,0))</f>
        <v/>
      </c>
      <c r="T112">
        <f>IF(M112="","",IF($B$9&gt;$B$8,IFERROR((INDEX(GERAL[SNAP],99)-$B$8)/($B$9-$B$8),0),0))</f>
        <v/>
      </c>
      <c r="U112">
        <f>IF(OR(M112="",V112&lt;&gt;"ESQUERDO"),"",$L$2*IFERROR(N112/$B$11,0)+$L$3*IF($D$11&gt;0,IFERROR(R112/$D$11,0),0)+$L$4*IFERROR(S112,0)-$L$5*IFERROR(T112,0)-$L$6*MAX(0,IFERROR(Q112,0)-$L$7)+ROW()/1000000)</f>
        <v/>
      </c>
      <c r="V112">
        <f>IFERROR(INDEX(GERAL[LADO],99),"")</f>
        <v/>
      </c>
      <c r="X112">
        <f>IFERROR(INDEX(GERAL[PONTO],79),"")</f>
        <v/>
      </c>
      <c r="Y112">
        <f>IF(X112="","",IFERROR(INDEX(GERAL[ACUMULADA],79),0))</f>
        <v/>
      </c>
      <c r="Z112">
        <f>IF(Y112="","",$B$31-Y112)</f>
        <v/>
      </c>
      <c r="AA112">
        <f>IF(Y112="","",IF(Y112*1.15&lt;=30,30,IF(Y112*1.15&lt;=45,45,IF(Y112*1.15&lt;=75,75,IF(Y112*1.15&lt;=112.5,112.5,IF(Y112*1.15&lt;=150,150,IF(Y112*1.15&lt;=225,225,300)))))))</f>
        <v/>
      </c>
      <c r="AB112">
        <f>IF(AA112="","",IFERROR(Y112/AA112,0))</f>
        <v/>
      </c>
      <c r="AC112">
        <f>IF(X112="","",IFERROR(INDEX(DIR_ATUAL[QT %],MATCH(X112,DIR_ATUAL[PONTO],0)),0))</f>
        <v/>
      </c>
      <c r="AD112">
        <f>IF(Y112="","",IFERROR(1-ABS(Y112-Z112)/$B$31,0))</f>
        <v/>
      </c>
      <c r="AE112">
        <f>IF(X112="","",IF($E$9&gt;$E$8,IFERROR((INDEX(GERAL[SNAP],79)-$E$8)/($E$9-$E$8),0),0))</f>
        <v/>
      </c>
      <c r="AF112">
        <f>IF(OR(X112="",AG112&lt;&gt;"DIREITO"),"",$L$2*IFERROR(Y112/$B$31,0)+$L$3*IF($D$31&gt;0,IFERROR(AC112/$D$31,0),0)+$L$4*IFERROR(AD112,0)-$L$5*IFERROR(AE112,0)-$L$6*MAX(0,IFERROR(AB112,0)-$L$7)+ROW()/1000000)</f>
        <v/>
      </c>
      <c r="AG112">
        <f>IFERROR(INDEX(GERAL[LADO],79),"")</f>
        <v/>
      </c>
    </row>
    <row r="113">
      <c r="M113">
        <f>IFERROR(INDEX(GERAL[PONTO],100),"")</f>
        <v/>
      </c>
      <c r="N113">
        <f>IF(M113="","",IFERROR(INDEX(GERAL[ACUMULADA],100),0))</f>
        <v/>
      </c>
      <c r="O113">
        <f>IF(N113="","",$B$11-N113)</f>
        <v/>
      </c>
      <c r="P113">
        <f>IF(N113="","",IF(N113*1.15&lt;=30,30,IF(N113*1.15&lt;=45,45,IF(N113*1.15&lt;=75,75,IF(N113*1.15&lt;=112.5,112.5,IF(N113*1.15&lt;=150,150,IF(N113*1.15&lt;=225,225,300)))))))</f>
        <v/>
      </c>
      <c r="Q113">
        <f>IF(P113="","",IFERROR(N113/P113,0))</f>
        <v/>
      </c>
      <c r="R113">
        <f>IF(M113="","",IFERROR(INDEX(Tabela7[QT %],MATCH(M113,Tabela7[PONTO],0)),0))</f>
        <v/>
      </c>
      <c r="S113">
        <f>IF(N113="","",IFERROR(1-ABS(N113-O113)/$B$11,0))</f>
        <v/>
      </c>
      <c r="T113">
        <f>IF(M113="","",IF($B$9&gt;$B$8,IFERROR((INDEX(GERAL[SNAP],100)-$B$8)/($B$9-$B$8),0),0))</f>
        <v/>
      </c>
      <c r="U113">
        <f>IF(OR(M113="",V113&lt;&gt;"ESQUERDO"),"",$L$2*IFERROR(N113/$B$11,0)+$L$3*IF($D$11&gt;0,IFERROR(R113/$D$11,0),0)+$L$4*IFERROR(S113,0)-$L$5*IFERROR(T113,0)-$L$6*MAX(0,IFERROR(Q113,0)-$L$7)+ROW()/1000000)</f>
        <v/>
      </c>
      <c r="V113">
        <f>IFERROR(INDEX(GERAL[LADO],100),"")</f>
        <v/>
      </c>
      <c r="X113">
        <f>IFERROR(INDEX(GERAL[PONTO],80),"")</f>
        <v/>
      </c>
      <c r="Y113">
        <f>IF(X113="","",IFERROR(INDEX(GERAL[ACUMULADA],80),0))</f>
        <v/>
      </c>
      <c r="Z113">
        <f>IF(Y113="","",$B$31-Y113)</f>
        <v/>
      </c>
      <c r="AA113">
        <f>IF(Y113="","",IF(Y113*1.15&lt;=30,30,IF(Y113*1.15&lt;=45,45,IF(Y113*1.15&lt;=75,75,IF(Y113*1.15&lt;=112.5,112.5,IF(Y113*1.15&lt;=150,150,IF(Y113*1.15&lt;=225,225,300)))))))</f>
        <v/>
      </c>
      <c r="AB113">
        <f>IF(AA113="","",IFERROR(Y113/AA113,0))</f>
        <v/>
      </c>
      <c r="AC113">
        <f>IF(X113="","",IFERROR(INDEX(DIR_ATUAL[QT %],MATCH(X113,DIR_ATUAL[PONTO],0)),0))</f>
        <v/>
      </c>
      <c r="AD113">
        <f>IF(Y113="","",IFERROR(1-ABS(Y113-Z113)/$B$31,0))</f>
        <v/>
      </c>
      <c r="AE113">
        <f>IF(X113="","",IF($E$9&gt;$E$8,IFERROR((INDEX(GERAL[SNAP],80)-$E$8)/($E$9-$E$8),0),0))</f>
        <v/>
      </c>
      <c r="AF113">
        <f>IF(OR(X113="",AG113&lt;&gt;"DIREITO"),"",$L$2*IFERROR(Y113/$B$31,0)+$L$3*IF($D$31&gt;0,IFERROR(AC113/$D$31,0),0)+$L$4*IFERROR(AD113,0)-$L$5*IFERROR(AE113,0)-$L$6*MAX(0,IFERROR(AB113,0)-$L$7)+ROW()/1000000)</f>
        <v/>
      </c>
      <c r="AG113">
        <f>IFERROR(INDEX(GERAL[LADO],80),"")</f>
        <v/>
      </c>
    </row>
    <row r="114">
      <c r="M114">
        <f>IFERROR(INDEX(GERAL[PONTO],101),"")</f>
        <v/>
      </c>
      <c r="N114">
        <f>IF(M114="","",IFERROR(INDEX(GERAL[ACUMULADA],101),0))</f>
        <v/>
      </c>
      <c r="O114">
        <f>IF(N114="","",$B$11-N114)</f>
        <v/>
      </c>
      <c r="P114">
        <f>IF(N114="","",IF(N114*1.15&lt;=30,30,IF(N114*1.15&lt;=45,45,IF(N114*1.15&lt;=75,75,IF(N114*1.15&lt;=112.5,112.5,IF(N114*1.15&lt;=150,150,IF(N114*1.15&lt;=225,225,300)))))))</f>
        <v/>
      </c>
      <c r="Q114">
        <f>IF(P114="","",IFERROR(N114/P114,0))</f>
        <v/>
      </c>
      <c r="R114">
        <f>IF(M114="","",IFERROR(INDEX(Tabela7[QT %],MATCH(M114,Tabela7[PONTO],0)),0))</f>
        <v/>
      </c>
      <c r="S114">
        <f>IF(N114="","",IFERROR(1-ABS(N114-O114)/$B$11,0))</f>
        <v/>
      </c>
      <c r="T114">
        <f>IF(M114="","",IF($B$9&gt;$B$8,IFERROR((INDEX(GERAL[SNAP],101)-$B$8)/($B$9-$B$8),0),0))</f>
        <v/>
      </c>
      <c r="U114">
        <f>IF(OR(M114="",V114&lt;&gt;"ESQUERDO"),"",$L$2*IFERROR(N114/$B$11,0)+$L$3*IF($D$11&gt;0,IFERROR(R114/$D$11,0),0)+$L$4*IFERROR(S114,0)-$L$5*IFERROR(T114,0)-$L$6*MAX(0,IFERROR(Q114,0)-$L$7)+ROW()/1000000)</f>
        <v/>
      </c>
      <c r="V114">
        <f>IFERROR(INDEX(GERAL[LADO],101),"")</f>
        <v/>
      </c>
      <c r="X114">
        <f>IFERROR(INDEX(GERAL[PONTO],81),"")</f>
        <v/>
      </c>
      <c r="Y114">
        <f>IF(X114="","",IFERROR(INDEX(GERAL[ACUMULADA],81),0))</f>
        <v/>
      </c>
      <c r="Z114">
        <f>IF(Y114="","",$B$31-Y114)</f>
        <v/>
      </c>
      <c r="AA114">
        <f>IF(Y114="","",IF(Y114*1.15&lt;=30,30,IF(Y114*1.15&lt;=45,45,IF(Y114*1.15&lt;=75,75,IF(Y114*1.15&lt;=112.5,112.5,IF(Y114*1.15&lt;=150,150,IF(Y114*1.15&lt;=225,225,300)))))))</f>
        <v/>
      </c>
      <c r="AB114">
        <f>IF(AA114="","",IFERROR(Y114/AA114,0))</f>
        <v/>
      </c>
      <c r="AC114">
        <f>IF(X114="","",IFERROR(INDEX(DIR_ATUAL[QT %],MATCH(X114,DIR_ATUAL[PONTO],0)),0))</f>
        <v/>
      </c>
      <c r="AD114">
        <f>IF(Y114="","",IFERROR(1-ABS(Y114-Z114)/$B$31,0))</f>
        <v/>
      </c>
      <c r="AE114">
        <f>IF(X114="","",IF($E$9&gt;$E$8,IFERROR((INDEX(GERAL[SNAP],81)-$E$8)/($E$9-$E$8),0),0))</f>
        <v/>
      </c>
      <c r="AF114">
        <f>IF(OR(X114="",AG114&lt;&gt;"DIREITO"),"",$L$2*IFERROR(Y114/$B$31,0)+$L$3*IF($D$31&gt;0,IFERROR(AC114/$D$31,0),0)+$L$4*IFERROR(AD114,0)-$L$5*IFERROR(AE114,0)-$L$6*MAX(0,IFERROR(AB114,0)-$L$7)+ROW()/1000000)</f>
        <v/>
      </c>
      <c r="AG114">
        <f>IFERROR(INDEX(GERAL[LADO],81),"")</f>
        <v/>
      </c>
    </row>
    <row r="115">
      <c r="M115">
        <f>IFERROR(INDEX(GERAL[PONTO],102),"")</f>
        <v/>
      </c>
      <c r="N115">
        <f>IF(M115="","",IFERROR(INDEX(GERAL[ACUMULADA],102),0))</f>
        <v/>
      </c>
      <c r="O115">
        <f>IF(N115="","",$B$11-N115)</f>
        <v/>
      </c>
      <c r="P115">
        <f>IF(N115="","",IF(N115*1.15&lt;=30,30,IF(N115*1.15&lt;=45,45,IF(N115*1.15&lt;=75,75,IF(N115*1.15&lt;=112.5,112.5,IF(N115*1.15&lt;=150,150,IF(N115*1.15&lt;=225,225,300)))))))</f>
        <v/>
      </c>
      <c r="Q115">
        <f>IF(P115="","",IFERROR(N115/P115,0))</f>
        <v/>
      </c>
      <c r="R115">
        <f>IF(M115="","",IFERROR(INDEX(Tabela7[QT %],MATCH(M115,Tabela7[PONTO],0)),0))</f>
        <v/>
      </c>
      <c r="S115">
        <f>IF(N115="","",IFERROR(1-ABS(N115-O115)/$B$11,0))</f>
        <v/>
      </c>
      <c r="T115">
        <f>IF(M115="","",IF($B$9&gt;$B$8,IFERROR((INDEX(GERAL[SNAP],102)-$B$8)/($B$9-$B$8),0),0))</f>
        <v/>
      </c>
      <c r="U115">
        <f>IF(OR(M115="",V115&lt;&gt;"ESQUERDO"),"",$L$2*IFERROR(N115/$B$11,0)+$L$3*IF($D$11&gt;0,IFERROR(R115/$D$11,0),0)+$L$4*IFERROR(S115,0)-$L$5*IFERROR(T115,0)-$L$6*MAX(0,IFERROR(Q115,0)-$L$7)+ROW()/1000000)</f>
        <v/>
      </c>
      <c r="V115">
        <f>IFERROR(INDEX(GERAL[LADO],102),"")</f>
        <v/>
      </c>
      <c r="X115">
        <f>IFERROR(INDEX(GERAL[PONTO],82),"")</f>
        <v/>
      </c>
      <c r="Y115">
        <f>IF(X115="","",IFERROR(INDEX(GERAL[ACUMULADA],82),0))</f>
        <v/>
      </c>
      <c r="Z115">
        <f>IF(Y115="","",$B$31-Y115)</f>
        <v/>
      </c>
      <c r="AA115">
        <f>IF(Y115="","",IF(Y115*1.15&lt;=30,30,IF(Y115*1.15&lt;=45,45,IF(Y115*1.15&lt;=75,75,IF(Y115*1.15&lt;=112.5,112.5,IF(Y115*1.15&lt;=150,150,IF(Y115*1.15&lt;=225,225,300)))))))</f>
        <v/>
      </c>
      <c r="AB115">
        <f>IF(AA115="","",IFERROR(Y115/AA115,0))</f>
        <v/>
      </c>
      <c r="AC115">
        <f>IF(X115="","",IFERROR(INDEX(DIR_ATUAL[QT %],MATCH(X115,DIR_ATUAL[PONTO],0)),0))</f>
        <v/>
      </c>
      <c r="AD115">
        <f>IF(Y115="","",IFERROR(1-ABS(Y115-Z115)/$B$31,0))</f>
        <v/>
      </c>
      <c r="AE115">
        <f>IF(X115="","",IF($E$9&gt;$E$8,IFERROR((INDEX(GERAL[SNAP],82)-$E$8)/($E$9-$E$8),0),0))</f>
        <v/>
      </c>
      <c r="AF115">
        <f>IF(OR(X115="",AG115&lt;&gt;"DIREITO"),"",$L$2*IFERROR(Y115/$B$31,0)+$L$3*IF($D$31&gt;0,IFERROR(AC115/$D$31,0),0)+$L$4*IFERROR(AD115,0)-$L$5*IFERROR(AE115,0)-$L$6*MAX(0,IFERROR(AB115,0)-$L$7)+ROW()/1000000)</f>
        <v/>
      </c>
      <c r="AG115">
        <f>IFERROR(INDEX(GERAL[LADO],82),"")</f>
        <v/>
      </c>
    </row>
    <row r="116">
      <c r="M116">
        <f>IFERROR(INDEX(GERAL[PONTO],103),"")</f>
        <v/>
      </c>
      <c r="N116">
        <f>IF(M116="","",IFERROR(INDEX(GERAL[ACUMULADA],103),0))</f>
        <v/>
      </c>
      <c r="O116">
        <f>IF(N116="","",$B$11-N116)</f>
        <v/>
      </c>
      <c r="P116">
        <f>IF(N116="","",IF(N116*1.15&lt;=30,30,IF(N116*1.15&lt;=45,45,IF(N116*1.15&lt;=75,75,IF(N116*1.15&lt;=112.5,112.5,IF(N116*1.15&lt;=150,150,IF(N116*1.15&lt;=225,225,300)))))))</f>
        <v/>
      </c>
      <c r="Q116">
        <f>IF(P116="","",IFERROR(N116/P116,0))</f>
        <v/>
      </c>
      <c r="R116">
        <f>IF(M116="","",IFERROR(INDEX(Tabela7[QT %],MATCH(M116,Tabela7[PONTO],0)),0))</f>
        <v/>
      </c>
      <c r="S116">
        <f>IF(N116="","",IFERROR(1-ABS(N116-O116)/$B$11,0))</f>
        <v/>
      </c>
      <c r="T116">
        <f>IF(M116="","",IF($B$9&gt;$B$8,IFERROR((INDEX(GERAL[SNAP],103)-$B$8)/($B$9-$B$8),0),0))</f>
        <v/>
      </c>
      <c r="U116">
        <f>IF(OR(M116="",V116&lt;&gt;"ESQUERDO"),"",$L$2*IFERROR(N116/$B$11,0)+$L$3*IF($D$11&gt;0,IFERROR(R116/$D$11,0),0)+$L$4*IFERROR(S116,0)-$L$5*IFERROR(T116,0)-$L$6*MAX(0,IFERROR(Q116,0)-$L$7)+ROW()/1000000)</f>
        <v/>
      </c>
      <c r="V116">
        <f>IFERROR(INDEX(GERAL[LADO],103),"")</f>
        <v/>
      </c>
      <c r="X116">
        <f>IFERROR(INDEX(GERAL[PONTO],83),"")</f>
        <v/>
      </c>
      <c r="Y116">
        <f>IF(X116="","",IFERROR(INDEX(GERAL[ACUMULADA],83),0))</f>
        <v/>
      </c>
      <c r="Z116">
        <f>IF(Y116="","",$B$31-Y116)</f>
        <v/>
      </c>
      <c r="AA116">
        <f>IF(Y116="","",IF(Y116*1.15&lt;=30,30,IF(Y116*1.15&lt;=45,45,IF(Y116*1.15&lt;=75,75,IF(Y116*1.15&lt;=112.5,112.5,IF(Y116*1.15&lt;=150,150,IF(Y116*1.15&lt;=225,225,300)))))))</f>
        <v/>
      </c>
      <c r="AB116">
        <f>IF(AA116="","",IFERROR(Y116/AA116,0))</f>
        <v/>
      </c>
      <c r="AC116">
        <f>IF(X116="","",IFERROR(INDEX(DIR_ATUAL[QT %],MATCH(X116,DIR_ATUAL[PONTO],0)),0))</f>
        <v/>
      </c>
      <c r="AD116">
        <f>IF(Y116="","",IFERROR(1-ABS(Y116-Z116)/$B$31,0))</f>
        <v/>
      </c>
      <c r="AE116">
        <f>IF(X116="","",IF($E$9&gt;$E$8,IFERROR((INDEX(GERAL[SNAP],83)-$E$8)/($E$9-$E$8),0),0))</f>
        <v/>
      </c>
      <c r="AF116">
        <f>IF(OR(X116="",AG116&lt;&gt;"DIREITO"),"",$L$2*IFERROR(Y116/$B$31,0)+$L$3*IF($D$31&gt;0,IFERROR(AC116/$D$31,0),0)+$L$4*IFERROR(AD116,0)-$L$5*IFERROR(AE116,0)-$L$6*MAX(0,IFERROR(AB116,0)-$L$7)+ROW()/1000000)</f>
        <v/>
      </c>
      <c r="AG116">
        <f>IFERROR(INDEX(GERAL[LADO],83),"")</f>
        <v/>
      </c>
    </row>
    <row r="117">
      <c r="M117">
        <f>IFERROR(INDEX(GERAL[PONTO],104),"")</f>
        <v/>
      </c>
      <c r="N117">
        <f>IF(M117="","",IFERROR(INDEX(GERAL[ACUMULADA],104),0))</f>
        <v/>
      </c>
      <c r="O117">
        <f>IF(N117="","",$B$11-N117)</f>
        <v/>
      </c>
      <c r="P117">
        <f>IF(N117="","",IF(N117*1.15&lt;=30,30,IF(N117*1.15&lt;=45,45,IF(N117*1.15&lt;=75,75,IF(N117*1.15&lt;=112.5,112.5,IF(N117*1.15&lt;=150,150,IF(N117*1.15&lt;=225,225,300)))))))</f>
        <v/>
      </c>
      <c r="Q117">
        <f>IF(P117="","",IFERROR(N117/P117,0))</f>
        <v/>
      </c>
      <c r="R117">
        <f>IF(M117="","",IFERROR(INDEX(Tabela7[QT %],MATCH(M117,Tabela7[PONTO],0)),0))</f>
        <v/>
      </c>
      <c r="S117">
        <f>IF(N117="","",IFERROR(1-ABS(N117-O117)/$B$11,0))</f>
        <v/>
      </c>
      <c r="T117">
        <f>IF(M117="","",IF($B$9&gt;$B$8,IFERROR((INDEX(GERAL[SNAP],104)-$B$8)/($B$9-$B$8),0),0))</f>
        <v/>
      </c>
      <c r="U117">
        <f>IF(OR(M117="",V117&lt;&gt;"ESQUERDO"),"",$L$2*IFERROR(N117/$B$11,0)+$L$3*IF($D$11&gt;0,IFERROR(R117/$D$11,0),0)+$L$4*IFERROR(S117,0)-$L$5*IFERROR(T117,0)-$L$6*MAX(0,IFERROR(Q117,0)-$L$7)+ROW()/1000000)</f>
        <v/>
      </c>
      <c r="V117">
        <f>IFERROR(INDEX(GERAL[LADO],104),"")</f>
        <v/>
      </c>
      <c r="X117">
        <f>IFERROR(INDEX(GERAL[PONTO],84),"")</f>
        <v/>
      </c>
      <c r="Y117">
        <f>IF(X117="","",IFERROR(INDEX(GERAL[ACUMULADA],84),0))</f>
        <v/>
      </c>
      <c r="Z117">
        <f>IF(Y117="","",$B$31-Y117)</f>
        <v/>
      </c>
      <c r="AA117">
        <f>IF(Y117="","",IF(Y117*1.15&lt;=30,30,IF(Y117*1.15&lt;=45,45,IF(Y117*1.15&lt;=75,75,IF(Y117*1.15&lt;=112.5,112.5,IF(Y117*1.15&lt;=150,150,IF(Y117*1.15&lt;=225,225,300)))))))</f>
        <v/>
      </c>
      <c r="AB117">
        <f>IF(AA117="","",IFERROR(Y117/AA117,0))</f>
        <v/>
      </c>
      <c r="AC117">
        <f>IF(X117="","",IFERROR(INDEX(DIR_ATUAL[QT %],MATCH(X117,DIR_ATUAL[PONTO],0)),0))</f>
        <v/>
      </c>
      <c r="AD117">
        <f>IF(Y117="","",IFERROR(1-ABS(Y117-Z117)/$B$31,0))</f>
        <v/>
      </c>
      <c r="AE117">
        <f>IF(X117="","",IF($E$9&gt;$E$8,IFERROR((INDEX(GERAL[SNAP],84)-$E$8)/($E$9-$E$8),0),0))</f>
        <v/>
      </c>
      <c r="AF117">
        <f>IF(OR(X117="",AG117&lt;&gt;"DIREITO"),"",$L$2*IFERROR(Y117/$B$31,0)+$L$3*IF($D$31&gt;0,IFERROR(AC117/$D$31,0),0)+$L$4*IFERROR(AD117,0)-$L$5*IFERROR(AE117,0)-$L$6*MAX(0,IFERROR(AB117,0)-$L$7)+ROW()/1000000)</f>
        <v/>
      </c>
      <c r="AG117">
        <f>IFERROR(INDEX(GERAL[LADO],84),"")</f>
        <v/>
      </c>
    </row>
    <row r="118">
      <c r="M118">
        <f>IFERROR(INDEX(GERAL[PONTO],105),"")</f>
        <v/>
      </c>
      <c r="N118">
        <f>IF(M118="","",IFERROR(INDEX(GERAL[ACUMULADA],105),0))</f>
        <v/>
      </c>
      <c r="O118">
        <f>IF(N118="","",$B$11-N118)</f>
        <v/>
      </c>
      <c r="P118">
        <f>IF(N118="","",IF(N118*1.15&lt;=30,30,IF(N118*1.15&lt;=45,45,IF(N118*1.15&lt;=75,75,IF(N118*1.15&lt;=112.5,112.5,IF(N118*1.15&lt;=150,150,IF(N118*1.15&lt;=225,225,300)))))))</f>
        <v/>
      </c>
      <c r="Q118">
        <f>IF(P118="","",IFERROR(N118/P118,0))</f>
        <v/>
      </c>
      <c r="R118">
        <f>IF(M118="","",IFERROR(INDEX(Tabela7[QT %],MATCH(M118,Tabela7[PONTO],0)),0))</f>
        <v/>
      </c>
      <c r="S118">
        <f>IF(N118="","",IFERROR(1-ABS(N118-O118)/$B$11,0))</f>
        <v/>
      </c>
      <c r="T118">
        <f>IF(M118="","",IF($B$9&gt;$B$8,IFERROR((INDEX(GERAL[SNAP],105)-$B$8)/($B$9-$B$8),0),0))</f>
        <v/>
      </c>
      <c r="U118">
        <f>IF(OR(M118="",V118&lt;&gt;"ESQUERDO"),"",$L$2*IFERROR(N118/$B$11,0)+$L$3*IF($D$11&gt;0,IFERROR(R118/$D$11,0),0)+$L$4*IFERROR(S118,0)-$L$5*IFERROR(T118,0)-$L$6*MAX(0,IFERROR(Q118,0)-$L$7)+ROW()/1000000)</f>
        <v/>
      </c>
      <c r="V118">
        <f>IFERROR(INDEX(GERAL[LADO],105),"")</f>
        <v/>
      </c>
      <c r="X118">
        <f>IFERROR(INDEX(GERAL[PONTO],85),"")</f>
        <v/>
      </c>
      <c r="Y118">
        <f>IF(X118="","",IFERROR(INDEX(GERAL[ACUMULADA],85),0))</f>
        <v/>
      </c>
      <c r="Z118">
        <f>IF(Y118="","",$B$31-Y118)</f>
        <v/>
      </c>
      <c r="AA118">
        <f>IF(Y118="","",IF(Y118*1.15&lt;=30,30,IF(Y118*1.15&lt;=45,45,IF(Y118*1.15&lt;=75,75,IF(Y118*1.15&lt;=112.5,112.5,IF(Y118*1.15&lt;=150,150,IF(Y118*1.15&lt;=225,225,300)))))))</f>
        <v/>
      </c>
      <c r="AB118">
        <f>IF(AA118="","",IFERROR(Y118/AA118,0))</f>
        <v/>
      </c>
      <c r="AC118">
        <f>IF(X118="","",IFERROR(INDEX(DIR_ATUAL[QT %],MATCH(X118,DIR_ATUAL[PONTO],0)),0))</f>
        <v/>
      </c>
      <c r="AD118">
        <f>IF(Y118="","",IFERROR(1-ABS(Y118-Z118)/$B$31,0))</f>
        <v/>
      </c>
      <c r="AE118">
        <f>IF(X118="","",IF($E$9&gt;$E$8,IFERROR((INDEX(GERAL[SNAP],85)-$E$8)/($E$9-$E$8),0),0))</f>
        <v/>
      </c>
      <c r="AF118">
        <f>IF(OR(X118="",AG118&lt;&gt;"DIREITO"),"",$L$2*IFERROR(Y118/$B$31,0)+$L$3*IF($D$31&gt;0,IFERROR(AC118/$D$31,0),0)+$L$4*IFERROR(AD118,0)-$L$5*IFERROR(AE118,0)-$L$6*MAX(0,IFERROR(AB118,0)-$L$7)+ROW()/1000000)</f>
        <v/>
      </c>
      <c r="AG118">
        <f>IFERROR(INDEX(GERAL[LADO],85),"")</f>
        <v/>
      </c>
    </row>
    <row r="119">
      <c r="M119">
        <f>IFERROR(INDEX(GERAL[PONTO],106),"")</f>
        <v/>
      </c>
      <c r="N119">
        <f>IF(M119="","",IFERROR(INDEX(GERAL[ACUMULADA],106),0))</f>
        <v/>
      </c>
      <c r="O119">
        <f>IF(N119="","",$B$11-N119)</f>
        <v/>
      </c>
      <c r="P119">
        <f>IF(N119="","",IF(N119*1.15&lt;=30,30,IF(N119*1.15&lt;=45,45,IF(N119*1.15&lt;=75,75,IF(N119*1.15&lt;=112.5,112.5,IF(N119*1.15&lt;=150,150,IF(N119*1.15&lt;=225,225,300)))))))</f>
        <v/>
      </c>
      <c r="Q119">
        <f>IF(P119="","",IFERROR(N119/P119,0))</f>
        <v/>
      </c>
      <c r="R119">
        <f>IF(M119="","",IFERROR(INDEX(Tabela7[QT %],MATCH(M119,Tabela7[PONTO],0)),0))</f>
        <v/>
      </c>
      <c r="S119">
        <f>IF(N119="","",IFERROR(1-ABS(N119-O119)/$B$11,0))</f>
        <v/>
      </c>
      <c r="T119">
        <f>IF(M119="","",IF($B$9&gt;$B$8,IFERROR((INDEX(GERAL[SNAP],106)-$B$8)/($B$9-$B$8),0),0))</f>
        <v/>
      </c>
      <c r="U119">
        <f>IF(OR(M119="",V119&lt;&gt;"ESQUERDO"),"",$L$2*IFERROR(N119/$B$11,0)+$L$3*IF($D$11&gt;0,IFERROR(R119/$D$11,0),0)+$L$4*IFERROR(S119,0)-$L$5*IFERROR(T119,0)-$L$6*MAX(0,IFERROR(Q119,0)-$L$7)+ROW()/1000000)</f>
        <v/>
      </c>
      <c r="V119">
        <f>IFERROR(INDEX(GERAL[LADO],106),"")</f>
        <v/>
      </c>
      <c r="X119">
        <f>IFERROR(INDEX(GERAL[PONTO],86),"")</f>
        <v/>
      </c>
      <c r="Y119">
        <f>IF(X119="","",IFERROR(INDEX(GERAL[ACUMULADA],86),0))</f>
        <v/>
      </c>
      <c r="Z119">
        <f>IF(Y119="","",$B$31-Y119)</f>
        <v/>
      </c>
      <c r="AA119">
        <f>IF(Y119="","",IF(Y119*1.15&lt;=30,30,IF(Y119*1.15&lt;=45,45,IF(Y119*1.15&lt;=75,75,IF(Y119*1.15&lt;=112.5,112.5,IF(Y119*1.15&lt;=150,150,IF(Y119*1.15&lt;=225,225,300)))))))</f>
        <v/>
      </c>
      <c r="AB119">
        <f>IF(AA119="","",IFERROR(Y119/AA119,0))</f>
        <v/>
      </c>
      <c r="AC119">
        <f>IF(X119="","",IFERROR(INDEX(DIR_ATUAL[QT %],MATCH(X119,DIR_ATUAL[PONTO],0)),0))</f>
        <v/>
      </c>
      <c r="AD119">
        <f>IF(Y119="","",IFERROR(1-ABS(Y119-Z119)/$B$31,0))</f>
        <v/>
      </c>
      <c r="AE119">
        <f>IF(X119="","",IF($E$9&gt;$E$8,IFERROR((INDEX(GERAL[SNAP],86)-$E$8)/($E$9-$E$8),0),0))</f>
        <v/>
      </c>
      <c r="AF119">
        <f>IF(OR(X119="",AG119&lt;&gt;"DIREITO"),"",$L$2*IFERROR(Y119/$B$31,0)+$L$3*IF($D$31&gt;0,IFERROR(AC119/$D$31,0),0)+$L$4*IFERROR(AD119,0)-$L$5*IFERROR(AE119,0)-$L$6*MAX(0,IFERROR(AB119,0)-$L$7)+ROW()/1000000)</f>
        <v/>
      </c>
      <c r="AG119">
        <f>IFERROR(INDEX(GERAL[LADO],86),"")</f>
        <v/>
      </c>
    </row>
    <row r="120">
      <c r="M120">
        <f>IFERROR(INDEX(GERAL[PONTO],107),"")</f>
        <v/>
      </c>
      <c r="N120">
        <f>IF(M120="","",IFERROR(INDEX(GERAL[ACUMULADA],107),0))</f>
        <v/>
      </c>
      <c r="O120">
        <f>IF(N120="","",$B$11-N120)</f>
        <v/>
      </c>
      <c r="P120">
        <f>IF(N120="","",IF(N120*1.15&lt;=30,30,IF(N120*1.15&lt;=45,45,IF(N120*1.15&lt;=75,75,IF(N120*1.15&lt;=112.5,112.5,IF(N120*1.15&lt;=150,150,IF(N120*1.15&lt;=225,225,300)))))))</f>
        <v/>
      </c>
      <c r="Q120">
        <f>IF(P120="","",IFERROR(N120/P120,0))</f>
        <v/>
      </c>
      <c r="R120">
        <f>IF(M120="","",IFERROR(INDEX(Tabela7[QT %],MATCH(M120,Tabela7[PONTO],0)),0))</f>
        <v/>
      </c>
      <c r="S120">
        <f>IF(N120="","",IFERROR(1-ABS(N120-O120)/$B$11,0))</f>
        <v/>
      </c>
      <c r="T120">
        <f>IF(M120="","",IF($B$9&gt;$B$8,IFERROR((INDEX(GERAL[SNAP],107)-$B$8)/($B$9-$B$8),0),0))</f>
        <v/>
      </c>
      <c r="U120">
        <f>IF(OR(M120="",V120&lt;&gt;"ESQUERDO"),"",$L$2*IFERROR(N120/$B$11,0)+$L$3*IF($D$11&gt;0,IFERROR(R120/$D$11,0),0)+$L$4*IFERROR(S120,0)-$L$5*IFERROR(T120,0)-$L$6*MAX(0,IFERROR(Q120,0)-$L$7)+ROW()/1000000)</f>
        <v/>
      </c>
      <c r="V120">
        <f>IFERROR(INDEX(GERAL[LADO],107),"")</f>
        <v/>
      </c>
      <c r="X120">
        <f>IFERROR(INDEX(GERAL[PONTO],87),"")</f>
        <v/>
      </c>
      <c r="Y120">
        <f>IF(X120="","",IFERROR(INDEX(GERAL[ACUMULADA],87),0))</f>
        <v/>
      </c>
      <c r="Z120">
        <f>IF(Y120="","",$B$31-Y120)</f>
        <v/>
      </c>
      <c r="AA120">
        <f>IF(Y120="","",IF(Y120*1.15&lt;=30,30,IF(Y120*1.15&lt;=45,45,IF(Y120*1.15&lt;=75,75,IF(Y120*1.15&lt;=112.5,112.5,IF(Y120*1.15&lt;=150,150,IF(Y120*1.15&lt;=225,225,300)))))))</f>
        <v/>
      </c>
      <c r="AB120">
        <f>IF(AA120="","",IFERROR(Y120/AA120,0))</f>
        <v/>
      </c>
      <c r="AC120">
        <f>IF(X120="","",IFERROR(INDEX(DIR_ATUAL[QT %],MATCH(X120,DIR_ATUAL[PONTO],0)),0))</f>
        <v/>
      </c>
      <c r="AD120">
        <f>IF(Y120="","",IFERROR(1-ABS(Y120-Z120)/$B$31,0))</f>
        <v/>
      </c>
      <c r="AE120">
        <f>IF(X120="","",IF($E$9&gt;$E$8,IFERROR((INDEX(GERAL[SNAP],87)-$E$8)/($E$9-$E$8),0),0))</f>
        <v/>
      </c>
      <c r="AF120">
        <f>IF(OR(X120="",AG120&lt;&gt;"DIREITO"),"",$L$2*IFERROR(Y120/$B$31,0)+$L$3*IF($D$31&gt;0,IFERROR(AC120/$D$31,0),0)+$L$4*IFERROR(AD120,0)-$L$5*IFERROR(AE120,0)-$L$6*MAX(0,IFERROR(AB120,0)-$L$7)+ROW()/1000000)</f>
        <v/>
      </c>
      <c r="AG120">
        <f>IFERROR(INDEX(GERAL[LADO],87),"")</f>
        <v/>
      </c>
    </row>
    <row r="121">
      <c r="M121">
        <f>IFERROR(INDEX(GERAL[PONTO],108),"")</f>
        <v/>
      </c>
      <c r="N121">
        <f>IF(M121="","",IFERROR(INDEX(GERAL[ACUMULADA],108),0))</f>
        <v/>
      </c>
      <c r="O121">
        <f>IF(N121="","",$B$11-N121)</f>
        <v/>
      </c>
      <c r="P121">
        <f>IF(N121="","",IF(N121*1.15&lt;=30,30,IF(N121*1.15&lt;=45,45,IF(N121*1.15&lt;=75,75,IF(N121*1.15&lt;=112.5,112.5,IF(N121*1.15&lt;=150,150,IF(N121*1.15&lt;=225,225,300)))))))</f>
        <v/>
      </c>
      <c r="Q121">
        <f>IF(P121="","",IFERROR(N121/P121,0))</f>
        <v/>
      </c>
      <c r="R121">
        <f>IF(M121="","",IFERROR(INDEX(Tabela7[QT %],MATCH(M121,Tabela7[PONTO],0)),0))</f>
        <v/>
      </c>
      <c r="S121">
        <f>IF(N121="","",IFERROR(1-ABS(N121-O121)/$B$11,0))</f>
        <v/>
      </c>
      <c r="T121">
        <f>IF(M121="","",IF($B$9&gt;$B$8,IFERROR((INDEX(GERAL[SNAP],108)-$B$8)/($B$9-$B$8),0),0))</f>
        <v/>
      </c>
      <c r="U121">
        <f>IF(OR(M121="",V121&lt;&gt;"ESQUERDO"),"",$L$2*IFERROR(N121/$B$11,0)+$L$3*IF($D$11&gt;0,IFERROR(R121/$D$11,0),0)+$L$4*IFERROR(S121,0)-$L$5*IFERROR(T121,0)-$L$6*MAX(0,IFERROR(Q121,0)-$L$7)+ROW()/1000000)</f>
        <v/>
      </c>
      <c r="V121">
        <f>IFERROR(INDEX(GERAL[LADO],108),"")</f>
        <v/>
      </c>
      <c r="X121">
        <f>IFERROR(INDEX(GERAL[PONTO],88),"")</f>
        <v/>
      </c>
      <c r="Y121">
        <f>IF(X121="","",IFERROR(INDEX(GERAL[ACUMULADA],88),0))</f>
        <v/>
      </c>
      <c r="Z121">
        <f>IF(Y121="","",$B$31-Y121)</f>
        <v/>
      </c>
      <c r="AA121">
        <f>IF(Y121="","",IF(Y121*1.15&lt;=30,30,IF(Y121*1.15&lt;=45,45,IF(Y121*1.15&lt;=75,75,IF(Y121*1.15&lt;=112.5,112.5,IF(Y121*1.15&lt;=150,150,IF(Y121*1.15&lt;=225,225,300)))))))</f>
        <v/>
      </c>
      <c r="AB121">
        <f>IF(AA121="","",IFERROR(Y121/AA121,0))</f>
        <v/>
      </c>
      <c r="AC121">
        <f>IF(X121="","",IFERROR(INDEX(DIR_ATUAL[QT %],MATCH(X121,DIR_ATUAL[PONTO],0)),0))</f>
        <v/>
      </c>
      <c r="AD121">
        <f>IF(Y121="","",IFERROR(1-ABS(Y121-Z121)/$B$31,0))</f>
        <v/>
      </c>
      <c r="AE121">
        <f>IF(X121="","",IF($E$9&gt;$E$8,IFERROR((INDEX(GERAL[SNAP],88)-$E$8)/($E$9-$E$8),0),0))</f>
        <v/>
      </c>
      <c r="AF121">
        <f>IF(OR(X121="",AG121&lt;&gt;"DIREITO"),"",$L$2*IFERROR(Y121/$B$31,0)+$L$3*IF($D$31&gt;0,IFERROR(AC121/$D$31,0),0)+$L$4*IFERROR(AD121,0)-$L$5*IFERROR(AE121,0)-$L$6*MAX(0,IFERROR(AB121,0)-$L$7)+ROW()/1000000)</f>
        <v/>
      </c>
      <c r="AG121">
        <f>IFERROR(INDEX(GERAL[LADO],88),"")</f>
        <v/>
      </c>
    </row>
    <row r="122">
      <c r="M122">
        <f>IFERROR(INDEX(GERAL[PONTO],109),"")</f>
        <v/>
      </c>
      <c r="N122">
        <f>IF(M122="","",IFERROR(INDEX(GERAL[ACUMULADA],109),0))</f>
        <v/>
      </c>
      <c r="O122">
        <f>IF(N122="","",$B$11-N122)</f>
        <v/>
      </c>
      <c r="P122">
        <f>IF(N122="","",IF(N122*1.15&lt;=30,30,IF(N122*1.15&lt;=45,45,IF(N122*1.15&lt;=75,75,IF(N122*1.15&lt;=112.5,112.5,IF(N122*1.15&lt;=150,150,IF(N122*1.15&lt;=225,225,300)))))))</f>
        <v/>
      </c>
      <c r="Q122">
        <f>IF(P122="","",IFERROR(N122/P122,0))</f>
        <v/>
      </c>
      <c r="R122">
        <f>IF(M122="","",IFERROR(INDEX(Tabela7[QT %],MATCH(M122,Tabela7[PONTO],0)),0))</f>
        <v/>
      </c>
      <c r="S122">
        <f>IF(N122="","",IFERROR(1-ABS(N122-O122)/$B$11,0))</f>
        <v/>
      </c>
      <c r="T122">
        <f>IF(M122="","",IF($B$9&gt;$B$8,IFERROR((INDEX(GERAL[SNAP],109)-$B$8)/($B$9-$B$8),0),0))</f>
        <v/>
      </c>
      <c r="U122">
        <f>IF(OR(M122="",V122&lt;&gt;"ESQUERDO"),"",$L$2*IFERROR(N122/$B$11,0)+$L$3*IF($D$11&gt;0,IFERROR(R122/$D$11,0),0)+$L$4*IFERROR(S122,0)-$L$5*IFERROR(T122,0)-$L$6*MAX(0,IFERROR(Q122,0)-$L$7)+ROW()/1000000)</f>
        <v/>
      </c>
      <c r="V122">
        <f>IFERROR(INDEX(GERAL[LADO],109),"")</f>
        <v/>
      </c>
      <c r="X122">
        <f>IFERROR(INDEX(GERAL[PONTO],89),"")</f>
        <v/>
      </c>
      <c r="Y122">
        <f>IF(X122="","",IFERROR(INDEX(GERAL[ACUMULADA],89),0))</f>
        <v/>
      </c>
      <c r="Z122">
        <f>IF(Y122="","",$B$31-Y122)</f>
        <v/>
      </c>
      <c r="AA122">
        <f>IF(Y122="","",IF(Y122*1.15&lt;=30,30,IF(Y122*1.15&lt;=45,45,IF(Y122*1.15&lt;=75,75,IF(Y122*1.15&lt;=112.5,112.5,IF(Y122*1.15&lt;=150,150,IF(Y122*1.15&lt;=225,225,300)))))))</f>
        <v/>
      </c>
      <c r="AB122">
        <f>IF(AA122="","",IFERROR(Y122/AA122,0))</f>
        <v/>
      </c>
      <c r="AC122">
        <f>IF(X122="","",IFERROR(INDEX(DIR_ATUAL[QT %],MATCH(X122,DIR_ATUAL[PONTO],0)),0))</f>
        <v/>
      </c>
      <c r="AD122">
        <f>IF(Y122="","",IFERROR(1-ABS(Y122-Z122)/$B$31,0))</f>
        <v/>
      </c>
      <c r="AE122">
        <f>IF(X122="","",IF($E$9&gt;$E$8,IFERROR((INDEX(GERAL[SNAP],89)-$E$8)/($E$9-$E$8),0),0))</f>
        <v/>
      </c>
      <c r="AF122">
        <f>IF(OR(X122="",AG122&lt;&gt;"DIREITO"),"",$L$2*IFERROR(Y122/$B$31,0)+$L$3*IF($D$31&gt;0,IFERROR(AC122/$D$31,0),0)+$L$4*IFERROR(AD122,0)-$L$5*IFERROR(AE122,0)-$L$6*MAX(0,IFERROR(AB122,0)-$L$7)+ROW()/1000000)</f>
        <v/>
      </c>
      <c r="AG122">
        <f>IFERROR(INDEX(GERAL[LADO],89),"")</f>
        <v/>
      </c>
    </row>
    <row r="123">
      <c r="M123">
        <f>IFERROR(INDEX(GERAL[PONTO],110),"")</f>
        <v/>
      </c>
      <c r="N123">
        <f>IF(M123="","",IFERROR(INDEX(GERAL[ACUMULADA],110),0))</f>
        <v/>
      </c>
      <c r="O123">
        <f>IF(N123="","",$B$11-N123)</f>
        <v/>
      </c>
      <c r="P123">
        <f>IF(N123="","",IF(N123*1.15&lt;=30,30,IF(N123*1.15&lt;=45,45,IF(N123*1.15&lt;=75,75,IF(N123*1.15&lt;=112.5,112.5,IF(N123*1.15&lt;=150,150,IF(N123*1.15&lt;=225,225,300)))))))</f>
        <v/>
      </c>
      <c r="Q123">
        <f>IF(P123="","",IFERROR(N123/P123,0))</f>
        <v/>
      </c>
      <c r="R123">
        <f>IF(M123="","",IFERROR(INDEX(Tabela7[QT %],MATCH(M123,Tabela7[PONTO],0)),0))</f>
        <v/>
      </c>
      <c r="S123">
        <f>IF(N123="","",IFERROR(1-ABS(N123-O123)/$B$11,0))</f>
        <v/>
      </c>
      <c r="T123">
        <f>IF(M123="","",IF($B$9&gt;$B$8,IFERROR((INDEX(GERAL[SNAP],110)-$B$8)/($B$9-$B$8),0),0))</f>
        <v/>
      </c>
      <c r="U123">
        <f>IF(OR(M123="",V123&lt;&gt;"ESQUERDO"),"",$L$2*IFERROR(N123/$B$11,0)+$L$3*IF($D$11&gt;0,IFERROR(R123/$D$11,0),0)+$L$4*IFERROR(S123,0)-$L$5*IFERROR(T123,0)-$L$6*MAX(0,IFERROR(Q123,0)-$L$7)+ROW()/1000000)</f>
        <v/>
      </c>
      <c r="V123">
        <f>IFERROR(INDEX(GERAL[LADO],110),"")</f>
        <v/>
      </c>
      <c r="X123">
        <f>IFERROR(INDEX(GERAL[PONTO],90),"")</f>
        <v/>
      </c>
      <c r="Y123">
        <f>IF(X123="","",IFERROR(INDEX(GERAL[ACUMULADA],90),0))</f>
        <v/>
      </c>
      <c r="Z123">
        <f>IF(Y123="","",$B$31-Y123)</f>
        <v/>
      </c>
      <c r="AA123">
        <f>IF(Y123="","",IF(Y123*1.15&lt;=30,30,IF(Y123*1.15&lt;=45,45,IF(Y123*1.15&lt;=75,75,IF(Y123*1.15&lt;=112.5,112.5,IF(Y123*1.15&lt;=150,150,IF(Y123*1.15&lt;=225,225,300)))))))</f>
        <v/>
      </c>
      <c r="AB123">
        <f>IF(AA123="","",IFERROR(Y123/AA123,0))</f>
        <v/>
      </c>
      <c r="AC123">
        <f>IF(X123="","",IFERROR(INDEX(DIR_ATUAL[QT %],MATCH(X123,DIR_ATUAL[PONTO],0)),0))</f>
        <v/>
      </c>
      <c r="AD123">
        <f>IF(Y123="","",IFERROR(1-ABS(Y123-Z123)/$B$31,0))</f>
        <v/>
      </c>
      <c r="AE123">
        <f>IF(X123="","",IF($E$9&gt;$E$8,IFERROR((INDEX(GERAL[SNAP],90)-$E$8)/($E$9-$E$8),0),0))</f>
        <v/>
      </c>
      <c r="AF123">
        <f>IF(OR(X123="",AG123&lt;&gt;"DIREITO"),"",$L$2*IFERROR(Y123/$B$31,0)+$L$3*IF($D$31&gt;0,IFERROR(AC123/$D$31,0),0)+$L$4*IFERROR(AD123,0)-$L$5*IFERROR(AE123,0)-$L$6*MAX(0,IFERROR(AB123,0)-$L$7)+ROW()/1000000)</f>
        <v/>
      </c>
      <c r="AG123">
        <f>IFERROR(INDEX(GERAL[LADO],90),"")</f>
        <v/>
      </c>
    </row>
    <row r="124">
      <c r="M124">
        <f>IFERROR(INDEX(GERAL[PONTO],111),"")</f>
        <v/>
      </c>
      <c r="N124">
        <f>IF(M124="","",IFERROR(INDEX(GERAL[ACUMULADA],111),0))</f>
        <v/>
      </c>
      <c r="O124">
        <f>IF(N124="","",$B$11-N124)</f>
        <v/>
      </c>
      <c r="P124">
        <f>IF(N124="","",IF(N124*1.15&lt;=30,30,IF(N124*1.15&lt;=45,45,IF(N124*1.15&lt;=75,75,IF(N124*1.15&lt;=112.5,112.5,IF(N124*1.15&lt;=150,150,IF(N124*1.15&lt;=225,225,300)))))))</f>
        <v/>
      </c>
      <c r="Q124">
        <f>IF(P124="","",IFERROR(N124/P124,0))</f>
        <v/>
      </c>
      <c r="R124">
        <f>IF(M124="","",IFERROR(INDEX(Tabela7[QT %],MATCH(M124,Tabela7[PONTO],0)),0))</f>
        <v/>
      </c>
      <c r="S124">
        <f>IF(N124="","",IFERROR(1-ABS(N124-O124)/$B$11,0))</f>
        <v/>
      </c>
      <c r="T124">
        <f>IF(M124="","",IF($B$9&gt;$B$8,IFERROR((INDEX(GERAL[SNAP],111)-$B$8)/($B$9-$B$8),0),0))</f>
        <v/>
      </c>
      <c r="U124">
        <f>IF(OR(M124="",V124&lt;&gt;"ESQUERDO"),"",$L$2*IFERROR(N124/$B$11,0)+$L$3*IF($D$11&gt;0,IFERROR(R124/$D$11,0),0)+$L$4*IFERROR(S124,0)-$L$5*IFERROR(T124,0)-$L$6*MAX(0,IFERROR(Q124,0)-$L$7)+ROW()/1000000)</f>
        <v/>
      </c>
      <c r="V124">
        <f>IFERROR(INDEX(GERAL[LADO],111),"")</f>
        <v/>
      </c>
      <c r="X124">
        <f>IFERROR(INDEX(GERAL[PONTO],91),"")</f>
        <v/>
      </c>
      <c r="Y124">
        <f>IF(X124="","",IFERROR(INDEX(GERAL[ACUMULADA],91),0))</f>
        <v/>
      </c>
      <c r="Z124">
        <f>IF(Y124="","",$B$31-Y124)</f>
        <v/>
      </c>
      <c r="AA124">
        <f>IF(Y124="","",IF(Y124*1.15&lt;=30,30,IF(Y124*1.15&lt;=45,45,IF(Y124*1.15&lt;=75,75,IF(Y124*1.15&lt;=112.5,112.5,IF(Y124*1.15&lt;=150,150,IF(Y124*1.15&lt;=225,225,300)))))))</f>
        <v/>
      </c>
      <c r="AB124">
        <f>IF(AA124="","",IFERROR(Y124/AA124,0))</f>
        <v/>
      </c>
      <c r="AC124">
        <f>IF(X124="","",IFERROR(INDEX(DIR_ATUAL[QT %],MATCH(X124,DIR_ATUAL[PONTO],0)),0))</f>
        <v/>
      </c>
      <c r="AD124">
        <f>IF(Y124="","",IFERROR(1-ABS(Y124-Z124)/$B$31,0))</f>
        <v/>
      </c>
      <c r="AE124">
        <f>IF(X124="","",IF($E$9&gt;$E$8,IFERROR((INDEX(GERAL[SNAP],91)-$E$8)/($E$9-$E$8),0),0))</f>
        <v/>
      </c>
      <c r="AF124">
        <f>IF(OR(X124="",AG124&lt;&gt;"DIREITO"),"",$L$2*IFERROR(Y124/$B$31,0)+$L$3*IF($D$31&gt;0,IFERROR(AC124/$D$31,0),0)+$L$4*IFERROR(AD124,0)-$L$5*IFERROR(AE124,0)-$L$6*MAX(0,IFERROR(AB124,0)-$L$7)+ROW()/1000000)</f>
        <v/>
      </c>
      <c r="AG124">
        <f>IFERROR(INDEX(GERAL[LADO],91),"")</f>
        <v/>
      </c>
    </row>
    <row r="125">
      <c r="M125">
        <f>IFERROR(INDEX(GERAL[PONTO],112),"")</f>
        <v/>
      </c>
      <c r="N125">
        <f>IF(M125="","",IFERROR(INDEX(GERAL[ACUMULADA],112),0))</f>
        <v/>
      </c>
      <c r="O125">
        <f>IF(N125="","",$B$11-N125)</f>
        <v/>
      </c>
      <c r="P125">
        <f>IF(N125="","",IF(N125*1.15&lt;=30,30,IF(N125*1.15&lt;=45,45,IF(N125*1.15&lt;=75,75,IF(N125*1.15&lt;=112.5,112.5,IF(N125*1.15&lt;=150,150,IF(N125*1.15&lt;=225,225,300)))))))</f>
        <v/>
      </c>
      <c r="Q125">
        <f>IF(P125="","",IFERROR(N125/P125,0))</f>
        <v/>
      </c>
      <c r="R125">
        <f>IF(M125="","",IFERROR(INDEX(Tabela7[QT %],MATCH(M125,Tabela7[PONTO],0)),0))</f>
        <v/>
      </c>
      <c r="S125">
        <f>IF(N125="","",IFERROR(1-ABS(N125-O125)/$B$11,0))</f>
        <v/>
      </c>
      <c r="T125">
        <f>IF(M125="","",IF($B$9&gt;$B$8,IFERROR((INDEX(GERAL[SNAP],112)-$B$8)/($B$9-$B$8),0),0))</f>
        <v/>
      </c>
      <c r="U125">
        <f>IF(OR(M125="",V125&lt;&gt;"ESQUERDO"),"",$L$2*IFERROR(N125/$B$11,0)+$L$3*IF($D$11&gt;0,IFERROR(R125/$D$11,0),0)+$L$4*IFERROR(S125,0)-$L$5*IFERROR(T125,0)-$L$6*MAX(0,IFERROR(Q125,0)-$L$7)+ROW()/1000000)</f>
        <v/>
      </c>
      <c r="V125">
        <f>IFERROR(INDEX(GERAL[LADO],112),"")</f>
        <v/>
      </c>
      <c r="X125">
        <f>IFERROR(INDEX(GERAL[PONTO],92),"")</f>
        <v/>
      </c>
      <c r="Y125">
        <f>IF(X125="","",IFERROR(INDEX(GERAL[ACUMULADA],92),0))</f>
        <v/>
      </c>
      <c r="Z125">
        <f>IF(Y125="","",$B$31-Y125)</f>
        <v/>
      </c>
      <c r="AA125">
        <f>IF(Y125="","",IF(Y125*1.15&lt;=30,30,IF(Y125*1.15&lt;=45,45,IF(Y125*1.15&lt;=75,75,IF(Y125*1.15&lt;=112.5,112.5,IF(Y125*1.15&lt;=150,150,IF(Y125*1.15&lt;=225,225,300)))))))</f>
        <v/>
      </c>
      <c r="AB125">
        <f>IF(AA125="","",IFERROR(Y125/AA125,0))</f>
        <v/>
      </c>
      <c r="AC125">
        <f>IF(X125="","",IFERROR(INDEX(DIR_ATUAL[QT %],MATCH(X125,DIR_ATUAL[PONTO],0)),0))</f>
        <v/>
      </c>
      <c r="AD125">
        <f>IF(Y125="","",IFERROR(1-ABS(Y125-Z125)/$B$31,0))</f>
        <v/>
      </c>
      <c r="AE125">
        <f>IF(X125="","",IF($E$9&gt;$E$8,IFERROR((INDEX(GERAL[SNAP],92)-$E$8)/($E$9-$E$8),0),0))</f>
        <v/>
      </c>
      <c r="AF125">
        <f>IF(OR(X125="",AG125&lt;&gt;"DIREITO"),"",$L$2*IFERROR(Y125/$B$31,0)+$L$3*IF($D$31&gt;0,IFERROR(AC125/$D$31,0),0)+$L$4*IFERROR(AD125,0)-$L$5*IFERROR(AE125,0)-$L$6*MAX(0,IFERROR(AB125,0)-$L$7)+ROW()/1000000)</f>
        <v/>
      </c>
      <c r="AG125">
        <f>IFERROR(INDEX(GERAL[LADO],92),"")</f>
        <v/>
      </c>
    </row>
    <row r="126">
      <c r="M126">
        <f>IFERROR(INDEX(GERAL[PONTO],113),"")</f>
        <v/>
      </c>
      <c r="N126">
        <f>IF(M126="","",IFERROR(INDEX(GERAL[ACUMULADA],113),0))</f>
        <v/>
      </c>
      <c r="O126">
        <f>IF(N126="","",$B$11-N126)</f>
        <v/>
      </c>
      <c r="P126">
        <f>IF(N126="","",IF(N126*1.15&lt;=30,30,IF(N126*1.15&lt;=45,45,IF(N126*1.15&lt;=75,75,IF(N126*1.15&lt;=112.5,112.5,IF(N126*1.15&lt;=150,150,IF(N126*1.15&lt;=225,225,300)))))))</f>
        <v/>
      </c>
      <c r="Q126">
        <f>IF(P126="","",IFERROR(N126/P126,0))</f>
        <v/>
      </c>
      <c r="R126">
        <f>IF(M126="","",IFERROR(INDEX(Tabela7[QT %],MATCH(M126,Tabela7[PONTO],0)),0))</f>
        <v/>
      </c>
      <c r="S126">
        <f>IF(N126="","",IFERROR(1-ABS(N126-O126)/$B$11,0))</f>
        <v/>
      </c>
      <c r="T126">
        <f>IF(M126="","",IF($B$9&gt;$B$8,IFERROR((INDEX(GERAL[SNAP],113)-$B$8)/($B$9-$B$8),0),0))</f>
        <v/>
      </c>
      <c r="U126">
        <f>IF(OR(M126="",V126&lt;&gt;"ESQUERDO"),"",$L$2*IFERROR(N126/$B$11,0)+$L$3*IF($D$11&gt;0,IFERROR(R126/$D$11,0),0)+$L$4*IFERROR(S126,0)-$L$5*IFERROR(T126,0)-$L$6*MAX(0,IFERROR(Q126,0)-$L$7)+ROW()/1000000)</f>
        <v/>
      </c>
      <c r="V126">
        <f>IFERROR(INDEX(GERAL[LADO],113),"")</f>
        <v/>
      </c>
      <c r="X126">
        <f>IFERROR(INDEX(GERAL[PONTO],93),"")</f>
        <v/>
      </c>
      <c r="Y126">
        <f>IF(X126="","",IFERROR(INDEX(GERAL[ACUMULADA],93),0))</f>
        <v/>
      </c>
      <c r="Z126">
        <f>IF(Y126="","",$B$31-Y126)</f>
        <v/>
      </c>
      <c r="AA126">
        <f>IF(Y126="","",IF(Y126*1.15&lt;=30,30,IF(Y126*1.15&lt;=45,45,IF(Y126*1.15&lt;=75,75,IF(Y126*1.15&lt;=112.5,112.5,IF(Y126*1.15&lt;=150,150,IF(Y126*1.15&lt;=225,225,300)))))))</f>
        <v/>
      </c>
      <c r="AB126">
        <f>IF(AA126="","",IFERROR(Y126/AA126,0))</f>
        <v/>
      </c>
      <c r="AC126">
        <f>IF(X126="","",IFERROR(INDEX(DIR_ATUAL[QT %],MATCH(X126,DIR_ATUAL[PONTO],0)),0))</f>
        <v/>
      </c>
      <c r="AD126">
        <f>IF(Y126="","",IFERROR(1-ABS(Y126-Z126)/$B$31,0))</f>
        <v/>
      </c>
      <c r="AE126">
        <f>IF(X126="","",IF($E$9&gt;$E$8,IFERROR((INDEX(GERAL[SNAP],93)-$E$8)/($E$9-$E$8),0),0))</f>
        <v/>
      </c>
      <c r="AF126">
        <f>IF(OR(X126="",AG126&lt;&gt;"DIREITO"),"",$L$2*IFERROR(Y126/$B$31,0)+$L$3*IF($D$31&gt;0,IFERROR(AC126/$D$31,0),0)+$L$4*IFERROR(AD126,0)-$L$5*IFERROR(AE126,0)-$L$6*MAX(0,IFERROR(AB126,0)-$L$7)+ROW()/1000000)</f>
        <v/>
      </c>
      <c r="AG126">
        <f>IFERROR(INDEX(GERAL[LADO],93),"")</f>
        <v/>
      </c>
    </row>
    <row r="127">
      <c r="M127">
        <f>IFERROR(INDEX(GERAL[PONTO],114),"")</f>
        <v/>
      </c>
      <c r="N127">
        <f>IF(M127="","",IFERROR(INDEX(GERAL[ACUMULADA],114),0))</f>
        <v/>
      </c>
      <c r="O127">
        <f>IF(N127="","",$B$11-N127)</f>
        <v/>
      </c>
      <c r="P127">
        <f>IF(N127="","",IF(N127*1.15&lt;=30,30,IF(N127*1.15&lt;=45,45,IF(N127*1.15&lt;=75,75,IF(N127*1.15&lt;=112.5,112.5,IF(N127*1.15&lt;=150,150,IF(N127*1.15&lt;=225,225,300)))))))</f>
        <v/>
      </c>
      <c r="Q127">
        <f>IF(P127="","",IFERROR(N127/P127,0))</f>
        <v/>
      </c>
      <c r="R127">
        <f>IF(M127="","",IFERROR(INDEX(Tabela7[QT %],MATCH(M127,Tabela7[PONTO],0)),0))</f>
        <v/>
      </c>
      <c r="S127">
        <f>IF(N127="","",IFERROR(1-ABS(N127-O127)/$B$11,0))</f>
        <v/>
      </c>
      <c r="T127">
        <f>IF(M127="","",IF($B$9&gt;$B$8,IFERROR((INDEX(GERAL[SNAP],114)-$B$8)/($B$9-$B$8),0),0))</f>
        <v/>
      </c>
      <c r="U127">
        <f>IF(OR(M127="",V127&lt;&gt;"ESQUERDO"),"",$L$2*IFERROR(N127/$B$11,0)+$L$3*IF($D$11&gt;0,IFERROR(R127/$D$11,0),0)+$L$4*IFERROR(S127,0)-$L$5*IFERROR(T127,0)-$L$6*MAX(0,IFERROR(Q127,0)-$L$7)+ROW()/1000000)</f>
        <v/>
      </c>
      <c r="V127">
        <f>IFERROR(INDEX(GERAL[LADO],114),"")</f>
        <v/>
      </c>
      <c r="X127">
        <f>IFERROR(INDEX(GERAL[PONTO],94),"")</f>
        <v/>
      </c>
      <c r="Y127">
        <f>IF(X127="","",IFERROR(INDEX(GERAL[ACUMULADA],94),0))</f>
        <v/>
      </c>
      <c r="Z127">
        <f>IF(Y127="","",$B$31-Y127)</f>
        <v/>
      </c>
      <c r="AA127">
        <f>IF(Y127="","",IF(Y127*1.15&lt;=30,30,IF(Y127*1.15&lt;=45,45,IF(Y127*1.15&lt;=75,75,IF(Y127*1.15&lt;=112.5,112.5,IF(Y127*1.15&lt;=150,150,IF(Y127*1.15&lt;=225,225,300)))))))</f>
        <v/>
      </c>
      <c r="AB127">
        <f>IF(AA127="","",IFERROR(Y127/AA127,0))</f>
        <v/>
      </c>
      <c r="AC127">
        <f>IF(X127="","",IFERROR(INDEX(DIR_ATUAL[QT %],MATCH(X127,DIR_ATUAL[PONTO],0)),0))</f>
        <v/>
      </c>
      <c r="AD127">
        <f>IF(Y127="","",IFERROR(1-ABS(Y127-Z127)/$B$31,0))</f>
        <v/>
      </c>
      <c r="AE127">
        <f>IF(X127="","",IF($E$9&gt;$E$8,IFERROR((INDEX(GERAL[SNAP],94)-$E$8)/($E$9-$E$8),0),0))</f>
        <v/>
      </c>
      <c r="AF127">
        <f>IF(OR(X127="",AG127&lt;&gt;"DIREITO"),"",$L$2*IFERROR(Y127/$B$31,0)+$L$3*IF($D$31&gt;0,IFERROR(AC127/$D$31,0),0)+$L$4*IFERROR(AD127,0)-$L$5*IFERROR(AE127,0)-$L$6*MAX(0,IFERROR(AB127,0)-$L$7)+ROW()/1000000)</f>
        <v/>
      </c>
      <c r="AG127">
        <f>IFERROR(INDEX(GERAL[LADO],94),"")</f>
        <v/>
      </c>
    </row>
    <row r="128">
      <c r="M128">
        <f>IFERROR(INDEX(GERAL[PONTO],115),"")</f>
        <v/>
      </c>
      <c r="N128">
        <f>IF(M128="","",IFERROR(INDEX(GERAL[ACUMULADA],115),0))</f>
        <v/>
      </c>
      <c r="O128">
        <f>IF(N128="","",$B$11-N128)</f>
        <v/>
      </c>
      <c r="P128">
        <f>IF(N128="","",IF(N128*1.15&lt;=30,30,IF(N128*1.15&lt;=45,45,IF(N128*1.15&lt;=75,75,IF(N128*1.15&lt;=112.5,112.5,IF(N128*1.15&lt;=150,150,IF(N128*1.15&lt;=225,225,300)))))))</f>
        <v/>
      </c>
      <c r="Q128">
        <f>IF(P128="","",IFERROR(N128/P128,0))</f>
        <v/>
      </c>
      <c r="R128">
        <f>IF(M128="","",IFERROR(INDEX(Tabela7[QT %],MATCH(M128,Tabela7[PONTO],0)),0))</f>
        <v/>
      </c>
      <c r="S128">
        <f>IF(N128="","",IFERROR(1-ABS(N128-O128)/$B$11,0))</f>
        <v/>
      </c>
      <c r="T128">
        <f>IF(M128="","",IF($B$9&gt;$B$8,IFERROR((INDEX(GERAL[SNAP],115)-$B$8)/($B$9-$B$8),0),0))</f>
        <v/>
      </c>
      <c r="U128">
        <f>IF(OR(M128="",V128&lt;&gt;"ESQUERDO"),"",$L$2*IFERROR(N128/$B$11,0)+$L$3*IF($D$11&gt;0,IFERROR(R128/$D$11,0),0)+$L$4*IFERROR(S128,0)-$L$5*IFERROR(T128,0)-$L$6*MAX(0,IFERROR(Q128,0)-$L$7)+ROW()/1000000)</f>
        <v/>
      </c>
      <c r="V128">
        <f>IFERROR(INDEX(GERAL[LADO],115),"")</f>
        <v/>
      </c>
      <c r="X128">
        <f>IFERROR(INDEX(GERAL[PONTO],95),"")</f>
        <v/>
      </c>
      <c r="Y128">
        <f>IF(X128="","",IFERROR(INDEX(GERAL[ACUMULADA],95),0))</f>
        <v/>
      </c>
      <c r="Z128">
        <f>IF(Y128="","",$B$31-Y128)</f>
        <v/>
      </c>
      <c r="AA128">
        <f>IF(Y128="","",IF(Y128*1.15&lt;=30,30,IF(Y128*1.15&lt;=45,45,IF(Y128*1.15&lt;=75,75,IF(Y128*1.15&lt;=112.5,112.5,IF(Y128*1.15&lt;=150,150,IF(Y128*1.15&lt;=225,225,300)))))))</f>
        <v/>
      </c>
      <c r="AB128">
        <f>IF(AA128="","",IFERROR(Y128/AA128,0))</f>
        <v/>
      </c>
      <c r="AC128">
        <f>IF(X128="","",IFERROR(INDEX(DIR_ATUAL[QT %],MATCH(X128,DIR_ATUAL[PONTO],0)),0))</f>
        <v/>
      </c>
      <c r="AD128">
        <f>IF(Y128="","",IFERROR(1-ABS(Y128-Z128)/$B$31,0))</f>
        <v/>
      </c>
      <c r="AE128">
        <f>IF(X128="","",IF($E$9&gt;$E$8,IFERROR((INDEX(GERAL[SNAP],95)-$E$8)/($E$9-$E$8),0),0))</f>
        <v/>
      </c>
      <c r="AF128">
        <f>IF(OR(X128="",AG128&lt;&gt;"DIREITO"),"",$L$2*IFERROR(Y128/$B$31,0)+$L$3*IF($D$31&gt;0,IFERROR(AC128/$D$31,0),0)+$L$4*IFERROR(AD128,0)-$L$5*IFERROR(AE128,0)-$L$6*MAX(0,IFERROR(AB128,0)-$L$7)+ROW()/1000000)</f>
        <v/>
      </c>
      <c r="AG128">
        <f>IFERROR(INDEX(GERAL[LADO],95),"")</f>
        <v/>
      </c>
    </row>
    <row r="129">
      <c r="M129">
        <f>IFERROR(INDEX(GERAL[PONTO],116),"")</f>
        <v/>
      </c>
      <c r="N129">
        <f>IF(M129="","",IFERROR(INDEX(GERAL[ACUMULADA],116),0))</f>
        <v/>
      </c>
      <c r="O129">
        <f>IF(N129="","",$B$11-N129)</f>
        <v/>
      </c>
      <c r="P129">
        <f>IF(N129="","",IF(N129*1.15&lt;=30,30,IF(N129*1.15&lt;=45,45,IF(N129*1.15&lt;=75,75,IF(N129*1.15&lt;=112.5,112.5,IF(N129*1.15&lt;=150,150,IF(N129*1.15&lt;=225,225,300)))))))</f>
        <v/>
      </c>
      <c r="Q129">
        <f>IF(P129="","",IFERROR(N129/P129,0))</f>
        <v/>
      </c>
      <c r="R129">
        <f>IF(M129="","",IFERROR(INDEX(Tabela7[QT %],MATCH(M129,Tabela7[PONTO],0)),0))</f>
        <v/>
      </c>
      <c r="S129">
        <f>IF(N129="","",IFERROR(1-ABS(N129-O129)/$B$11,0))</f>
        <v/>
      </c>
      <c r="T129">
        <f>IF(M129="","",IF($B$9&gt;$B$8,IFERROR((INDEX(GERAL[SNAP],116)-$B$8)/($B$9-$B$8),0),0))</f>
        <v/>
      </c>
      <c r="U129">
        <f>IF(OR(M129="",V129&lt;&gt;"ESQUERDO"),"",$L$2*IFERROR(N129/$B$11,0)+$L$3*IF($D$11&gt;0,IFERROR(R129/$D$11,0),0)+$L$4*IFERROR(S129,0)-$L$5*IFERROR(T129,0)-$L$6*MAX(0,IFERROR(Q129,0)-$L$7)+ROW()/1000000)</f>
        <v/>
      </c>
      <c r="V129">
        <f>IFERROR(INDEX(GERAL[LADO],116),"")</f>
        <v/>
      </c>
      <c r="X129">
        <f>IFERROR(INDEX(GERAL[PONTO],96),"")</f>
        <v/>
      </c>
      <c r="Y129">
        <f>IF(X129="","",IFERROR(INDEX(GERAL[ACUMULADA],96),0))</f>
        <v/>
      </c>
      <c r="Z129">
        <f>IF(Y129="","",$B$31-Y129)</f>
        <v/>
      </c>
      <c r="AA129">
        <f>IF(Y129="","",IF(Y129*1.15&lt;=30,30,IF(Y129*1.15&lt;=45,45,IF(Y129*1.15&lt;=75,75,IF(Y129*1.15&lt;=112.5,112.5,IF(Y129*1.15&lt;=150,150,IF(Y129*1.15&lt;=225,225,300)))))))</f>
        <v/>
      </c>
      <c r="AB129">
        <f>IF(AA129="","",IFERROR(Y129/AA129,0))</f>
        <v/>
      </c>
      <c r="AC129">
        <f>IF(X129="","",IFERROR(INDEX(DIR_ATUAL[QT %],MATCH(X129,DIR_ATUAL[PONTO],0)),0))</f>
        <v/>
      </c>
      <c r="AD129">
        <f>IF(Y129="","",IFERROR(1-ABS(Y129-Z129)/$B$31,0))</f>
        <v/>
      </c>
      <c r="AE129">
        <f>IF(X129="","",IF($E$9&gt;$E$8,IFERROR((INDEX(GERAL[SNAP],96)-$E$8)/($E$9-$E$8),0),0))</f>
        <v/>
      </c>
      <c r="AF129">
        <f>IF(OR(X129="",AG129&lt;&gt;"DIREITO"),"",$L$2*IFERROR(Y129/$B$31,0)+$L$3*IF($D$31&gt;0,IFERROR(AC129/$D$31,0),0)+$L$4*IFERROR(AD129,0)-$L$5*IFERROR(AE129,0)-$L$6*MAX(0,IFERROR(AB129,0)-$L$7)+ROW()/1000000)</f>
        <v/>
      </c>
      <c r="AG129">
        <f>IFERROR(INDEX(GERAL[LADO],96),"")</f>
        <v/>
      </c>
    </row>
    <row r="130">
      <c r="M130">
        <f>IFERROR(INDEX(GERAL[PONTO],117),"")</f>
        <v/>
      </c>
      <c r="N130">
        <f>IF(M130="","",IFERROR(INDEX(GERAL[ACUMULADA],117),0))</f>
        <v/>
      </c>
      <c r="O130">
        <f>IF(N130="","",$B$11-N130)</f>
        <v/>
      </c>
      <c r="P130">
        <f>IF(N130="","",IF(N130*1.15&lt;=30,30,IF(N130*1.15&lt;=45,45,IF(N130*1.15&lt;=75,75,IF(N130*1.15&lt;=112.5,112.5,IF(N130*1.15&lt;=150,150,IF(N130*1.15&lt;=225,225,300)))))))</f>
        <v/>
      </c>
      <c r="Q130">
        <f>IF(P130="","",IFERROR(N130/P130,0))</f>
        <v/>
      </c>
      <c r="R130">
        <f>IF(M130="","",IFERROR(INDEX(Tabela7[QT %],MATCH(M130,Tabela7[PONTO],0)),0))</f>
        <v/>
      </c>
      <c r="S130">
        <f>IF(N130="","",IFERROR(1-ABS(N130-O130)/$B$11,0))</f>
        <v/>
      </c>
      <c r="T130">
        <f>IF(M130="","",IF($B$9&gt;$B$8,IFERROR((INDEX(GERAL[SNAP],117)-$B$8)/($B$9-$B$8),0),0))</f>
        <v/>
      </c>
      <c r="U130">
        <f>IF(OR(M130="",V130&lt;&gt;"ESQUERDO"),"",$L$2*IFERROR(N130/$B$11,0)+$L$3*IF($D$11&gt;0,IFERROR(R130/$D$11,0),0)+$L$4*IFERROR(S130,0)-$L$5*IFERROR(T130,0)-$L$6*MAX(0,IFERROR(Q130,0)-$L$7)+ROW()/1000000)</f>
        <v/>
      </c>
      <c r="V130">
        <f>IFERROR(INDEX(GERAL[LADO],117),"")</f>
        <v/>
      </c>
      <c r="X130">
        <f>IFERROR(INDEX(GERAL[PONTO],97),"")</f>
        <v/>
      </c>
      <c r="Y130">
        <f>IF(X130="","",IFERROR(INDEX(GERAL[ACUMULADA],97),0))</f>
        <v/>
      </c>
      <c r="Z130">
        <f>IF(Y130="","",$B$31-Y130)</f>
        <v/>
      </c>
      <c r="AA130">
        <f>IF(Y130="","",IF(Y130*1.15&lt;=30,30,IF(Y130*1.15&lt;=45,45,IF(Y130*1.15&lt;=75,75,IF(Y130*1.15&lt;=112.5,112.5,IF(Y130*1.15&lt;=150,150,IF(Y130*1.15&lt;=225,225,300)))))))</f>
        <v/>
      </c>
      <c r="AB130">
        <f>IF(AA130="","",IFERROR(Y130/AA130,0))</f>
        <v/>
      </c>
      <c r="AC130">
        <f>IF(X130="","",IFERROR(INDEX(DIR_ATUAL[QT %],MATCH(X130,DIR_ATUAL[PONTO],0)),0))</f>
        <v/>
      </c>
      <c r="AD130">
        <f>IF(Y130="","",IFERROR(1-ABS(Y130-Z130)/$B$31,0))</f>
        <v/>
      </c>
      <c r="AE130">
        <f>IF(X130="","",IF($E$9&gt;$E$8,IFERROR((INDEX(GERAL[SNAP],97)-$E$8)/($E$9-$E$8),0),0))</f>
        <v/>
      </c>
      <c r="AF130">
        <f>IF(OR(X130="",AG130&lt;&gt;"DIREITO"),"",$L$2*IFERROR(Y130/$B$31,0)+$L$3*IF($D$31&gt;0,IFERROR(AC130/$D$31,0),0)+$L$4*IFERROR(AD130,0)-$L$5*IFERROR(AE130,0)-$L$6*MAX(0,IFERROR(AB130,0)-$L$7)+ROW()/1000000)</f>
        <v/>
      </c>
      <c r="AG130">
        <f>IFERROR(INDEX(GERAL[LADO],97),"")</f>
        <v/>
      </c>
    </row>
    <row r="131">
      <c r="M131">
        <f>IFERROR(INDEX(GERAL[PONTO],118),"")</f>
        <v/>
      </c>
      <c r="N131">
        <f>IF(M131="","",IFERROR(INDEX(GERAL[ACUMULADA],118),0))</f>
        <v/>
      </c>
      <c r="O131">
        <f>IF(N131="","",$B$11-N131)</f>
        <v/>
      </c>
      <c r="P131">
        <f>IF(N131="","",IF(N131*1.15&lt;=30,30,IF(N131*1.15&lt;=45,45,IF(N131*1.15&lt;=75,75,IF(N131*1.15&lt;=112.5,112.5,IF(N131*1.15&lt;=150,150,IF(N131*1.15&lt;=225,225,300)))))))</f>
        <v/>
      </c>
      <c r="Q131">
        <f>IF(P131="","",IFERROR(N131/P131,0))</f>
        <v/>
      </c>
      <c r="R131">
        <f>IF(M131="","",IFERROR(INDEX(Tabela7[QT %],MATCH(M131,Tabela7[PONTO],0)),0))</f>
        <v/>
      </c>
      <c r="S131">
        <f>IF(N131="","",IFERROR(1-ABS(N131-O131)/$B$11,0))</f>
        <v/>
      </c>
      <c r="T131">
        <f>IF(M131="","",IF($B$9&gt;$B$8,IFERROR((INDEX(GERAL[SNAP],118)-$B$8)/($B$9-$B$8),0),0))</f>
        <v/>
      </c>
      <c r="U131">
        <f>IF(OR(M131="",V131&lt;&gt;"ESQUERDO"),"",$L$2*IFERROR(N131/$B$11,0)+$L$3*IF($D$11&gt;0,IFERROR(R131/$D$11,0),0)+$L$4*IFERROR(S131,0)-$L$5*IFERROR(T131,0)-$L$6*MAX(0,IFERROR(Q131,0)-$L$7)+ROW()/1000000)</f>
        <v/>
      </c>
      <c r="V131">
        <f>IFERROR(INDEX(GERAL[LADO],118),"")</f>
        <v/>
      </c>
      <c r="X131">
        <f>IFERROR(INDEX(GERAL[PONTO],98),"")</f>
        <v/>
      </c>
      <c r="Y131">
        <f>IF(X131="","",IFERROR(INDEX(GERAL[ACUMULADA],98),0))</f>
        <v/>
      </c>
      <c r="Z131">
        <f>IF(Y131="","",$B$31-Y131)</f>
        <v/>
      </c>
      <c r="AA131">
        <f>IF(Y131="","",IF(Y131*1.15&lt;=30,30,IF(Y131*1.15&lt;=45,45,IF(Y131*1.15&lt;=75,75,IF(Y131*1.15&lt;=112.5,112.5,IF(Y131*1.15&lt;=150,150,IF(Y131*1.15&lt;=225,225,300)))))))</f>
        <v/>
      </c>
      <c r="AB131">
        <f>IF(AA131="","",IFERROR(Y131/AA131,0))</f>
        <v/>
      </c>
      <c r="AC131">
        <f>IF(X131="","",IFERROR(INDEX(DIR_ATUAL[QT %],MATCH(X131,DIR_ATUAL[PONTO],0)),0))</f>
        <v/>
      </c>
      <c r="AD131">
        <f>IF(Y131="","",IFERROR(1-ABS(Y131-Z131)/$B$31,0))</f>
        <v/>
      </c>
      <c r="AE131">
        <f>IF(X131="","",IF($E$9&gt;$E$8,IFERROR((INDEX(GERAL[SNAP],98)-$E$8)/($E$9-$E$8),0),0))</f>
        <v/>
      </c>
      <c r="AF131">
        <f>IF(OR(X131="",AG131&lt;&gt;"DIREITO"),"",$L$2*IFERROR(Y131/$B$31,0)+$L$3*IF($D$31&gt;0,IFERROR(AC131/$D$31,0),0)+$L$4*IFERROR(AD131,0)-$L$5*IFERROR(AE131,0)-$L$6*MAX(0,IFERROR(AB131,0)-$L$7)+ROW()/1000000)</f>
        <v/>
      </c>
      <c r="AG131">
        <f>IFERROR(INDEX(GERAL[LADO],98),"")</f>
        <v/>
      </c>
    </row>
    <row r="132">
      <c r="M132">
        <f>IFERROR(INDEX(GERAL[PONTO],119),"")</f>
        <v/>
      </c>
      <c r="N132">
        <f>IF(M132="","",IFERROR(INDEX(GERAL[ACUMULADA],119),0))</f>
        <v/>
      </c>
      <c r="O132">
        <f>IF(N132="","",$B$11-N132)</f>
        <v/>
      </c>
      <c r="P132">
        <f>IF(N132="","",IF(N132*1.15&lt;=30,30,IF(N132*1.15&lt;=45,45,IF(N132*1.15&lt;=75,75,IF(N132*1.15&lt;=112.5,112.5,IF(N132*1.15&lt;=150,150,IF(N132*1.15&lt;=225,225,300)))))))</f>
        <v/>
      </c>
      <c r="Q132">
        <f>IF(P132="","",IFERROR(N132/P132,0))</f>
        <v/>
      </c>
      <c r="R132">
        <f>IF(M132="","",IFERROR(INDEX(Tabela7[QT %],MATCH(M132,Tabela7[PONTO],0)),0))</f>
        <v/>
      </c>
      <c r="S132">
        <f>IF(N132="","",IFERROR(1-ABS(N132-O132)/$B$11,0))</f>
        <v/>
      </c>
      <c r="T132">
        <f>IF(M132="","",IF($B$9&gt;$B$8,IFERROR((INDEX(GERAL[SNAP],119)-$B$8)/($B$9-$B$8),0),0))</f>
        <v/>
      </c>
      <c r="U132">
        <f>IF(OR(M132="",V132&lt;&gt;"ESQUERDO"),"",$L$2*IFERROR(N132/$B$11,0)+$L$3*IF($D$11&gt;0,IFERROR(R132/$D$11,0),0)+$L$4*IFERROR(S132,0)-$L$5*IFERROR(T132,0)-$L$6*MAX(0,IFERROR(Q132,0)-$L$7)+ROW()/1000000)</f>
        <v/>
      </c>
      <c r="V132">
        <f>IFERROR(INDEX(GERAL[LADO],119),"")</f>
        <v/>
      </c>
      <c r="X132">
        <f>IFERROR(INDEX(GERAL[PONTO],99),"")</f>
        <v/>
      </c>
      <c r="Y132">
        <f>IF(X132="","",IFERROR(INDEX(GERAL[ACUMULADA],99),0))</f>
        <v/>
      </c>
      <c r="Z132">
        <f>IF(Y132="","",$B$31-Y132)</f>
        <v/>
      </c>
      <c r="AA132">
        <f>IF(Y132="","",IF(Y132*1.15&lt;=30,30,IF(Y132*1.15&lt;=45,45,IF(Y132*1.15&lt;=75,75,IF(Y132*1.15&lt;=112.5,112.5,IF(Y132*1.15&lt;=150,150,IF(Y132*1.15&lt;=225,225,300)))))))</f>
        <v/>
      </c>
      <c r="AB132">
        <f>IF(AA132="","",IFERROR(Y132/AA132,0))</f>
        <v/>
      </c>
      <c r="AC132">
        <f>IF(X132="","",IFERROR(INDEX(DIR_ATUAL[QT %],MATCH(X132,DIR_ATUAL[PONTO],0)),0))</f>
        <v/>
      </c>
      <c r="AD132">
        <f>IF(Y132="","",IFERROR(1-ABS(Y132-Z132)/$B$31,0))</f>
        <v/>
      </c>
      <c r="AE132">
        <f>IF(X132="","",IF($E$9&gt;$E$8,IFERROR((INDEX(GERAL[SNAP],99)-$E$8)/($E$9-$E$8),0),0))</f>
        <v/>
      </c>
      <c r="AF132">
        <f>IF(OR(X132="",AG132&lt;&gt;"DIREITO"),"",$L$2*IFERROR(Y132/$B$31,0)+$L$3*IF($D$31&gt;0,IFERROR(AC132/$D$31,0),0)+$L$4*IFERROR(AD132,0)-$L$5*IFERROR(AE132,0)-$L$6*MAX(0,IFERROR(AB132,0)-$L$7)+ROW()/1000000)</f>
        <v/>
      </c>
      <c r="AG132">
        <f>IFERROR(INDEX(GERAL[LADO],99),"")</f>
        <v/>
      </c>
    </row>
    <row r="133">
      <c r="M133">
        <f>IFERROR(INDEX(GERAL[PONTO],120),"")</f>
        <v/>
      </c>
      <c r="N133">
        <f>IF(M133="","",IFERROR(INDEX(GERAL[ACUMULADA],120),0))</f>
        <v/>
      </c>
      <c r="O133">
        <f>IF(N133="","",$B$11-N133)</f>
        <v/>
      </c>
      <c r="P133">
        <f>IF(N133="","",IF(N133*1.15&lt;=30,30,IF(N133*1.15&lt;=45,45,IF(N133*1.15&lt;=75,75,IF(N133*1.15&lt;=112.5,112.5,IF(N133*1.15&lt;=150,150,IF(N133*1.15&lt;=225,225,300)))))))</f>
        <v/>
      </c>
      <c r="Q133">
        <f>IF(P133="","",IFERROR(N133/P133,0))</f>
        <v/>
      </c>
      <c r="R133">
        <f>IF(M133="","",IFERROR(INDEX(Tabela7[QT %],MATCH(M133,Tabela7[PONTO],0)),0))</f>
        <v/>
      </c>
      <c r="S133">
        <f>IF(N133="","",IFERROR(1-ABS(N133-O133)/$B$11,0))</f>
        <v/>
      </c>
      <c r="T133">
        <f>IF(M133="","",IF($B$9&gt;$B$8,IFERROR((INDEX(GERAL[SNAP],120)-$B$8)/($B$9-$B$8),0),0))</f>
        <v/>
      </c>
      <c r="U133">
        <f>IF(OR(M133="",V133&lt;&gt;"ESQUERDO"),"",$L$2*IFERROR(N133/$B$11,0)+$L$3*IF($D$11&gt;0,IFERROR(R133/$D$11,0),0)+$L$4*IFERROR(S133,0)-$L$5*IFERROR(T133,0)-$L$6*MAX(0,IFERROR(Q133,0)-$L$7)+ROW()/1000000)</f>
        <v/>
      </c>
      <c r="V133">
        <f>IFERROR(INDEX(GERAL[LADO],120),"")</f>
        <v/>
      </c>
      <c r="X133">
        <f>IFERROR(INDEX(GERAL[PONTO],100),"")</f>
        <v/>
      </c>
      <c r="Y133">
        <f>IF(X133="","",IFERROR(INDEX(GERAL[ACUMULADA],100),0))</f>
        <v/>
      </c>
      <c r="Z133">
        <f>IF(Y133="","",$B$31-Y133)</f>
        <v/>
      </c>
      <c r="AA133">
        <f>IF(Y133="","",IF(Y133*1.15&lt;=30,30,IF(Y133*1.15&lt;=45,45,IF(Y133*1.15&lt;=75,75,IF(Y133*1.15&lt;=112.5,112.5,IF(Y133*1.15&lt;=150,150,IF(Y133*1.15&lt;=225,225,300)))))))</f>
        <v/>
      </c>
      <c r="AB133">
        <f>IF(AA133="","",IFERROR(Y133/AA133,0))</f>
        <v/>
      </c>
      <c r="AC133">
        <f>IF(X133="","",IFERROR(INDEX(DIR_ATUAL[QT %],MATCH(X133,DIR_ATUAL[PONTO],0)),0))</f>
        <v/>
      </c>
      <c r="AD133">
        <f>IF(Y133="","",IFERROR(1-ABS(Y133-Z133)/$B$31,0))</f>
        <v/>
      </c>
      <c r="AE133">
        <f>IF(X133="","",IF($E$9&gt;$E$8,IFERROR((INDEX(GERAL[SNAP],100)-$E$8)/($E$9-$E$8),0),0))</f>
        <v/>
      </c>
      <c r="AF133">
        <f>IF(OR(X133="",AG133&lt;&gt;"DIREITO"),"",$L$2*IFERROR(Y133/$B$31,0)+$L$3*IF($D$31&gt;0,IFERROR(AC133/$D$31,0),0)+$L$4*IFERROR(AD133,0)-$L$5*IFERROR(AE133,0)-$L$6*MAX(0,IFERROR(AB133,0)-$L$7)+ROW()/1000000)</f>
        <v/>
      </c>
      <c r="AG133">
        <f>IFERROR(INDEX(GERAL[LADO],100),"")</f>
        <v/>
      </c>
    </row>
    <row r="134">
      <c r="M134">
        <f>IFERROR(INDEX(GERAL[PONTO],121),"")</f>
        <v/>
      </c>
      <c r="N134">
        <f>IF(M134="","",IFERROR(INDEX(GERAL[ACUMULADA],121),0))</f>
        <v/>
      </c>
      <c r="O134">
        <f>IF(N134="","",$B$11-N134)</f>
        <v/>
      </c>
      <c r="P134">
        <f>IF(N134="","",IF(N134*1.15&lt;=30,30,IF(N134*1.15&lt;=45,45,IF(N134*1.15&lt;=75,75,IF(N134*1.15&lt;=112.5,112.5,IF(N134*1.15&lt;=150,150,IF(N134*1.15&lt;=225,225,300)))))))</f>
        <v/>
      </c>
      <c r="Q134">
        <f>IF(P134="","",IFERROR(N134/P134,0))</f>
        <v/>
      </c>
      <c r="R134">
        <f>IF(M134="","",IFERROR(INDEX(Tabela7[QT %],MATCH(M134,Tabela7[PONTO],0)),0))</f>
        <v/>
      </c>
      <c r="S134">
        <f>IF(N134="","",IFERROR(1-ABS(N134-O134)/$B$11,0))</f>
        <v/>
      </c>
      <c r="T134">
        <f>IF(M134="","",IF($B$9&gt;$B$8,IFERROR((INDEX(GERAL[SNAP],121)-$B$8)/($B$9-$B$8),0),0))</f>
        <v/>
      </c>
      <c r="U134">
        <f>IF(OR(M134="",V134&lt;&gt;"ESQUERDO"),"",$L$2*IFERROR(N134/$B$11,0)+$L$3*IF($D$11&gt;0,IFERROR(R134/$D$11,0),0)+$L$4*IFERROR(S134,0)-$L$5*IFERROR(T134,0)-$L$6*MAX(0,IFERROR(Q134,0)-$L$7)+ROW()/1000000)</f>
        <v/>
      </c>
      <c r="V134">
        <f>IFERROR(INDEX(GERAL[LADO],121),"")</f>
        <v/>
      </c>
      <c r="X134">
        <f>IFERROR(INDEX(GERAL[PONTO],101),"")</f>
        <v/>
      </c>
      <c r="Y134">
        <f>IF(X134="","",IFERROR(INDEX(GERAL[ACUMULADA],101),0))</f>
        <v/>
      </c>
      <c r="Z134">
        <f>IF(Y134="","",$B$31-Y134)</f>
        <v/>
      </c>
      <c r="AA134">
        <f>IF(Y134="","",IF(Y134*1.15&lt;=30,30,IF(Y134*1.15&lt;=45,45,IF(Y134*1.15&lt;=75,75,IF(Y134*1.15&lt;=112.5,112.5,IF(Y134*1.15&lt;=150,150,IF(Y134*1.15&lt;=225,225,300)))))))</f>
        <v/>
      </c>
      <c r="AB134">
        <f>IF(AA134="","",IFERROR(Y134/AA134,0))</f>
        <v/>
      </c>
      <c r="AC134">
        <f>IF(X134="","",IFERROR(INDEX(DIR_ATUAL[QT %],MATCH(X134,DIR_ATUAL[PONTO],0)),0))</f>
        <v/>
      </c>
      <c r="AD134">
        <f>IF(Y134="","",IFERROR(1-ABS(Y134-Z134)/$B$31,0))</f>
        <v/>
      </c>
      <c r="AE134">
        <f>IF(X134="","",IF($E$9&gt;$E$8,IFERROR((INDEX(GERAL[SNAP],101)-$E$8)/($E$9-$E$8),0),0))</f>
        <v/>
      </c>
      <c r="AF134">
        <f>IF(OR(X134="",AG134&lt;&gt;"DIREITO"),"",$L$2*IFERROR(Y134/$B$31,0)+$L$3*IF($D$31&gt;0,IFERROR(AC134/$D$31,0),0)+$L$4*IFERROR(AD134,0)-$L$5*IFERROR(AE134,0)-$L$6*MAX(0,IFERROR(AB134,0)-$L$7)+ROW()/1000000)</f>
        <v/>
      </c>
      <c r="AG134">
        <f>IFERROR(INDEX(GERAL[LADO],101),"")</f>
        <v/>
      </c>
    </row>
    <row r="135">
      <c r="M135">
        <f>IFERROR(INDEX(GERAL[PONTO],122),"")</f>
        <v/>
      </c>
      <c r="N135">
        <f>IF(M135="","",IFERROR(INDEX(GERAL[ACUMULADA],122),0))</f>
        <v/>
      </c>
      <c r="O135">
        <f>IF(N135="","",$B$11-N135)</f>
        <v/>
      </c>
      <c r="P135">
        <f>IF(N135="","",IF(N135*1.15&lt;=30,30,IF(N135*1.15&lt;=45,45,IF(N135*1.15&lt;=75,75,IF(N135*1.15&lt;=112.5,112.5,IF(N135*1.15&lt;=150,150,IF(N135*1.15&lt;=225,225,300)))))))</f>
        <v/>
      </c>
      <c r="Q135">
        <f>IF(P135="","",IFERROR(N135/P135,0))</f>
        <v/>
      </c>
      <c r="R135">
        <f>IF(M135="","",IFERROR(INDEX(Tabela7[QT %],MATCH(M135,Tabela7[PONTO],0)),0))</f>
        <v/>
      </c>
      <c r="S135">
        <f>IF(N135="","",IFERROR(1-ABS(N135-O135)/$B$11,0))</f>
        <v/>
      </c>
      <c r="T135">
        <f>IF(M135="","",IF($B$9&gt;$B$8,IFERROR((INDEX(GERAL[SNAP],122)-$B$8)/($B$9-$B$8),0),0))</f>
        <v/>
      </c>
      <c r="U135">
        <f>IF(OR(M135="",V135&lt;&gt;"ESQUERDO"),"",$L$2*IFERROR(N135/$B$11,0)+$L$3*IF($D$11&gt;0,IFERROR(R135/$D$11,0),0)+$L$4*IFERROR(S135,0)-$L$5*IFERROR(T135,0)-$L$6*MAX(0,IFERROR(Q135,0)-$L$7)+ROW()/1000000)</f>
        <v/>
      </c>
      <c r="V135">
        <f>IFERROR(INDEX(GERAL[LADO],122),"")</f>
        <v/>
      </c>
      <c r="X135">
        <f>IFERROR(INDEX(GERAL[PONTO],102),"")</f>
        <v/>
      </c>
      <c r="Y135">
        <f>IF(X135="","",IFERROR(INDEX(GERAL[ACUMULADA],102),0))</f>
        <v/>
      </c>
      <c r="Z135">
        <f>IF(Y135="","",$B$31-Y135)</f>
        <v/>
      </c>
      <c r="AA135">
        <f>IF(Y135="","",IF(Y135*1.15&lt;=30,30,IF(Y135*1.15&lt;=45,45,IF(Y135*1.15&lt;=75,75,IF(Y135*1.15&lt;=112.5,112.5,IF(Y135*1.15&lt;=150,150,IF(Y135*1.15&lt;=225,225,300)))))))</f>
        <v/>
      </c>
      <c r="AB135">
        <f>IF(AA135="","",IFERROR(Y135/AA135,0))</f>
        <v/>
      </c>
      <c r="AC135">
        <f>IF(X135="","",IFERROR(INDEX(DIR_ATUAL[QT %],MATCH(X135,DIR_ATUAL[PONTO],0)),0))</f>
        <v/>
      </c>
      <c r="AD135">
        <f>IF(Y135="","",IFERROR(1-ABS(Y135-Z135)/$B$31,0))</f>
        <v/>
      </c>
      <c r="AE135">
        <f>IF(X135="","",IF($E$9&gt;$E$8,IFERROR((INDEX(GERAL[SNAP],102)-$E$8)/($E$9-$E$8),0),0))</f>
        <v/>
      </c>
      <c r="AF135">
        <f>IF(OR(X135="",AG135&lt;&gt;"DIREITO"),"",$L$2*IFERROR(Y135/$B$31,0)+$L$3*IF($D$31&gt;0,IFERROR(AC135/$D$31,0),0)+$L$4*IFERROR(AD135,0)-$L$5*IFERROR(AE135,0)-$L$6*MAX(0,IFERROR(AB135,0)-$L$7)+ROW()/1000000)</f>
        <v/>
      </c>
      <c r="AG135">
        <f>IFERROR(INDEX(GERAL[LADO],102),"")</f>
        <v/>
      </c>
    </row>
    <row r="136">
      <c r="M136">
        <f>IFERROR(INDEX(GERAL[PONTO],123),"")</f>
        <v/>
      </c>
      <c r="N136">
        <f>IF(M136="","",IFERROR(INDEX(GERAL[ACUMULADA],123),0))</f>
        <v/>
      </c>
      <c r="O136">
        <f>IF(N136="","",$B$11-N136)</f>
        <v/>
      </c>
      <c r="P136">
        <f>IF(N136="","",IF(N136*1.15&lt;=30,30,IF(N136*1.15&lt;=45,45,IF(N136*1.15&lt;=75,75,IF(N136*1.15&lt;=112.5,112.5,IF(N136*1.15&lt;=150,150,IF(N136*1.15&lt;=225,225,300)))))))</f>
        <v/>
      </c>
      <c r="Q136">
        <f>IF(P136="","",IFERROR(N136/P136,0))</f>
        <v/>
      </c>
      <c r="R136">
        <f>IF(M136="","",IFERROR(INDEX(Tabela7[QT %],MATCH(M136,Tabela7[PONTO],0)),0))</f>
        <v/>
      </c>
      <c r="S136">
        <f>IF(N136="","",IFERROR(1-ABS(N136-O136)/$B$11,0))</f>
        <v/>
      </c>
      <c r="T136">
        <f>IF(M136="","",IF($B$9&gt;$B$8,IFERROR((INDEX(GERAL[SNAP],123)-$B$8)/($B$9-$B$8),0),0))</f>
        <v/>
      </c>
      <c r="U136">
        <f>IF(OR(M136="",V136&lt;&gt;"ESQUERDO"),"",$L$2*IFERROR(N136/$B$11,0)+$L$3*IF($D$11&gt;0,IFERROR(R136/$D$11,0),0)+$L$4*IFERROR(S136,0)-$L$5*IFERROR(T136,0)-$L$6*MAX(0,IFERROR(Q136,0)-$L$7)+ROW()/1000000)</f>
        <v/>
      </c>
      <c r="V136">
        <f>IFERROR(INDEX(GERAL[LADO],123),"")</f>
        <v/>
      </c>
      <c r="X136">
        <f>IFERROR(INDEX(GERAL[PONTO],103),"")</f>
        <v/>
      </c>
      <c r="Y136">
        <f>IF(X136="","",IFERROR(INDEX(GERAL[ACUMULADA],103),0))</f>
        <v/>
      </c>
      <c r="Z136">
        <f>IF(Y136="","",$B$31-Y136)</f>
        <v/>
      </c>
      <c r="AA136">
        <f>IF(Y136="","",IF(Y136*1.15&lt;=30,30,IF(Y136*1.15&lt;=45,45,IF(Y136*1.15&lt;=75,75,IF(Y136*1.15&lt;=112.5,112.5,IF(Y136*1.15&lt;=150,150,IF(Y136*1.15&lt;=225,225,300)))))))</f>
        <v/>
      </c>
      <c r="AB136">
        <f>IF(AA136="","",IFERROR(Y136/AA136,0))</f>
        <v/>
      </c>
      <c r="AC136">
        <f>IF(X136="","",IFERROR(INDEX(DIR_ATUAL[QT %],MATCH(X136,DIR_ATUAL[PONTO],0)),0))</f>
        <v/>
      </c>
      <c r="AD136">
        <f>IF(Y136="","",IFERROR(1-ABS(Y136-Z136)/$B$31,0))</f>
        <v/>
      </c>
      <c r="AE136">
        <f>IF(X136="","",IF($E$9&gt;$E$8,IFERROR((INDEX(GERAL[SNAP],103)-$E$8)/($E$9-$E$8),0),0))</f>
        <v/>
      </c>
      <c r="AF136">
        <f>IF(OR(X136="",AG136&lt;&gt;"DIREITO"),"",$L$2*IFERROR(Y136/$B$31,0)+$L$3*IF($D$31&gt;0,IFERROR(AC136/$D$31,0),0)+$L$4*IFERROR(AD136,0)-$L$5*IFERROR(AE136,0)-$L$6*MAX(0,IFERROR(AB136,0)-$L$7)+ROW()/1000000)</f>
        <v/>
      </c>
      <c r="AG136">
        <f>IFERROR(INDEX(GERAL[LADO],103),"")</f>
        <v/>
      </c>
    </row>
    <row r="137">
      <c r="M137">
        <f>IFERROR(INDEX(GERAL[PONTO],124),"")</f>
        <v/>
      </c>
      <c r="N137">
        <f>IF(M137="","",IFERROR(INDEX(GERAL[ACUMULADA],124),0))</f>
        <v/>
      </c>
      <c r="O137">
        <f>IF(N137="","",$B$11-N137)</f>
        <v/>
      </c>
      <c r="P137">
        <f>IF(N137="","",IF(N137*1.15&lt;=30,30,IF(N137*1.15&lt;=45,45,IF(N137*1.15&lt;=75,75,IF(N137*1.15&lt;=112.5,112.5,IF(N137*1.15&lt;=150,150,IF(N137*1.15&lt;=225,225,300)))))))</f>
        <v/>
      </c>
      <c r="Q137">
        <f>IF(P137="","",IFERROR(N137/P137,0))</f>
        <v/>
      </c>
      <c r="R137">
        <f>IF(M137="","",IFERROR(INDEX(Tabela7[QT %],MATCH(M137,Tabela7[PONTO],0)),0))</f>
        <v/>
      </c>
      <c r="S137">
        <f>IF(N137="","",IFERROR(1-ABS(N137-O137)/$B$11,0))</f>
        <v/>
      </c>
      <c r="T137">
        <f>IF(M137="","",IF($B$9&gt;$B$8,IFERROR((INDEX(GERAL[SNAP],124)-$B$8)/($B$9-$B$8),0),0))</f>
        <v/>
      </c>
      <c r="U137">
        <f>IF(OR(M137="",V137&lt;&gt;"ESQUERDO"),"",$L$2*IFERROR(N137/$B$11,0)+$L$3*IF($D$11&gt;0,IFERROR(R137/$D$11,0),0)+$L$4*IFERROR(S137,0)-$L$5*IFERROR(T137,0)-$L$6*MAX(0,IFERROR(Q137,0)-$L$7)+ROW()/1000000)</f>
        <v/>
      </c>
      <c r="V137">
        <f>IFERROR(INDEX(GERAL[LADO],124),"")</f>
        <v/>
      </c>
      <c r="X137">
        <f>IFERROR(INDEX(GERAL[PONTO],104),"")</f>
        <v/>
      </c>
      <c r="Y137">
        <f>IF(X137="","",IFERROR(INDEX(GERAL[ACUMULADA],104),0))</f>
        <v/>
      </c>
      <c r="Z137">
        <f>IF(Y137="","",$B$31-Y137)</f>
        <v/>
      </c>
      <c r="AA137">
        <f>IF(Y137="","",IF(Y137*1.15&lt;=30,30,IF(Y137*1.15&lt;=45,45,IF(Y137*1.15&lt;=75,75,IF(Y137*1.15&lt;=112.5,112.5,IF(Y137*1.15&lt;=150,150,IF(Y137*1.15&lt;=225,225,300)))))))</f>
        <v/>
      </c>
      <c r="AB137">
        <f>IF(AA137="","",IFERROR(Y137/AA137,0))</f>
        <v/>
      </c>
      <c r="AC137">
        <f>IF(X137="","",IFERROR(INDEX(DIR_ATUAL[QT %],MATCH(X137,DIR_ATUAL[PONTO],0)),0))</f>
        <v/>
      </c>
      <c r="AD137">
        <f>IF(Y137="","",IFERROR(1-ABS(Y137-Z137)/$B$31,0))</f>
        <v/>
      </c>
      <c r="AE137">
        <f>IF(X137="","",IF($E$9&gt;$E$8,IFERROR((INDEX(GERAL[SNAP],104)-$E$8)/($E$9-$E$8),0),0))</f>
        <v/>
      </c>
      <c r="AF137">
        <f>IF(OR(X137="",AG137&lt;&gt;"DIREITO"),"",$L$2*IFERROR(Y137/$B$31,0)+$L$3*IF($D$31&gt;0,IFERROR(AC137/$D$31,0),0)+$L$4*IFERROR(AD137,0)-$L$5*IFERROR(AE137,0)-$L$6*MAX(0,IFERROR(AB137,0)-$L$7)+ROW()/1000000)</f>
        <v/>
      </c>
      <c r="AG137">
        <f>IFERROR(INDEX(GERAL[LADO],104),"")</f>
        <v/>
      </c>
    </row>
    <row r="138">
      <c r="M138">
        <f>IFERROR(INDEX(GERAL[PONTO],125),"")</f>
        <v/>
      </c>
      <c r="N138">
        <f>IF(M138="","",IFERROR(INDEX(GERAL[ACUMULADA],125),0))</f>
        <v/>
      </c>
      <c r="O138">
        <f>IF(N138="","",$B$11-N138)</f>
        <v/>
      </c>
      <c r="P138">
        <f>IF(N138="","",IF(N138*1.15&lt;=30,30,IF(N138*1.15&lt;=45,45,IF(N138*1.15&lt;=75,75,IF(N138*1.15&lt;=112.5,112.5,IF(N138*1.15&lt;=150,150,IF(N138*1.15&lt;=225,225,300)))))))</f>
        <v/>
      </c>
      <c r="Q138">
        <f>IF(P138="","",IFERROR(N138/P138,0))</f>
        <v/>
      </c>
      <c r="R138">
        <f>IF(M138="","",IFERROR(INDEX(Tabela7[QT %],MATCH(M138,Tabela7[PONTO],0)),0))</f>
        <v/>
      </c>
      <c r="S138">
        <f>IF(N138="","",IFERROR(1-ABS(N138-O138)/$B$11,0))</f>
        <v/>
      </c>
      <c r="T138">
        <f>IF(M138="","",IF($B$9&gt;$B$8,IFERROR((INDEX(GERAL[SNAP],125)-$B$8)/($B$9-$B$8),0),0))</f>
        <v/>
      </c>
      <c r="U138">
        <f>IF(OR(M138="",V138&lt;&gt;"ESQUERDO"),"",$L$2*IFERROR(N138/$B$11,0)+$L$3*IF($D$11&gt;0,IFERROR(R138/$D$11,0),0)+$L$4*IFERROR(S138,0)-$L$5*IFERROR(T138,0)-$L$6*MAX(0,IFERROR(Q138,0)-$L$7)+ROW()/1000000)</f>
        <v/>
      </c>
      <c r="V138">
        <f>IFERROR(INDEX(GERAL[LADO],125),"")</f>
        <v/>
      </c>
      <c r="X138">
        <f>IFERROR(INDEX(GERAL[PONTO],105),"")</f>
        <v/>
      </c>
      <c r="Y138">
        <f>IF(X138="","",IFERROR(INDEX(GERAL[ACUMULADA],105),0))</f>
        <v/>
      </c>
      <c r="Z138">
        <f>IF(Y138="","",$B$31-Y138)</f>
        <v/>
      </c>
      <c r="AA138">
        <f>IF(Y138="","",IF(Y138*1.15&lt;=30,30,IF(Y138*1.15&lt;=45,45,IF(Y138*1.15&lt;=75,75,IF(Y138*1.15&lt;=112.5,112.5,IF(Y138*1.15&lt;=150,150,IF(Y138*1.15&lt;=225,225,300)))))))</f>
        <v/>
      </c>
      <c r="AB138">
        <f>IF(AA138="","",IFERROR(Y138/AA138,0))</f>
        <v/>
      </c>
      <c r="AC138">
        <f>IF(X138="","",IFERROR(INDEX(DIR_ATUAL[QT %],MATCH(X138,DIR_ATUAL[PONTO],0)),0))</f>
        <v/>
      </c>
      <c r="AD138">
        <f>IF(Y138="","",IFERROR(1-ABS(Y138-Z138)/$B$31,0))</f>
        <v/>
      </c>
      <c r="AE138">
        <f>IF(X138="","",IF($E$9&gt;$E$8,IFERROR((INDEX(GERAL[SNAP],105)-$E$8)/($E$9-$E$8),0),0))</f>
        <v/>
      </c>
      <c r="AF138">
        <f>IF(OR(X138="",AG138&lt;&gt;"DIREITO"),"",$L$2*IFERROR(Y138/$B$31,0)+$L$3*IF($D$31&gt;0,IFERROR(AC138/$D$31,0),0)+$L$4*IFERROR(AD138,0)-$L$5*IFERROR(AE138,0)-$L$6*MAX(0,IFERROR(AB138,0)-$L$7)+ROW()/1000000)</f>
        <v/>
      </c>
      <c r="AG138">
        <f>IFERROR(INDEX(GERAL[LADO],105),"")</f>
        <v/>
      </c>
    </row>
    <row r="139">
      <c r="M139">
        <f>IFERROR(INDEX(GERAL[PONTO],126),"")</f>
        <v/>
      </c>
      <c r="N139">
        <f>IF(M139="","",IFERROR(INDEX(GERAL[ACUMULADA],126),0))</f>
        <v/>
      </c>
      <c r="O139">
        <f>IF(N139="","",$B$11-N139)</f>
        <v/>
      </c>
      <c r="P139">
        <f>IF(N139="","",IF(N139*1.15&lt;=30,30,IF(N139*1.15&lt;=45,45,IF(N139*1.15&lt;=75,75,IF(N139*1.15&lt;=112.5,112.5,IF(N139*1.15&lt;=150,150,IF(N139*1.15&lt;=225,225,300)))))))</f>
        <v/>
      </c>
      <c r="Q139">
        <f>IF(P139="","",IFERROR(N139/P139,0))</f>
        <v/>
      </c>
      <c r="R139">
        <f>IF(M139="","",IFERROR(INDEX(Tabela7[QT %],MATCH(M139,Tabela7[PONTO],0)),0))</f>
        <v/>
      </c>
      <c r="S139">
        <f>IF(N139="","",IFERROR(1-ABS(N139-O139)/$B$11,0))</f>
        <v/>
      </c>
      <c r="T139">
        <f>IF(M139="","",IF($B$9&gt;$B$8,IFERROR((INDEX(GERAL[SNAP],126)-$B$8)/($B$9-$B$8),0),0))</f>
        <v/>
      </c>
      <c r="U139">
        <f>IF(OR(M139="",V139&lt;&gt;"ESQUERDO"),"",$L$2*IFERROR(N139/$B$11,0)+$L$3*IF($D$11&gt;0,IFERROR(R139/$D$11,0),0)+$L$4*IFERROR(S139,0)-$L$5*IFERROR(T139,0)-$L$6*MAX(0,IFERROR(Q139,0)-$L$7)+ROW()/1000000)</f>
        <v/>
      </c>
      <c r="V139">
        <f>IFERROR(INDEX(GERAL[LADO],126),"")</f>
        <v/>
      </c>
      <c r="X139">
        <f>IFERROR(INDEX(GERAL[PONTO],106),"")</f>
        <v/>
      </c>
      <c r="Y139">
        <f>IF(X139="","",IFERROR(INDEX(GERAL[ACUMULADA],106),0))</f>
        <v/>
      </c>
      <c r="Z139">
        <f>IF(Y139="","",$B$31-Y139)</f>
        <v/>
      </c>
      <c r="AA139">
        <f>IF(Y139="","",IF(Y139*1.15&lt;=30,30,IF(Y139*1.15&lt;=45,45,IF(Y139*1.15&lt;=75,75,IF(Y139*1.15&lt;=112.5,112.5,IF(Y139*1.15&lt;=150,150,IF(Y139*1.15&lt;=225,225,300)))))))</f>
        <v/>
      </c>
      <c r="AB139">
        <f>IF(AA139="","",IFERROR(Y139/AA139,0))</f>
        <v/>
      </c>
      <c r="AC139">
        <f>IF(X139="","",IFERROR(INDEX(DIR_ATUAL[QT %],MATCH(X139,DIR_ATUAL[PONTO],0)),0))</f>
        <v/>
      </c>
      <c r="AD139">
        <f>IF(Y139="","",IFERROR(1-ABS(Y139-Z139)/$B$31,0))</f>
        <v/>
      </c>
      <c r="AE139">
        <f>IF(X139="","",IF($E$9&gt;$E$8,IFERROR((INDEX(GERAL[SNAP],106)-$E$8)/($E$9-$E$8),0),0))</f>
        <v/>
      </c>
      <c r="AF139">
        <f>IF(OR(X139="",AG139&lt;&gt;"DIREITO"),"",$L$2*IFERROR(Y139/$B$31,0)+$L$3*IF($D$31&gt;0,IFERROR(AC139/$D$31,0),0)+$L$4*IFERROR(AD139,0)-$L$5*IFERROR(AE139,0)-$L$6*MAX(0,IFERROR(AB139,0)-$L$7)+ROW()/1000000)</f>
        <v/>
      </c>
      <c r="AG139">
        <f>IFERROR(INDEX(GERAL[LADO],106),"")</f>
        <v/>
      </c>
    </row>
    <row r="140">
      <c r="M140">
        <f>IFERROR(INDEX(GERAL[PONTO],127),"")</f>
        <v/>
      </c>
      <c r="N140">
        <f>IF(M140="","",IFERROR(INDEX(GERAL[ACUMULADA],127),0))</f>
        <v/>
      </c>
      <c r="O140">
        <f>IF(N140="","",$B$11-N140)</f>
        <v/>
      </c>
      <c r="P140">
        <f>IF(N140="","",IF(N140*1.15&lt;=30,30,IF(N140*1.15&lt;=45,45,IF(N140*1.15&lt;=75,75,IF(N140*1.15&lt;=112.5,112.5,IF(N140*1.15&lt;=150,150,IF(N140*1.15&lt;=225,225,300)))))))</f>
        <v/>
      </c>
      <c r="Q140">
        <f>IF(P140="","",IFERROR(N140/P140,0))</f>
        <v/>
      </c>
      <c r="R140">
        <f>IF(M140="","",IFERROR(INDEX(Tabela7[QT %],MATCH(M140,Tabela7[PONTO],0)),0))</f>
        <v/>
      </c>
      <c r="S140">
        <f>IF(N140="","",IFERROR(1-ABS(N140-O140)/$B$11,0))</f>
        <v/>
      </c>
      <c r="T140">
        <f>IF(M140="","",IF($B$9&gt;$B$8,IFERROR((INDEX(GERAL[SNAP],127)-$B$8)/($B$9-$B$8),0),0))</f>
        <v/>
      </c>
      <c r="U140">
        <f>IF(OR(M140="",V140&lt;&gt;"ESQUERDO"),"",$L$2*IFERROR(N140/$B$11,0)+$L$3*IF($D$11&gt;0,IFERROR(R140/$D$11,0),0)+$L$4*IFERROR(S140,0)-$L$5*IFERROR(T140,0)-$L$6*MAX(0,IFERROR(Q140,0)-$L$7)+ROW()/1000000)</f>
        <v/>
      </c>
      <c r="V140">
        <f>IFERROR(INDEX(GERAL[LADO],127),"")</f>
        <v/>
      </c>
      <c r="X140">
        <f>IFERROR(INDEX(GERAL[PONTO],107),"")</f>
        <v/>
      </c>
      <c r="Y140">
        <f>IF(X140="","",IFERROR(INDEX(GERAL[ACUMULADA],107),0))</f>
        <v/>
      </c>
      <c r="Z140">
        <f>IF(Y140="","",$B$31-Y140)</f>
        <v/>
      </c>
      <c r="AA140">
        <f>IF(Y140="","",IF(Y140*1.15&lt;=30,30,IF(Y140*1.15&lt;=45,45,IF(Y140*1.15&lt;=75,75,IF(Y140*1.15&lt;=112.5,112.5,IF(Y140*1.15&lt;=150,150,IF(Y140*1.15&lt;=225,225,300)))))))</f>
        <v/>
      </c>
      <c r="AB140">
        <f>IF(AA140="","",IFERROR(Y140/AA140,0))</f>
        <v/>
      </c>
      <c r="AC140">
        <f>IF(X140="","",IFERROR(INDEX(DIR_ATUAL[QT %],MATCH(X140,DIR_ATUAL[PONTO],0)),0))</f>
        <v/>
      </c>
      <c r="AD140">
        <f>IF(Y140="","",IFERROR(1-ABS(Y140-Z140)/$B$31,0))</f>
        <v/>
      </c>
      <c r="AE140">
        <f>IF(X140="","",IF($E$9&gt;$E$8,IFERROR((INDEX(GERAL[SNAP],107)-$E$8)/($E$9-$E$8),0),0))</f>
        <v/>
      </c>
      <c r="AF140">
        <f>IF(OR(X140="",AG140&lt;&gt;"DIREITO"),"",$L$2*IFERROR(Y140/$B$31,0)+$L$3*IF($D$31&gt;0,IFERROR(AC140/$D$31,0),0)+$L$4*IFERROR(AD140,0)-$L$5*IFERROR(AE140,0)-$L$6*MAX(0,IFERROR(AB140,0)-$L$7)+ROW()/1000000)</f>
        <v/>
      </c>
      <c r="AG140">
        <f>IFERROR(INDEX(GERAL[LADO],107),"")</f>
        <v/>
      </c>
    </row>
    <row r="141">
      <c r="M141">
        <f>IFERROR(INDEX(GERAL[PONTO],128),"")</f>
        <v/>
      </c>
      <c r="N141">
        <f>IF(M141="","",IFERROR(INDEX(GERAL[ACUMULADA],128),0))</f>
        <v/>
      </c>
      <c r="O141">
        <f>IF(N141="","",$B$11-N141)</f>
        <v/>
      </c>
      <c r="P141">
        <f>IF(N141="","",IF(N141*1.15&lt;=30,30,IF(N141*1.15&lt;=45,45,IF(N141*1.15&lt;=75,75,IF(N141*1.15&lt;=112.5,112.5,IF(N141*1.15&lt;=150,150,IF(N141*1.15&lt;=225,225,300)))))))</f>
        <v/>
      </c>
      <c r="Q141">
        <f>IF(P141="","",IFERROR(N141/P141,0))</f>
        <v/>
      </c>
      <c r="R141">
        <f>IF(M141="","",IFERROR(INDEX(Tabela7[QT %],MATCH(M141,Tabela7[PONTO],0)),0))</f>
        <v/>
      </c>
      <c r="S141">
        <f>IF(N141="","",IFERROR(1-ABS(N141-O141)/$B$11,0))</f>
        <v/>
      </c>
      <c r="T141">
        <f>IF(M141="","",IF($B$9&gt;$B$8,IFERROR((INDEX(GERAL[SNAP],128)-$B$8)/($B$9-$B$8),0),0))</f>
        <v/>
      </c>
      <c r="U141">
        <f>IF(OR(M141="",V141&lt;&gt;"ESQUERDO"),"",$L$2*IFERROR(N141/$B$11,0)+$L$3*IF($D$11&gt;0,IFERROR(R141/$D$11,0),0)+$L$4*IFERROR(S141,0)-$L$5*IFERROR(T141,0)-$L$6*MAX(0,IFERROR(Q141,0)-$L$7)+ROW()/1000000)</f>
        <v/>
      </c>
      <c r="V141">
        <f>IFERROR(INDEX(GERAL[LADO],128),"")</f>
        <v/>
      </c>
      <c r="X141">
        <f>IFERROR(INDEX(GERAL[PONTO],108),"")</f>
        <v/>
      </c>
      <c r="Y141">
        <f>IF(X141="","",IFERROR(INDEX(GERAL[ACUMULADA],108),0))</f>
        <v/>
      </c>
      <c r="Z141">
        <f>IF(Y141="","",$B$31-Y141)</f>
        <v/>
      </c>
      <c r="AA141">
        <f>IF(Y141="","",IF(Y141*1.15&lt;=30,30,IF(Y141*1.15&lt;=45,45,IF(Y141*1.15&lt;=75,75,IF(Y141*1.15&lt;=112.5,112.5,IF(Y141*1.15&lt;=150,150,IF(Y141*1.15&lt;=225,225,300)))))))</f>
        <v/>
      </c>
      <c r="AB141">
        <f>IF(AA141="","",IFERROR(Y141/AA141,0))</f>
        <v/>
      </c>
      <c r="AC141">
        <f>IF(X141="","",IFERROR(INDEX(DIR_ATUAL[QT %],MATCH(X141,DIR_ATUAL[PONTO],0)),0))</f>
        <v/>
      </c>
      <c r="AD141">
        <f>IF(Y141="","",IFERROR(1-ABS(Y141-Z141)/$B$31,0))</f>
        <v/>
      </c>
      <c r="AE141">
        <f>IF(X141="","",IF($E$9&gt;$E$8,IFERROR((INDEX(GERAL[SNAP],108)-$E$8)/($E$9-$E$8),0),0))</f>
        <v/>
      </c>
      <c r="AF141">
        <f>IF(OR(X141="",AG141&lt;&gt;"DIREITO"),"",$L$2*IFERROR(Y141/$B$31,0)+$L$3*IF($D$31&gt;0,IFERROR(AC141/$D$31,0),0)+$L$4*IFERROR(AD141,0)-$L$5*IFERROR(AE141,0)-$L$6*MAX(0,IFERROR(AB141,0)-$L$7)+ROW()/1000000)</f>
        <v/>
      </c>
      <c r="AG141">
        <f>IFERROR(INDEX(GERAL[LADO],108),"")</f>
        <v/>
      </c>
    </row>
    <row r="142">
      <c r="M142">
        <f>IFERROR(INDEX(GERAL[PONTO],129),"")</f>
        <v/>
      </c>
      <c r="N142">
        <f>IF(M142="","",IFERROR(INDEX(GERAL[ACUMULADA],129),0))</f>
        <v/>
      </c>
      <c r="O142">
        <f>IF(N142="","",$B$11-N142)</f>
        <v/>
      </c>
      <c r="P142">
        <f>IF(N142="","",IF(N142*1.15&lt;=30,30,IF(N142*1.15&lt;=45,45,IF(N142*1.15&lt;=75,75,IF(N142*1.15&lt;=112.5,112.5,IF(N142*1.15&lt;=150,150,IF(N142*1.15&lt;=225,225,300)))))))</f>
        <v/>
      </c>
      <c r="Q142">
        <f>IF(P142="","",IFERROR(N142/P142,0))</f>
        <v/>
      </c>
      <c r="R142">
        <f>IF(M142="","",IFERROR(INDEX(Tabela7[QT %],MATCH(M142,Tabela7[PONTO],0)),0))</f>
        <v/>
      </c>
      <c r="S142">
        <f>IF(N142="","",IFERROR(1-ABS(N142-O142)/$B$11,0))</f>
        <v/>
      </c>
      <c r="T142">
        <f>IF(M142="","",IF($B$9&gt;$B$8,IFERROR((INDEX(GERAL[SNAP],129)-$B$8)/($B$9-$B$8),0),0))</f>
        <v/>
      </c>
      <c r="U142">
        <f>IF(OR(M142="",V142&lt;&gt;"ESQUERDO"),"",$L$2*IFERROR(N142/$B$11,0)+$L$3*IF($D$11&gt;0,IFERROR(R142/$D$11,0),0)+$L$4*IFERROR(S142,0)-$L$5*IFERROR(T142,0)-$L$6*MAX(0,IFERROR(Q142,0)-$L$7)+ROW()/1000000)</f>
        <v/>
      </c>
      <c r="V142">
        <f>IFERROR(INDEX(GERAL[LADO],129),"")</f>
        <v/>
      </c>
      <c r="X142">
        <f>IFERROR(INDEX(GERAL[PONTO],109),"")</f>
        <v/>
      </c>
      <c r="Y142">
        <f>IF(X142="","",IFERROR(INDEX(GERAL[ACUMULADA],109),0))</f>
        <v/>
      </c>
      <c r="Z142">
        <f>IF(Y142="","",$B$31-Y142)</f>
        <v/>
      </c>
      <c r="AA142">
        <f>IF(Y142="","",IF(Y142*1.15&lt;=30,30,IF(Y142*1.15&lt;=45,45,IF(Y142*1.15&lt;=75,75,IF(Y142*1.15&lt;=112.5,112.5,IF(Y142*1.15&lt;=150,150,IF(Y142*1.15&lt;=225,225,300)))))))</f>
        <v/>
      </c>
      <c r="AB142">
        <f>IF(AA142="","",IFERROR(Y142/AA142,0))</f>
        <v/>
      </c>
      <c r="AC142">
        <f>IF(X142="","",IFERROR(INDEX(DIR_ATUAL[QT %],MATCH(X142,DIR_ATUAL[PONTO],0)),0))</f>
        <v/>
      </c>
      <c r="AD142">
        <f>IF(Y142="","",IFERROR(1-ABS(Y142-Z142)/$B$31,0))</f>
        <v/>
      </c>
      <c r="AE142">
        <f>IF(X142="","",IF($E$9&gt;$E$8,IFERROR((INDEX(GERAL[SNAP],109)-$E$8)/($E$9-$E$8),0),0))</f>
        <v/>
      </c>
      <c r="AF142">
        <f>IF(OR(X142="",AG142&lt;&gt;"DIREITO"),"",$L$2*IFERROR(Y142/$B$31,0)+$L$3*IF($D$31&gt;0,IFERROR(AC142/$D$31,0),0)+$L$4*IFERROR(AD142,0)-$L$5*IFERROR(AE142,0)-$L$6*MAX(0,IFERROR(AB142,0)-$L$7)+ROW()/1000000)</f>
        <v/>
      </c>
      <c r="AG142">
        <f>IFERROR(INDEX(GERAL[LADO],109),"")</f>
        <v/>
      </c>
    </row>
    <row r="143">
      <c r="M143">
        <f>IFERROR(INDEX(GERAL[PONTO],130),"")</f>
        <v/>
      </c>
      <c r="N143">
        <f>IF(M143="","",IFERROR(INDEX(GERAL[ACUMULADA],130),0))</f>
        <v/>
      </c>
      <c r="O143">
        <f>IF(N143="","",$B$11-N143)</f>
        <v/>
      </c>
      <c r="P143">
        <f>IF(N143="","",IF(N143*1.15&lt;=30,30,IF(N143*1.15&lt;=45,45,IF(N143*1.15&lt;=75,75,IF(N143*1.15&lt;=112.5,112.5,IF(N143*1.15&lt;=150,150,IF(N143*1.15&lt;=225,225,300)))))))</f>
        <v/>
      </c>
      <c r="Q143">
        <f>IF(P143="","",IFERROR(N143/P143,0))</f>
        <v/>
      </c>
      <c r="R143">
        <f>IF(M143="","",IFERROR(INDEX(Tabela7[QT %],MATCH(M143,Tabela7[PONTO],0)),0))</f>
        <v/>
      </c>
      <c r="S143">
        <f>IF(N143="","",IFERROR(1-ABS(N143-O143)/$B$11,0))</f>
        <v/>
      </c>
      <c r="T143">
        <f>IF(M143="","",IF($B$9&gt;$B$8,IFERROR((INDEX(GERAL[SNAP],130)-$B$8)/($B$9-$B$8),0),0))</f>
        <v/>
      </c>
      <c r="U143">
        <f>IF(OR(M143="",V143&lt;&gt;"ESQUERDO"),"",$L$2*IFERROR(N143/$B$11,0)+$L$3*IF($D$11&gt;0,IFERROR(R143/$D$11,0),0)+$L$4*IFERROR(S143,0)-$L$5*IFERROR(T143,0)-$L$6*MAX(0,IFERROR(Q143,0)-$L$7)+ROW()/1000000)</f>
        <v/>
      </c>
      <c r="V143">
        <f>IFERROR(INDEX(GERAL[LADO],130),"")</f>
        <v/>
      </c>
      <c r="X143">
        <f>IFERROR(INDEX(GERAL[PONTO],110),"")</f>
        <v/>
      </c>
      <c r="Y143">
        <f>IF(X143="","",IFERROR(INDEX(GERAL[ACUMULADA],110),0))</f>
        <v/>
      </c>
      <c r="Z143">
        <f>IF(Y143="","",$B$31-Y143)</f>
        <v/>
      </c>
      <c r="AA143">
        <f>IF(Y143="","",IF(Y143*1.15&lt;=30,30,IF(Y143*1.15&lt;=45,45,IF(Y143*1.15&lt;=75,75,IF(Y143*1.15&lt;=112.5,112.5,IF(Y143*1.15&lt;=150,150,IF(Y143*1.15&lt;=225,225,300)))))))</f>
        <v/>
      </c>
      <c r="AB143">
        <f>IF(AA143="","",IFERROR(Y143/AA143,0))</f>
        <v/>
      </c>
      <c r="AC143">
        <f>IF(X143="","",IFERROR(INDEX(DIR_ATUAL[QT %],MATCH(X143,DIR_ATUAL[PONTO],0)),0))</f>
        <v/>
      </c>
      <c r="AD143">
        <f>IF(Y143="","",IFERROR(1-ABS(Y143-Z143)/$B$31,0))</f>
        <v/>
      </c>
      <c r="AE143">
        <f>IF(X143="","",IF($E$9&gt;$E$8,IFERROR((INDEX(GERAL[SNAP],110)-$E$8)/($E$9-$E$8),0),0))</f>
        <v/>
      </c>
      <c r="AF143">
        <f>IF(OR(X143="",AG143&lt;&gt;"DIREITO"),"",$L$2*IFERROR(Y143/$B$31,0)+$L$3*IF($D$31&gt;0,IFERROR(AC143/$D$31,0),0)+$L$4*IFERROR(AD143,0)-$L$5*IFERROR(AE143,0)-$L$6*MAX(0,IFERROR(AB143,0)-$L$7)+ROW()/1000000)</f>
        <v/>
      </c>
      <c r="AG143">
        <f>IFERROR(INDEX(GERAL[LADO],110),"")</f>
        <v/>
      </c>
    </row>
    <row r="144">
      <c r="M144">
        <f>IFERROR(INDEX(GERAL[PONTO],131),"")</f>
        <v/>
      </c>
      <c r="N144">
        <f>IF(M144="","",IFERROR(INDEX(GERAL[ACUMULADA],131),0))</f>
        <v/>
      </c>
      <c r="O144">
        <f>IF(N144="","",$B$11-N144)</f>
        <v/>
      </c>
      <c r="P144">
        <f>IF(N144="","",IF(N144*1.15&lt;=30,30,IF(N144*1.15&lt;=45,45,IF(N144*1.15&lt;=75,75,IF(N144*1.15&lt;=112.5,112.5,IF(N144*1.15&lt;=150,150,IF(N144*1.15&lt;=225,225,300)))))))</f>
        <v/>
      </c>
      <c r="Q144">
        <f>IF(P144="","",IFERROR(N144/P144,0))</f>
        <v/>
      </c>
      <c r="R144">
        <f>IF(M144="","",IFERROR(INDEX(Tabela7[QT %],MATCH(M144,Tabela7[PONTO],0)),0))</f>
        <v/>
      </c>
      <c r="S144">
        <f>IF(N144="","",IFERROR(1-ABS(N144-O144)/$B$11,0))</f>
        <v/>
      </c>
      <c r="T144">
        <f>IF(M144="","",IF($B$9&gt;$B$8,IFERROR((INDEX(GERAL[SNAP],131)-$B$8)/($B$9-$B$8),0),0))</f>
        <v/>
      </c>
      <c r="U144">
        <f>IF(OR(M144="",V144&lt;&gt;"ESQUERDO"),"",$L$2*IFERROR(N144/$B$11,0)+$L$3*IF($D$11&gt;0,IFERROR(R144/$D$11,0),0)+$L$4*IFERROR(S144,0)-$L$5*IFERROR(T144,0)-$L$6*MAX(0,IFERROR(Q144,0)-$L$7)+ROW()/1000000)</f>
        <v/>
      </c>
      <c r="V144">
        <f>IFERROR(INDEX(GERAL[LADO],131),"")</f>
        <v/>
      </c>
      <c r="X144">
        <f>IFERROR(INDEX(GERAL[PONTO],111),"")</f>
        <v/>
      </c>
      <c r="Y144">
        <f>IF(X144="","",IFERROR(INDEX(GERAL[ACUMULADA],111),0))</f>
        <v/>
      </c>
      <c r="Z144">
        <f>IF(Y144="","",$B$31-Y144)</f>
        <v/>
      </c>
      <c r="AA144">
        <f>IF(Y144="","",IF(Y144*1.15&lt;=30,30,IF(Y144*1.15&lt;=45,45,IF(Y144*1.15&lt;=75,75,IF(Y144*1.15&lt;=112.5,112.5,IF(Y144*1.15&lt;=150,150,IF(Y144*1.15&lt;=225,225,300)))))))</f>
        <v/>
      </c>
      <c r="AB144">
        <f>IF(AA144="","",IFERROR(Y144/AA144,0))</f>
        <v/>
      </c>
      <c r="AC144">
        <f>IF(X144="","",IFERROR(INDEX(DIR_ATUAL[QT %],MATCH(X144,DIR_ATUAL[PONTO],0)),0))</f>
        <v/>
      </c>
      <c r="AD144">
        <f>IF(Y144="","",IFERROR(1-ABS(Y144-Z144)/$B$31,0))</f>
        <v/>
      </c>
      <c r="AE144">
        <f>IF(X144="","",IF($E$9&gt;$E$8,IFERROR((INDEX(GERAL[SNAP],111)-$E$8)/($E$9-$E$8),0),0))</f>
        <v/>
      </c>
      <c r="AF144">
        <f>IF(OR(X144="",AG144&lt;&gt;"DIREITO"),"",$L$2*IFERROR(Y144/$B$31,0)+$L$3*IF($D$31&gt;0,IFERROR(AC144/$D$31,0),0)+$L$4*IFERROR(AD144,0)-$L$5*IFERROR(AE144,0)-$L$6*MAX(0,IFERROR(AB144,0)-$L$7)+ROW()/1000000)</f>
        <v/>
      </c>
      <c r="AG144">
        <f>IFERROR(INDEX(GERAL[LADO],111),"")</f>
        <v/>
      </c>
    </row>
    <row r="145">
      <c r="M145">
        <f>IFERROR(INDEX(GERAL[PONTO],132),"")</f>
        <v/>
      </c>
      <c r="N145">
        <f>IF(M145="","",IFERROR(INDEX(GERAL[ACUMULADA],132),0))</f>
        <v/>
      </c>
      <c r="O145">
        <f>IF(N145="","",$B$11-N145)</f>
        <v/>
      </c>
      <c r="P145">
        <f>IF(N145="","",IF(N145*1.15&lt;=30,30,IF(N145*1.15&lt;=45,45,IF(N145*1.15&lt;=75,75,IF(N145*1.15&lt;=112.5,112.5,IF(N145*1.15&lt;=150,150,IF(N145*1.15&lt;=225,225,300)))))))</f>
        <v/>
      </c>
      <c r="Q145">
        <f>IF(P145="","",IFERROR(N145/P145,0))</f>
        <v/>
      </c>
      <c r="R145">
        <f>IF(M145="","",IFERROR(INDEX(Tabela7[QT %],MATCH(M145,Tabela7[PONTO],0)),0))</f>
        <v/>
      </c>
      <c r="S145">
        <f>IF(N145="","",IFERROR(1-ABS(N145-O145)/$B$11,0))</f>
        <v/>
      </c>
      <c r="T145">
        <f>IF(M145="","",IF($B$9&gt;$B$8,IFERROR((INDEX(GERAL[SNAP],132)-$B$8)/($B$9-$B$8),0),0))</f>
        <v/>
      </c>
      <c r="U145">
        <f>IF(OR(M145="",V145&lt;&gt;"ESQUERDO"),"",$L$2*IFERROR(N145/$B$11,0)+$L$3*IF($D$11&gt;0,IFERROR(R145/$D$11,0),0)+$L$4*IFERROR(S145,0)-$L$5*IFERROR(T145,0)-$L$6*MAX(0,IFERROR(Q145,0)-$L$7)+ROW()/1000000)</f>
        <v/>
      </c>
      <c r="V145">
        <f>IFERROR(INDEX(GERAL[LADO],132),"")</f>
        <v/>
      </c>
      <c r="X145">
        <f>IFERROR(INDEX(GERAL[PONTO],112),"")</f>
        <v/>
      </c>
      <c r="Y145">
        <f>IF(X145="","",IFERROR(INDEX(GERAL[ACUMULADA],112),0))</f>
        <v/>
      </c>
      <c r="Z145">
        <f>IF(Y145="","",$B$31-Y145)</f>
        <v/>
      </c>
      <c r="AA145">
        <f>IF(Y145="","",IF(Y145*1.15&lt;=30,30,IF(Y145*1.15&lt;=45,45,IF(Y145*1.15&lt;=75,75,IF(Y145*1.15&lt;=112.5,112.5,IF(Y145*1.15&lt;=150,150,IF(Y145*1.15&lt;=225,225,300)))))))</f>
        <v/>
      </c>
      <c r="AB145">
        <f>IF(AA145="","",IFERROR(Y145/AA145,0))</f>
        <v/>
      </c>
      <c r="AC145">
        <f>IF(X145="","",IFERROR(INDEX(DIR_ATUAL[QT %],MATCH(X145,DIR_ATUAL[PONTO],0)),0))</f>
        <v/>
      </c>
      <c r="AD145">
        <f>IF(Y145="","",IFERROR(1-ABS(Y145-Z145)/$B$31,0))</f>
        <v/>
      </c>
      <c r="AE145">
        <f>IF(X145="","",IF($E$9&gt;$E$8,IFERROR((INDEX(GERAL[SNAP],112)-$E$8)/($E$9-$E$8),0),0))</f>
        <v/>
      </c>
      <c r="AF145">
        <f>IF(OR(X145="",AG145&lt;&gt;"DIREITO"),"",$L$2*IFERROR(Y145/$B$31,0)+$L$3*IF($D$31&gt;0,IFERROR(AC145/$D$31,0),0)+$L$4*IFERROR(AD145,0)-$L$5*IFERROR(AE145,0)-$L$6*MAX(0,IFERROR(AB145,0)-$L$7)+ROW()/1000000)</f>
        <v/>
      </c>
      <c r="AG145">
        <f>IFERROR(INDEX(GERAL[LADO],112),"")</f>
        <v/>
      </c>
    </row>
    <row r="146">
      <c r="M146">
        <f>IFERROR(INDEX(GERAL[PONTO],133),"")</f>
        <v/>
      </c>
      <c r="N146">
        <f>IF(M146="","",IFERROR(INDEX(GERAL[ACUMULADA],133),0))</f>
        <v/>
      </c>
      <c r="O146">
        <f>IF(N146="","",$B$11-N146)</f>
        <v/>
      </c>
      <c r="P146">
        <f>IF(N146="","",IF(N146*1.15&lt;=30,30,IF(N146*1.15&lt;=45,45,IF(N146*1.15&lt;=75,75,IF(N146*1.15&lt;=112.5,112.5,IF(N146*1.15&lt;=150,150,IF(N146*1.15&lt;=225,225,300)))))))</f>
        <v/>
      </c>
      <c r="Q146">
        <f>IF(P146="","",IFERROR(N146/P146,0))</f>
        <v/>
      </c>
      <c r="R146">
        <f>IF(M146="","",IFERROR(INDEX(Tabela7[QT %],MATCH(M146,Tabela7[PONTO],0)),0))</f>
        <v/>
      </c>
      <c r="S146">
        <f>IF(N146="","",IFERROR(1-ABS(N146-O146)/$B$11,0))</f>
        <v/>
      </c>
      <c r="T146">
        <f>IF(M146="","",IF($B$9&gt;$B$8,IFERROR((INDEX(GERAL[SNAP],133)-$B$8)/($B$9-$B$8),0),0))</f>
        <v/>
      </c>
      <c r="U146">
        <f>IF(OR(M146="",V146&lt;&gt;"ESQUERDO"),"",$L$2*IFERROR(N146/$B$11,0)+$L$3*IF($D$11&gt;0,IFERROR(R146/$D$11,0),0)+$L$4*IFERROR(S146,0)-$L$5*IFERROR(T146,0)-$L$6*MAX(0,IFERROR(Q146,0)-$L$7)+ROW()/1000000)</f>
        <v/>
      </c>
      <c r="V146">
        <f>IFERROR(INDEX(GERAL[LADO],133),"")</f>
        <v/>
      </c>
      <c r="X146">
        <f>IFERROR(INDEX(GERAL[PONTO],113),"")</f>
        <v/>
      </c>
      <c r="Y146">
        <f>IF(X146="","",IFERROR(INDEX(GERAL[ACUMULADA],113),0))</f>
        <v/>
      </c>
      <c r="Z146">
        <f>IF(Y146="","",$B$31-Y146)</f>
        <v/>
      </c>
      <c r="AA146">
        <f>IF(Y146="","",IF(Y146*1.15&lt;=30,30,IF(Y146*1.15&lt;=45,45,IF(Y146*1.15&lt;=75,75,IF(Y146*1.15&lt;=112.5,112.5,IF(Y146*1.15&lt;=150,150,IF(Y146*1.15&lt;=225,225,300)))))))</f>
        <v/>
      </c>
      <c r="AB146">
        <f>IF(AA146="","",IFERROR(Y146/AA146,0))</f>
        <v/>
      </c>
      <c r="AC146">
        <f>IF(X146="","",IFERROR(INDEX(DIR_ATUAL[QT %],MATCH(X146,DIR_ATUAL[PONTO],0)),0))</f>
        <v/>
      </c>
      <c r="AD146">
        <f>IF(Y146="","",IFERROR(1-ABS(Y146-Z146)/$B$31,0))</f>
        <v/>
      </c>
      <c r="AE146">
        <f>IF(X146="","",IF($E$9&gt;$E$8,IFERROR((INDEX(GERAL[SNAP],113)-$E$8)/($E$9-$E$8),0),0))</f>
        <v/>
      </c>
      <c r="AF146">
        <f>IF(OR(X146="",AG146&lt;&gt;"DIREITO"),"",$L$2*IFERROR(Y146/$B$31,0)+$L$3*IF($D$31&gt;0,IFERROR(AC146/$D$31,0),0)+$L$4*IFERROR(AD146,0)-$L$5*IFERROR(AE146,0)-$L$6*MAX(0,IFERROR(AB146,0)-$L$7)+ROW()/1000000)</f>
        <v/>
      </c>
      <c r="AG146">
        <f>IFERROR(INDEX(GERAL[LADO],113),"")</f>
        <v/>
      </c>
    </row>
    <row r="147">
      <c r="M147">
        <f>IFERROR(INDEX(GERAL[PONTO],134),"")</f>
        <v/>
      </c>
      <c r="N147">
        <f>IF(M147="","",IFERROR(INDEX(GERAL[ACUMULADA],134),0))</f>
        <v/>
      </c>
      <c r="O147">
        <f>IF(N147="","",$B$11-N147)</f>
        <v/>
      </c>
      <c r="P147">
        <f>IF(N147="","",IF(N147*1.15&lt;=30,30,IF(N147*1.15&lt;=45,45,IF(N147*1.15&lt;=75,75,IF(N147*1.15&lt;=112.5,112.5,IF(N147*1.15&lt;=150,150,IF(N147*1.15&lt;=225,225,300)))))))</f>
        <v/>
      </c>
      <c r="Q147">
        <f>IF(P147="","",IFERROR(N147/P147,0))</f>
        <v/>
      </c>
      <c r="R147">
        <f>IF(M147="","",IFERROR(INDEX(Tabela7[QT %],MATCH(M147,Tabela7[PONTO],0)),0))</f>
        <v/>
      </c>
      <c r="S147">
        <f>IF(N147="","",IFERROR(1-ABS(N147-O147)/$B$11,0))</f>
        <v/>
      </c>
      <c r="T147">
        <f>IF(M147="","",IF($B$9&gt;$B$8,IFERROR((INDEX(GERAL[SNAP],134)-$B$8)/($B$9-$B$8),0),0))</f>
        <v/>
      </c>
      <c r="U147">
        <f>IF(OR(M147="",V147&lt;&gt;"ESQUERDO"),"",$L$2*IFERROR(N147/$B$11,0)+$L$3*IF($D$11&gt;0,IFERROR(R147/$D$11,0),0)+$L$4*IFERROR(S147,0)-$L$5*IFERROR(T147,0)-$L$6*MAX(0,IFERROR(Q147,0)-$L$7)+ROW()/1000000)</f>
        <v/>
      </c>
      <c r="V147">
        <f>IFERROR(INDEX(GERAL[LADO],134),"")</f>
        <v/>
      </c>
      <c r="X147">
        <f>IFERROR(INDEX(GERAL[PONTO],114),"")</f>
        <v/>
      </c>
      <c r="Y147">
        <f>IF(X147="","",IFERROR(INDEX(GERAL[ACUMULADA],114),0))</f>
        <v/>
      </c>
      <c r="Z147">
        <f>IF(Y147="","",$B$31-Y147)</f>
        <v/>
      </c>
      <c r="AA147">
        <f>IF(Y147="","",IF(Y147*1.15&lt;=30,30,IF(Y147*1.15&lt;=45,45,IF(Y147*1.15&lt;=75,75,IF(Y147*1.15&lt;=112.5,112.5,IF(Y147*1.15&lt;=150,150,IF(Y147*1.15&lt;=225,225,300)))))))</f>
        <v/>
      </c>
      <c r="AB147">
        <f>IF(AA147="","",IFERROR(Y147/AA147,0))</f>
        <v/>
      </c>
      <c r="AC147">
        <f>IF(X147="","",IFERROR(INDEX(DIR_ATUAL[QT %],MATCH(X147,DIR_ATUAL[PONTO],0)),0))</f>
        <v/>
      </c>
      <c r="AD147">
        <f>IF(Y147="","",IFERROR(1-ABS(Y147-Z147)/$B$31,0))</f>
        <v/>
      </c>
      <c r="AE147">
        <f>IF(X147="","",IF($E$9&gt;$E$8,IFERROR((INDEX(GERAL[SNAP],114)-$E$8)/($E$9-$E$8),0),0))</f>
        <v/>
      </c>
      <c r="AF147">
        <f>IF(OR(X147="",AG147&lt;&gt;"DIREITO"),"",$L$2*IFERROR(Y147/$B$31,0)+$L$3*IF($D$31&gt;0,IFERROR(AC147/$D$31,0),0)+$L$4*IFERROR(AD147,0)-$L$5*IFERROR(AE147,0)-$L$6*MAX(0,IFERROR(AB147,0)-$L$7)+ROW()/1000000)</f>
        <v/>
      </c>
      <c r="AG147">
        <f>IFERROR(INDEX(GERAL[LADO],114),"")</f>
        <v/>
      </c>
    </row>
    <row r="148">
      <c r="M148">
        <f>IFERROR(INDEX(GERAL[PONTO],135),"")</f>
        <v/>
      </c>
      <c r="N148">
        <f>IF(M148="","",IFERROR(INDEX(GERAL[ACUMULADA],135),0))</f>
        <v/>
      </c>
      <c r="O148">
        <f>IF(N148="","",$B$11-N148)</f>
        <v/>
      </c>
      <c r="P148">
        <f>IF(N148="","",IF(N148*1.15&lt;=30,30,IF(N148*1.15&lt;=45,45,IF(N148*1.15&lt;=75,75,IF(N148*1.15&lt;=112.5,112.5,IF(N148*1.15&lt;=150,150,IF(N148*1.15&lt;=225,225,300)))))))</f>
        <v/>
      </c>
      <c r="Q148">
        <f>IF(P148="","",IFERROR(N148/P148,0))</f>
        <v/>
      </c>
      <c r="R148">
        <f>IF(M148="","",IFERROR(INDEX(Tabela7[QT %],MATCH(M148,Tabela7[PONTO],0)),0))</f>
        <v/>
      </c>
      <c r="S148">
        <f>IF(N148="","",IFERROR(1-ABS(N148-O148)/$B$11,0))</f>
        <v/>
      </c>
      <c r="T148">
        <f>IF(M148="","",IF($B$9&gt;$B$8,IFERROR((INDEX(GERAL[SNAP],135)-$B$8)/($B$9-$B$8),0),0))</f>
        <v/>
      </c>
      <c r="U148">
        <f>IF(OR(M148="",V148&lt;&gt;"ESQUERDO"),"",$L$2*IFERROR(N148/$B$11,0)+$L$3*IF($D$11&gt;0,IFERROR(R148/$D$11,0),0)+$L$4*IFERROR(S148,0)-$L$5*IFERROR(T148,0)-$L$6*MAX(0,IFERROR(Q148,0)-$L$7)+ROW()/1000000)</f>
        <v/>
      </c>
      <c r="V148">
        <f>IFERROR(INDEX(GERAL[LADO],135),"")</f>
        <v/>
      </c>
      <c r="X148">
        <f>IFERROR(INDEX(GERAL[PONTO],115),"")</f>
        <v/>
      </c>
      <c r="Y148">
        <f>IF(X148="","",IFERROR(INDEX(GERAL[ACUMULADA],115),0))</f>
        <v/>
      </c>
      <c r="Z148">
        <f>IF(Y148="","",$B$31-Y148)</f>
        <v/>
      </c>
      <c r="AA148">
        <f>IF(Y148="","",IF(Y148*1.15&lt;=30,30,IF(Y148*1.15&lt;=45,45,IF(Y148*1.15&lt;=75,75,IF(Y148*1.15&lt;=112.5,112.5,IF(Y148*1.15&lt;=150,150,IF(Y148*1.15&lt;=225,225,300)))))))</f>
        <v/>
      </c>
      <c r="AB148">
        <f>IF(AA148="","",IFERROR(Y148/AA148,0))</f>
        <v/>
      </c>
      <c r="AC148">
        <f>IF(X148="","",IFERROR(INDEX(DIR_ATUAL[QT %],MATCH(X148,DIR_ATUAL[PONTO],0)),0))</f>
        <v/>
      </c>
      <c r="AD148">
        <f>IF(Y148="","",IFERROR(1-ABS(Y148-Z148)/$B$31,0))</f>
        <v/>
      </c>
      <c r="AE148">
        <f>IF(X148="","",IF($E$9&gt;$E$8,IFERROR((INDEX(GERAL[SNAP],115)-$E$8)/($E$9-$E$8),0),0))</f>
        <v/>
      </c>
      <c r="AF148">
        <f>IF(OR(X148="",AG148&lt;&gt;"DIREITO"),"",$L$2*IFERROR(Y148/$B$31,0)+$L$3*IF($D$31&gt;0,IFERROR(AC148/$D$31,0),0)+$L$4*IFERROR(AD148,0)-$L$5*IFERROR(AE148,0)-$L$6*MAX(0,IFERROR(AB148,0)-$L$7)+ROW()/1000000)</f>
        <v/>
      </c>
      <c r="AG148">
        <f>IFERROR(INDEX(GERAL[LADO],115),"")</f>
        <v/>
      </c>
    </row>
    <row r="149">
      <c r="M149">
        <f>IFERROR(INDEX(GERAL[PONTO],136),"")</f>
        <v/>
      </c>
      <c r="N149">
        <f>IF(M149="","",IFERROR(INDEX(GERAL[ACUMULADA],136),0))</f>
        <v/>
      </c>
      <c r="O149">
        <f>IF(N149="","",$B$11-N149)</f>
        <v/>
      </c>
      <c r="P149">
        <f>IF(N149="","",IF(N149*1.15&lt;=30,30,IF(N149*1.15&lt;=45,45,IF(N149*1.15&lt;=75,75,IF(N149*1.15&lt;=112.5,112.5,IF(N149*1.15&lt;=150,150,IF(N149*1.15&lt;=225,225,300)))))))</f>
        <v/>
      </c>
      <c r="Q149">
        <f>IF(P149="","",IFERROR(N149/P149,0))</f>
        <v/>
      </c>
      <c r="R149">
        <f>IF(M149="","",IFERROR(INDEX(Tabela7[QT %],MATCH(M149,Tabela7[PONTO],0)),0))</f>
        <v/>
      </c>
      <c r="S149">
        <f>IF(N149="","",IFERROR(1-ABS(N149-O149)/$B$11,0))</f>
        <v/>
      </c>
      <c r="T149">
        <f>IF(M149="","",IF($B$9&gt;$B$8,IFERROR((INDEX(GERAL[SNAP],136)-$B$8)/($B$9-$B$8),0),0))</f>
        <v/>
      </c>
      <c r="U149">
        <f>IF(OR(M149="",V149&lt;&gt;"ESQUERDO"),"",$L$2*IFERROR(N149/$B$11,0)+$L$3*IF($D$11&gt;0,IFERROR(R149/$D$11,0),0)+$L$4*IFERROR(S149,0)-$L$5*IFERROR(T149,0)-$L$6*MAX(0,IFERROR(Q149,0)-$L$7)+ROW()/1000000)</f>
        <v/>
      </c>
      <c r="V149">
        <f>IFERROR(INDEX(GERAL[LADO],136),"")</f>
        <v/>
      </c>
      <c r="X149">
        <f>IFERROR(INDEX(GERAL[PONTO],116),"")</f>
        <v/>
      </c>
      <c r="Y149">
        <f>IF(X149="","",IFERROR(INDEX(GERAL[ACUMULADA],116),0))</f>
        <v/>
      </c>
      <c r="Z149">
        <f>IF(Y149="","",$B$31-Y149)</f>
        <v/>
      </c>
      <c r="AA149">
        <f>IF(Y149="","",IF(Y149*1.15&lt;=30,30,IF(Y149*1.15&lt;=45,45,IF(Y149*1.15&lt;=75,75,IF(Y149*1.15&lt;=112.5,112.5,IF(Y149*1.15&lt;=150,150,IF(Y149*1.15&lt;=225,225,300)))))))</f>
        <v/>
      </c>
      <c r="AB149">
        <f>IF(AA149="","",IFERROR(Y149/AA149,0))</f>
        <v/>
      </c>
      <c r="AC149">
        <f>IF(X149="","",IFERROR(INDEX(DIR_ATUAL[QT %],MATCH(X149,DIR_ATUAL[PONTO],0)),0))</f>
        <v/>
      </c>
      <c r="AD149">
        <f>IF(Y149="","",IFERROR(1-ABS(Y149-Z149)/$B$31,0))</f>
        <v/>
      </c>
      <c r="AE149">
        <f>IF(X149="","",IF($E$9&gt;$E$8,IFERROR((INDEX(GERAL[SNAP],116)-$E$8)/($E$9-$E$8),0),0))</f>
        <v/>
      </c>
      <c r="AF149">
        <f>IF(OR(X149="",AG149&lt;&gt;"DIREITO"),"",$L$2*IFERROR(Y149/$B$31,0)+$L$3*IF($D$31&gt;0,IFERROR(AC149/$D$31,0),0)+$L$4*IFERROR(AD149,0)-$L$5*IFERROR(AE149,0)-$L$6*MAX(0,IFERROR(AB149,0)-$L$7)+ROW()/1000000)</f>
        <v/>
      </c>
      <c r="AG149">
        <f>IFERROR(INDEX(GERAL[LADO],116),"")</f>
        <v/>
      </c>
    </row>
    <row r="150">
      <c r="M150">
        <f>IFERROR(INDEX(GERAL[PONTO],137),"")</f>
        <v/>
      </c>
      <c r="N150">
        <f>IF(M150="","",IFERROR(INDEX(GERAL[ACUMULADA],137),0))</f>
        <v/>
      </c>
      <c r="O150">
        <f>IF(N150="","",$B$11-N150)</f>
        <v/>
      </c>
      <c r="P150">
        <f>IF(N150="","",IF(N150*1.15&lt;=30,30,IF(N150*1.15&lt;=45,45,IF(N150*1.15&lt;=75,75,IF(N150*1.15&lt;=112.5,112.5,IF(N150*1.15&lt;=150,150,IF(N150*1.15&lt;=225,225,300)))))))</f>
        <v/>
      </c>
      <c r="Q150">
        <f>IF(P150="","",IFERROR(N150/P150,0))</f>
        <v/>
      </c>
      <c r="R150">
        <f>IF(M150="","",IFERROR(INDEX(Tabela7[QT %],MATCH(M150,Tabela7[PONTO],0)),0))</f>
        <v/>
      </c>
      <c r="S150">
        <f>IF(N150="","",IFERROR(1-ABS(N150-O150)/$B$11,0))</f>
        <v/>
      </c>
      <c r="T150">
        <f>IF(M150="","",IF($B$9&gt;$B$8,IFERROR((INDEX(GERAL[SNAP],137)-$B$8)/($B$9-$B$8),0),0))</f>
        <v/>
      </c>
      <c r="U150">
        <f>IF(OR(M150="",V150&lt;&gt;"ESQUERDO"),"",$L$2*IFERROR(N150/$B$11,0)+$L$3*IF($D$11&gt;0,IFERROR(R150/$D$11,0),0)+$L$4*IFERROR(S150,0)-$L$5*IFERROR(T150,0)-$L$6*MAX(0,IFERROR(Q150,0)-$L$7)+ROW()/1000000)</f>
        <v/>
      </c>
      <c r="V150">
        <f>IFERROR(INDEX(GERAL[LADO],137),"")</f>
        <v/>
      </c>
      <c r="X150">
        <f>IFERROR(INDEX(GERAL[PONTO],117),"")</f>
        <v/>
      </c>
      <c r="Y150">
        <f>IF(X150="","",IFERROR(INDEX(GERAL[ACUMULADA],117),0))</f>
        <v/>
      </c>
      <c r="Z150">
        <f>IF(Y150="","",$B$31-Y150)</f>
        <v/>
      </c>
      <c r="AA150">
        <f>IF(Y150="","",IF(Y150*1.15&lt;=30,30,IF(Y150*1.15&lt;=45,45,IF(Y150*1.15&lt;=75,75,IF(Y150*1.15&lt;=112.5,112.5,IF(Y150*1.15&lt;=150,150,IF(Y150*1.15&lt;=225,225,300)))))))</f>
        <v/>
      </c>
      <c r="AB150">
        <f>IF(AA150="","",IFERROR(Y150/AA150,0))</f>
        <v/>
      </c>
      <c r="AC150">
        <f>IF(X150="","",IFERROR(INDEX(DIR_ATUAL[QT %],MATCH(X150,DIR_ATUAL[PONTO],0)),0))</f>
        <v/>
      </c>
      <c r="AD150">
        <f>IF(Y150="","",IFERROR(1-ABS(Y150-Z150)/$B$31,0))</f>
        <v/>
      </c>
      <c r="AE150">
        <f>IF(X150="","",IF($E$9&gt;$E$8,IFERROR((INDEX(GERAL[SNAP],117)-$E$8)/($E$9-$E$8),0),0))</f>
        <v/>
      </c>
      <c r="AF150">
        <f>IF(OR(X150="",AG150&lt;&gt;"DIREITO"),"",$L$2*IFERROR(Y150/$B$31,0)+$L$3*IF($D$31&gt;0,IFERROR(AC150/$D$31,0),0)+$L$4*IFERROR(AD150,0)-$L$5*IFERROR(AE150,0)-$L$6*MAX(0,IFERROR(AB150,0)-$L$7)+ROW()/1000000)</f>
        <v/>
      </c>
      <c r="AG150">
        <f>IFERROR(INDEX(GERAL[LADO],117),"")</f>
        <v/>
      </c>
    </row>
    <row r="151">
      <c r="M151">
        <f>IFERROR(INDEX(GERAL[PONTO],138),"")</f>
        <v/>
      </c>
      <c r="N151">
        <f>IF(M151="","",IFERROR(INDEX(GERAL[ACUMULADA],138),0))</f>
        <v/>
      </c>
      <c r="O151">
        <f>IF(N151="","",$B$11-N151)</f>
        <v/>
      </c>
      <c r="P151">
        <f>IF(N151="","",IF(N151*1.15&lt;=30,30,IF(N151*1.15&lt;=45,45,IF(N151*1.15&lt;=75,75,IF(N151*1.15&lt;=112.5,112.5,IF(N151*1.15&lt;=150,150,IF(N151*1.15&lt;=225,225,300)))))))</f>
        <v/>
      </c>
      <c r="Q151">
        <f>IF(P151="","",IFERROR(N151/P151,0))</f>
        <v/>
      </c>
      <c r="R151">
        <f>IF(M151="","",IFERROR(INDEX(Tabela7[QT %],MATCH(M151,Tabela7[PONTO],0)),0))</f>
        <v/>
      </c>
      <c r="S151">
        <f>IF(N151="","",IFERROR(1-ABS(N151-O151)/$B$11,0))</f>
        <v/>
      </c>
      <c r="T151">
        <f>IF(M151="","",IF($B$9&gt;$B$8,IFERROR((INDEX(GERAL[SNAP],138)-$B$8)/($B$9-$B$8),0),0))</f>
        <v/>
      </c>
      <c r="U151">
        <f>IF(OR(M151="",V151&lt;&gt;"ESQUERDO"),"",$L$2*IFERROR(N151/$B$11,0)+$L$3*IF($D$11&gt;0,IFERROR(R151/$D$11,0),0)+$L$4*IFERROR(S151,0)-$L$5*IFERROR(T151,0)-$L$6*MAX(0,IFERROR(Q151,0)-$L$7)+ROW()/1000000)</f>
        <v/>
      </c>
      <c r="V151">
        <f>IFERROR(INDEX(GERAL[LADO],138),"")</f>
        <v/>
      </c>
      <c r="X151">
        <f>IFERROR(INDEX(GERAL[PONTO],118),"")</f>
        <v/>
      </c>
      <c r="Y151">
        <f>IF(X151="","",IFERROR(INDEX(GERAL[ACUMULADA],118),0))</f>
        <v/>
      </c>
      <c r="Z151">
        <f>IF(Y151="","",$B$31-Y151)</f>
        <v/>
      </c>
      <c r="AA151">
        <f>IF(Y151="","",IF(Y151*1.15&lt;=30,30,IF(Y151*1.15&lt;=45,45,IF(Y151*1.15&lt;=75,75,IF(Y151*1.15&lt;=112.5,112.5,IF(Y151*1.15&lt;=150,150,IF(Y151*1.15&lt;=225,225,300)))))))</f>
        <v/>
      </c>
      <c r="AB151">
        <f>IF(AA151="","",IFERROR(Y151/AA151,0))</f>
        <v/>
      </c>
      <c r="AC151">
        <f>IF(X151="","",IFERROR(INDEX(DIR_ATUAL[QT %],MATCH(X151,DIR_ATUAL[PONTO],0)),0))</f>
        <v/>
      </c>
      <c r="AD151">
        <f>IF(Y151="","",IFERROR(1-ABS(Y151-Z151)/$B$31,0))</f>
        <v/>
      </c>
      <c r="AE151">
        <f>IF(X151="","",IF($E$9&gt;$E$8,IFERROR((INDEX(GERAL[SNAP],118)-$E$8)/($E$9-$E$8),0),0))</f>
        <v/>
      </c>
      <c r="AF151">
        <f>IF(OR(X151="",AG151&lt;&gt;"DIREITO"),"",$L$2*IFERROR(Y151/$B$31,0)+$L$3*IF($D$31&gt;0,IFERROR(AC151/$D$31,0),0)+$L$4*IFERROR(AD151,0)-$L$5*IFERROR(AE151,0)-$L$6*MAX(0,IFERROR(AB151,0)-$L$7)+ROW()/1000000)</f>
        <v/>
      </c>
      <c r="AG151">
        <f>IFERROR(INDEX(GERAL[LADO],118),"")</f>
        <v/>
      </c>
    </row>
    <row r="152">
      <c r="M152">
        <f>IFERROR(INDEX(GERAL[PONTO],139),"")</f>
        <v/>
      </c>
      <c r="N152">
        <f>IF(M152="","",IFERROR(INDEX(GERAL[ACUMULADA],139),0))</f>
        <v/>
      </c>
      <c r="O152">
        <f>IF(N152="","",$B$11-N152)</f>
        <v/>
      </c>
      <c r="P152">
        <f>IF(N152="","",IF(N152*1.15&lt;=30,30,IF(N152*1.15&lt;=45,45,IF(N152*1.15&lt;=75,75,IF(N152*1.15&lt;=112.5,112.5,IF(N152*1.15&lt;=150,150,IF(N152*1.15&lt;=225,225,300)))))))</f>
        <v/>
      </c>
      <c r="Q152">
        <f>IF(P152="","",IFERROR(N152/P152,0))</f>
        <v/>
      </c>
      <c r="R152">
        <f>IF(M152="","",IFERROR(INDEX(Tabela7[QT %],MATCH(M152,Tabela7[PONTO],0)),0))</f>
        <v/>
      </c>
      <c r="S152">
        <f>IF(N152="","",IFERROR(1-ABS(N152-O152)/$B$11,0))</f>
        <v/>
      </c>
      <c r="T152">
        <f>IF(M152="","",IF($B$9&gt;$B$8,IFERROR((INDEX(GERAL[SNAP],139)-$B$8)/($B$9-$B$8),0),0))</f>
        <v/>
      </c>
      <c r="U152">
        <f>IF(OR(M152="",V152&lt;&gt;"ESQUERDO"),"",$L$2*IFERROR(N152/$B$11,0)+$L$3*IF($D$11&gt;0,IFERROR(R152/$D$11,0),0)+$L$4*IFERROR(S152,0)-$L$5*IFERROR(T152,0)-$L$6*MAX(0,IFERROR(Q152,0)-$L$7)+ROW()/1000000)</f>
        <v/>
      </c>
      <c r="V152">
        <f>IFERROR(INDEX(GERAL[LADO],139),"")</f>
        <v/>
      </c>
      <c r="X152">
        <f>IFERROR(INDEX(GERAL[PONTO],119),"")</f>
        <v/>
      </c>
      <c r="Y152">
        <f>IF(X152="","",IFERROR(INDEX(GERAL[ACUMULADA],119),0))</f>
        <v/>
      </c>
      <c r="Z152">
        <f>IF(Y152="","",$B$31-Y152)</f>
        <v/>
      </c>
      <c r="AA152">
        <f>IF(Y152="","",IF(Y152*1.15&lt;=30,30,IF(Y152*1.15&lt;=45,45,IF(Y152*1.15&lt;=75,75,IF(Y152*1.15&lt;=112.5,112.5,IF(Y152*1.15&lt;=150,150,IF(Y152*1.15&lt;=225,225,300)))))))</f>
        <v/>
      </c>
      <c r="AB152">
        <f>IF(AA152="","",IFERROR(Y152/AA152,0))</f>
        <v/>
      </c>
      <c r="AC152">
        <f>IF(X152="","",IFERROR(INDEX(DIR_ATUAL[QT %],MATCH(X152,DIR_ATUAL[PONTO],0)),0))</f>
        <v/>
      </c>
      <c r="AD152">
        <f>IF(Y152="","",IFERROR(1-ABS(Y152-Z152)/$B$31,0))</f>
        <v/>
      </c>
      <c r="AE152">
        <f>IF(X152="","",IF($E$9&gt;$E$8,IFERROR((INDEX(GERAL[SNAP],119)-$E$8)/($E$9-$E$8),0),0))</f>
        <v/>
      </c>
      <c r="AF152">
        <f>IF(OR(X152="",AG152&lt;&gt;"DIREITO"),"",$L$2*IFERROR(Y152/$B$31,0)+$L$3*IF($D$31&gt;0,IFERROR(AC152/$D$31,0),0)+$L$4*IFERROR(AD152,0)-$L$5*IFERROR(AE152,0)-$L$6*MAX(0,IFERROR(AB152,0)-$L$7)+ROW()/1000000)</f>
        <v/>
      </c>
      <c r="AG152">
        <f>IFERROR(INDEX(GERAL[LADO],119),"")</f>
        <v/>
      </c>
    </row>
    <row r="153">
      <c r="M153">
        <f>IFERROR(INDEX(GERAL[PONTO],140),"")</f>
        <v/>
      </c>
      <c r="N153">
        <f>IF(M153="","",IFERROR(INDEX(GERAL[ACUMULADA],140),0))</f>
        <v/>
      </c>
      <c r="O153">
        <f>IF(N153="","",$B$11-N153)</f>
        <v/>
      </c>
      <c r="P153">
        <f>IF(N153="","",IF(N153*1.15&lt;=30,30,IF(N153*1.15&lt;=45,45,IF(N153*1.15&lt;=75,75,IF(N153*1.15&lt;=112.5,112.5,IF(N153*1.15&lt;=150,150,IF(N153*1.15&lt;=225,225,300)))))))</f>
        <v/>
      </c>
      <c r="Q153">
        <f>IF(P153="","",IFERROR(N153/P153,0))</f>
        <v/>
      </c>
      <c r="R153">
        <f>IF(M153="","",IFERROR(INDEX(Tabela7[QT %],MATCH(M153,Tabela7[PONTO],0)),0))</f>
        <v/>
      </c>
      <c r="S153">
        <f>IF(N153="","",IFERROR(1-ABS(N153-O153)/$B$11,0))</f>
        <v/>
      </c>
      <c r="T153">
        <f>IF(M153="","",IF($B$9&gt;$B$8,IFERROR((INDEX(GERAL[SNAP],140)-$B$8)/($B$9-$B$8),0),0))</f>
        <v/>
      </c>
      <c r="U153">
        <f>IF(OR(M153="",V153&lt;&gt;"ESQUERDO"),"",$L$2*IFERROR(N153/$B$11,0)+$L$3*IF($D$11&gt;0,IFERROR(R153/$D$11,0),0)+$L$4*IFERROR(S153,0)-$L$5*IFERROR(T153,0)-$L$6*MAX(0,IFERROR(Q153,0)-$L$7)+ROW()/1000000)</f>
        <v/>
      </c>
      <c r="V153">
        <f>IFERROR(INDEX(GERAL[LADO],140),"")</f>
        <v/>
      </c>
      <c r="X153">
        <f>IFERROR(INDEX(GERAL[PONTO],120),"")</f>
        <v/>
      </c>
      <c r="Y153">
        <f>IF(X153="","",IFERROR(INDEX(GERAL[ACUMULADA],120),0))</f>
        <v/>
      </c>
      <c r="Z153">
        <f>IF(Y153="","",$B$31-Y153)</f>
        <v/>
      </c>
      <c r="AA153">
        <f>IF(Y153="","",IF(Y153*1.15&lt;=30,30,IF(Y153*1.15&lt;=45,45,IF(Y153*1.15&lt;=75,75,IF(Y153*1.15&lt;=112.5,112.5,IF(Y153*1.15&lt;=150,150,IF(Y153*1.15&lt;=225,225,300)))))))</f>
        <v/>
      </c>
      <c r="AB153">
        <f>IF(AA153="","",IFERROR(Y153/AA153,0))</f>
        <v/>
      </c>
      <c r="AC153">
        <f>IF(X153="","",IFERROR(INDEX(DIR_ATUAL[QT %],MATCH(X153,DIR_ATUAL[PONTO],0)),0))</f>
        <v/>
      </c>
      <c r="AD153">
        <f>IF(Y153="","",IFERROR(1-ABS(Y153-Z153)/$B$31,0))</f>
        <v/>
      </c>
      <c r="AE153">
        <f>IF(X153="","",IF($E$9&gt;$E$8,IFERROR((INDEX(GERAL[SNAP],120)-$E$8)/($E$9-$E$8),0),0))</f>
        <v/>
      </c>
      <c r="AF153">
        <f>IF(OR(X153="",AG153&lt;&gt;"DIREITO"),"",$L$2*IFERROR(Y153/$B$31,0)+$L$3*IF($D$31&gt;0,IFERROR(AC153/$D$31,0),0)+$L$4*IFERROR(AD153,0)-$L$5*IFERROR(AE153,0)-$L$6*MAX(0,IFERROR(AB153,0)-$L$7)+ROW()/1000000)</f>
        <v/>
      </c>
      <c r="AG153">
        <f>IFERROR(INDEX(GERAL[LADO],120),"")</f>
        <v/>
      </c>
    </row>
    <row r="154">
      <c r="M154">
        <f>IFERROR(INDEX(GERAL[PONTO],141),"")</f>
        <v/>
      </c>
      <c r="N154">
        <f>IF(M154="","",IFERROR(INDEX(GERAL[ACUMULADA],141),0))</f>
        <v/>
      </c>
      <c r="O154">
        <f>IF(N154="","",$B$11-N154)</f>
        <v/>
      </c>
      <c r="P154">
        <f>IF(N154="","",IF(N154*1.15&lt;=30,30,IF(N154*1.15&lt;=45,45,IF(N154*1.15&lt;=75,75,IF(N154*1.15&lt;=112.5,112.5,IF(N154*1.15&lt;=150,150,IF(N154*1.15&lt;=225,225,300)))))))</f>
        <v/>
      </c>
      <c r="Q154">
        <f>IF(P154="","",IFERROR(N154/P154,0))</f>
        <v/>
      </c>
      <c r="R154">
        <f>IF(M154="","",IFERROR(INDEX(Tabela7[QT %],MATCH(M154,Tabela7[PONTO],0)),0))</f>
        <v/>
      </c>
      <c r="S154">
        <f>IF(N154="","",IFERROR(1-ABS(N154-O154)/$B$11,0))</f>
        <v/>
      </c>
      <c r="T154">
        <f>IF(M154="","",IF($B$9&gt;$B$8,IFERROR((INDEX(GERAL[SNAP],141)-$B$8)/($B$9-$B$8),0),0))</f>
        <v/>
      </c>
      <c r="U154">
        <f>IF(OR(M154="",V154&lt;&gt;"ESQUERDO"),"",$L$2*IFERROR(N154/$B$11,0)+$L$3*IF($D$11&gt;0,IFERROR(R154/$D$11,0),0)+$L$4*IFERROR(S154,0)-$L$5*IFERROR(T154,0)-$L$6*MAX(0,IFERROR(Q154,0)-$L$7)+ROW()/1000000)</f>
        <v/>
      </c>
      <c r="V154">
        <f>IFERROR(INDEX(GERAL[LADO],141),"")</f>
        <v/>
      </c>
      <c r="X154">
        <f>IFERROR(INDEX(GERAL[PONTO],121),"")</f>
        <v/>
      </c>
      <c r="Y154">
        <f>IF(X154="","",IFERROR(INDEX(GERAL[ACUMULADA],121),0))</f>
        <v/>
      </c>
      <c r="Z154">
        <f>IF(Y154="","",$B$31-Y154)</f>
        <v/>
      </c>
      <c r="AA154">
        <f>IF(Y154="","",IF(Y154*1.15&lt;=30,30,IF(Y154*1.15&lt;=45,45,IF(Y154*1.15&lt;=75,75,IF(Y154*1.15&lt;=112.5,112.5,IF(Y154*1.15&lt;=150,150,IF(Y154*1.15&lt;=225,225,300)))))))</f>
        <v/>
      </c>
      <c r="AB154">
        <f>IF(AA154="","",IFERROR(Y154/AA154,0))</f>
        <v/>
      </c>
      <c r="AC154">
        <f>IF(X154="","",IFERROR(INDEX(DIR_ATUAL[QT %],MATCH(X154,DIR_ATUAL[PONTO],0)),0))</f>
        <v/>
      </c>
      <c r="AD154">
        <f>IF(Y154="","",IFERROR(1-ABS(Y154-Z154)/$B$31,0))</f>
        <v/>
      </c>
      <c r="AE154">
        <f>IF(X154="","",IF($E$9&gt;$E$8,IFERROR((INDEX(GERAL[SNAP],121)-$E$8)/($E$9-$E$8),0),0))</f>
        <v/>
      </c>
      <c r="AF154">
        <f>IF(OR(X154="",AG154&lt;&gt;"DIREITO"),"",$L$2*IFERROR(Y154/$B$31,0)+$L$3*IF($D$31&gt;0,IFERROR(AC154/$D$31,0),0)+$L$4*IFERROR(AD154,0)-$L$5*IFERROR(AE154,0)-$L$6*MAX(0,IFERROR(AB154,0)-$L$7)+ROW()/1000000)</f>
        <v/>
      </c>
      <c r="AG154">
        <f>IFERROR(INDEX(GERAL[LADO],121),"")</f>
        <v/>
      </c>
    </row>
    <row r="155">
      <c r="M155">
        <f>IFERROR(INDEX(GERAL[PONTO],142),"")</f>
        <v/>
      </c>
      <c r="N155">
        <f>IF(M155="","",IFERROR(INDEX(GERAL[ACUMULADA],142),0))</f>
        <v/>
      </c>
      <c r="O155">
        <f>IF(N155="","",$B$11-N155)</f>
        <v/>
      </c>
      <c r="P155">
        <f>IF(N155="","",IF(N155*1.15&lt;=30,30,IF(N155*1.15&lt;=45,45,IF(N155*1.15&lt;=75,75,IF(N155*1.15&lt;=112.5,112.5,IF(N155*1.15&lt;=150,150,IF(N155*1.15&lt;=225,225,300)))))))</f>
        <v/>
      </c>
      <c r="Q155">
        <f>IF(P155="","",IFERROR(N155/P155,0))</f>
        <v/>
      </c>
      <c r="R155">
        <f>IF(M155="","",IFERROR(INDEX(Tabela7[QT %],MATCH(M155,Tabela7[PONTO],0)),0))</f>
        <v/>
      </c>
      <c r="S155">
        <f>IF(N155="","",IFERROR(1-ABS(N155-O155)/$B$11,0))</f>
        <v/>
      </c>
      <c r="T155">
        <f>IF(M155="","",IF($B$9&gt;$B$8,IFERROR((INDEX(GERAL[SNAP],142)-$B$8)/($B$9-$B$8),0),0))</f>
        <v/>
      </c>
      <c r="U155">
        <f>IF(OR(M155="",V155&lt;&gt;"ESQUERDO"),"",$L$2*IFERROR(N155/$B$11,0)+$L$3*IF($D$11&gt;0,IFERROR(R155/$D$11,0),0)+$L$4*IFERROR(S155,0)-$L$5*IFERROR(T155,0)-$L$6*MAX(0,IFERROR(Q155,0)-$L$7)+ROW()/1000000)</f>
        <v/>
      </c>
      <c r="V155">
        <f>IFERROR(INDEX(GERAL[LADO],142),"")</f>
        <v/>
      </c>
      <c r="X155">
        <f>IFERROR(INDEX(GERAL[PONTO],122),"")</f>
        <v/>
      </c>
      <c r="Y155">
        <f>IF(X155="","",IFERROR(INDEX(GERAL[ACUMULADA],122),0))</f>
        <v/>
      </c>
      <c r="Z155">
        <f>IF(Y155="","",$B$31-Y155)</f>
        <v/>
      </c>
      <c r="AA155">
        <f>IF(Y155="","",IF(Y155*1.15&lt;=30,30,IF(Y155*1.15&lt;=45,45,IF(Y155*1.15&lt;=75,75,IF(Y155*1.15&lt;=112.5,112.5,IF(Y155*1.15&lt;=150,150,IF(Y155*1.15&lt;=225,225,300)))))))</f>
        <v/>
      </c>
      <c r="AB155">
        <f>IF(AA155="","",IFERROR(Y155/AA155,0))</f>
        <v/>
      </c>
      <c r="AC155">
        <f>IF(X155="","",IFERROR(INDEX(DIR_ATUAL[QT %],MATCH(X155,DIR_ATUAL[PONTO],0)),0))</f>
        <v/>
      </c>
      <c r="AD155">
        <f>IF(Y155="","",IFERROR(1-ABS(Y155-Z155)/$B$31,0))</f>
        <v/>
      </c>
      <c r="AE155">
        <f>IF(X155="","",IF($E$9&gt;$E$8,IFERROR((INDEX(GERAL[SNAP],122)-$E$8)/($E$9-$E$8),0),0))</f>
        <v/>
      </c>
      <c r="AF155">
        <f>IF(OR(X155="",AG155&lt;&gt;"DIREITO"),"",$L$2*IFERROR(Y155/$B$31,0)+$L$3*IF($D$31&gt;0,IFERROR(AC155/$D$31,0),0)+$L$4*IFERROR(AD155,0)-$L$5*IFERROR(AE155,0)-$L$6*MAX(0,IFERROR(AB155,0)-$L$7)+ROW()/1000000)</f>
        <v/>
      </c>
      <c r="AG155">
        <f>IFERROR(INDEX(GERAL[LADO],122),"")</f>
        <v/>
      </c>
    </row>
    <row r="156">
      <c r="M156">
        <f>IFERROR(INDEX(GERAL[PONTO],143),"")</f>
        <v/>
      </c>
      <c r="N156">
        <f>IF(M156="","",IFERROR(INDEX(GERAL[ACUMULADA],143),0))</f>
        <v/>
      </c>
      <c r="O156">
        <f>IF(N156="","",$B$11-N156)</f>
        <v/>
      </c>
      <c r="P156">
        <f>IF(N156="","",IF(N156*1.15&lt;=30,30,IF(N156*1.15&lt;=45,45,IF(N156*1.15&lt;=75,75,IF(N156*1.15&lt;=112.5,112.5,IF(N156*1.15&lt;=150,150,IF(N156*1.15&lt;=225,225,300)))))))</f>
        <v/>
      </c>
      <c r="Q156">
        <f>IF(P156="","",IFERROR(N156/P156,0))</f>
        <v/>
      </c>
      <c r="R156">
        <f>IF(M156="","",IFERROR(INDEX(Tabela7[QT %],MATCH(M156,Tabela7[PONTO],0)),0))</f>
        <v/>
      </c>
      <c r="S156">
        <f>IF(N156="","",IFERROR(1-ABS(N156-O156)/$B$11,0))</f>
        <v/>
      </c>
      <c r="T156">
        <f>IF(M156="","",IF($B$9&gt;$B$8,IFERROR((INDEX(GERAL[SNAP],143)-$B$8)/($B$9-$B$8),0),0))</f>
        <v/>
      </c>
      <c r="U156">
        <f>IF(OR(M156="",V156&lt;&gt;"ESQUERDO"),"",$L$2*IFERROR(N156/$B$11,0)+$L$3*IF($D$11&gt;0,IFERROR(R156/$D$11,0),0)+$L$4*IFERROR(S156,0)-$L$5*IFERROR(T156,0)-$L$6*MAX(0,IFERROR(Q156,0)-$L$7)+ROW()/1000000)</f>
        <v/>
      </c>
      <c r="V156">
        <f>IFERROR(INDEX(GERAL[LADO],143),"")</f>
        <v/>
      </c>
      <c r="X156">
        <f>IFERROR(INDEX(GERAL[PONTO],123),"")</f>
        <v/>
      </c>
      <c r="Y156">
        <f>IF(X156="","",IFERROR(INDEX(GERAL[ACUMULADA],123),0))</f>
        <v/>
      </c>
      <c r="Z156">
        <f>IF(Y156="","",$B$31-Y156)</f>
        <v/>
      </c>
      <c r="AA156">
        <f>IF(Y156="","",IF(Y156*1.15&lt;=30,30,IF(Y156*1.15&lt;=45,45,IF(Y156*1.15&lt;=75,75,IF(Y156*1.15&lt;=112.5,112.5,IF(Y156*1.15&lt;=150,150,IF(Y156*1.15&lt;=225,225,300)))))))</f>
        <v/>
      </c>
      <c r="AB156">
        <f>IF(AA156="","",IFERROR(Y156/AA156,0))</f>
        <v/>
      </c>
      <c r="AC156">
        <f>IF(X156="","",IFERROR(INDEX(DIR_ATUAL[QT %],MATCH(X156,DIR_ATUAL[PONTO],0)),0))</f>
        <v/>
      </c>
      <c r="AD156">
        <f>IF(Y156="","",IFERROR(1-ABS(Y156-Z156)/$B$31,0))</f>
        <v/>
      </c>
      <c r="AE156">
        <f>IF(X156="","",IF($E$9&gt;$E$8,IFERROR((INDEX(GERAL[SNAP],123)-$E$8)/($E$9-$E$8),0),0))</f>
        <v/>
      </c>
      <c r="AF156">
        <f>IF(OR(X156="",AG156&lt;&gt;"DIREITO"),"",$L$2*IFERROR(Y156/$B$31,0)+$L$3*IF($D$31&gt;0,IFERROR(AC156/$D$31,0),0)+$L$4*IFERROR(AD156,0)-$L$5*IFERROR(AE156,0)-$L$6*MAX(0,IFERROR(AB156,0)-$L$7)+ROW()/1000000)</f>
        <v/>
      </c>
      <c r="AG156">
        <f>IFERROR(INDEX(GERAL[LADO],123),"")</f>
        <v/>
      </c>
    </row>
    <row r="157">
      <c r="M157">
        <f>IFERROR(INDEX(GERAL[PONTO],144),"")</f>
        <v/>
      </c>
      <c r="N157">
        <f>IF(M157="","",IFERROR(INDEX(GERAL[ACUMULADA],144),0))</f>
        <v/>
      </c>
      <c r="O157">
        <f>IF(N157="","",$B$11-N157)</f>
        <v/>
      </c>
      <c r="P157">
        <f>IF(N157="","",IF(N157*1.15&lt;=30,30,IF(N157*1.15&lt;=45,45,IF(N157*1.15&lt;=75,75,IF(N157*1.15&lt;=112.5,112.5,IF(N157*1.15&lt;=150,150,IF(N157*1.15&lt;=225,225,300)))))))</f>
        <v/>
      </c>
      <c r="Q157">
        <f>IF(P157="","",IFERROR(N157/P157,0))</f>
        <v/>
      </c>
      <c r="R157">
        <f>IF(M157="","",IFERROR(INDEX(Tabela7[QT %],MATCH(M157,Tabela7[PONTO],0)),0))</f>
        <v/>
      </c>
      <c r="S157">
        <f>IF(N157="","",IFERROR(1-ABS(N157-O157)/$B$11,0))</f>
        <v/>
      </c>
      <c r="T157">
        <f>IF(M157="","",IF($B$9&gt;$B$8,IFERROR((INDEX(GERAL[SNAP],144)-$B$8)/($B$9-$B$8),0),0))</f>
        <v/>
      </c>
      <c r="U157">
        <f>IF(OR(M157="",V157&lt;&gt;"ESQUERDO"),"",$L$2*IFERROR(N157/$B$11,0)+$L$3*IF($D$11&gt;0,IFERROR(R157/$D$11,0),0)+$L$4*IFERROR(S157,0)-$L$5*IFERROR(T157,0)-$L$6*MAX(0,IFERROR(Q157,0)-$L$7)+ROW()/1000000)</f>
        <v/>
      </c>
      <c r="V157">
        <f>IFERROR(INDEX(GERAL[LADO],144),"")</f>
        <v/>
      </c>
      <c r="X157">
        <f>IFERROR(INDEX(GERAL[PONTO],124),"")</f>
        <v/>
      </c>
      <c r="Y157">
        <f>IF(X157="","",IFERROR(INDEX(GERAL[ACUMULADA],124),0))</f>
        <v/>
      </c>
      <c r="Z157">
        <f>IF(Y157="","",$B$31-Y157)</f>
        <v/>
      </c>
      <c r="AA157">
        <f>IF(Y157="","",IF(Y157*1.15&lt;=30,30,IF(Y157*1.15&lt;=45,45,IF(Y157*1.15&lt;=75,75,IF(Y157*1.15&lt;=112.5,112.5,IF(Y157*1.15&lt;=150,150,IF(Y157*1.15&lt;=225,225,300)))))))</f>
        <v/>
      </c>
      <c r="AB157">
        <f>IF(AA157="","",IFERROR(Y157/AA157,0))</f>
        <v/>
      </c>
      <c r="AC157">
        <f>IF(X157="","",IFERROR(INDEX(DIR_ATUAL[QT %],MATCH(X157,DIR_ATUAL[PONTO],0)),0))</f>
        <v/>
      </c>
      <c r="AD157">
        <f>IF(Y157="","",IFERROR(1-ABS(Y157-Z157)/$B$31,0))</f>
        <v/>
      </c>
      <c r="AE157">
        <f>IF(X157="","",IF($E$9&gt;$E$8,IFERROR((INDEX(GERAL[SNAP],124)-$E$8)/($E$9-$E$8),0),0))</f>
        <v/>
      </c>
      <c r="AF157">
        <f>IF(OR(X157="",AG157&lt;&gt;"DIREITO"),"",$L$2*IFERROR(Y157/$B$31,0)+$L$3*IF($D$31&gt;0,IFERROR(AC157/$D$31,0),0)+$L$4*IFERROR(AD157,0)-$L$5*IFERROR(AE157,0)-$L$6*MAX(0,IFERROR(AB157,0)-$L$7)+ROW()/1000000)</f>
        <v/>
      </c>
      <c r="AG157">
        <f>IFERROR(INDEX(GERAL[LADO],124),"")</f>
        <v/>
      </c>
    </row>
    <row r="158">
      <c r="M158">
        <f>IFERROR(INDEX(GERAL[PONTO],145),"")</f>
        <v/>
      </c>
      <c r="N158">
        <f>IF(M158="","",IFERROR(INDEX(GERAL[ACUMULADA],145),0))</f>
        <v/>
      </c>
      <c r="O158">
        <f>IF(N158="","",$B$11-N158)</f>
        <v/>
      </c>
      <c r="P158">
        <f>IF(N158="","",IF(N158*1.15&lt;=30,30,IF(N158*1.15&lt;=45,45,IF(N158*1.15&lt;=75,75,IF(N158*1.15&lt;=112.5,112.5,IF(N158*1.15&lt;=150,150,IF(N158*1.15&lt;=225,225,300)))))))</f>
        <v/>
      </c>
      <c r="Q158">
        <f>IF(P158="","",IFERROR(N158/P158,0))</f>
        <v/>
      </c>
      <c r="R158">
        <f>IF(M158="","",IFERROR(INDEX(Tabela7[QT %],MATCH(M158,Tabela7[PONTO],0)),0))</f>
        <v/>
      </c>
      <c r="S158">
        <f>IF(N158="","",IFERROR(1-ABS(N158-O158)/$B$11,0))</f>
        <v/>
      </c>
      <c r="T158">
        <f>IF(M158="","",IF($B$9&gt;$B$8,IFERROR((INDEX(GERAL[SNAP],145)-$B$8)/($B$9-$B$8),0),0))</f>
        <v/>
      </c>
      <c r="U158">
        <f>IF(OR(M158="",V158&lt;&gt;"ESQUERDO"),"",$L$2*IFERROR(N158/$B$11,0)+$L$3*IF($D$11&gt;0,IFERROR(R158/$D$11,0),0)+$L$4*IFERROR(S158,0)-$L$5*IFERROR(T158,0)-$L$6*MAX(0,IFERROR(Q158,0)-$L$7)+ROW()/1000000)</f>
        <v/>
      </c>
      <c r="V158">
        <f>IFERROR(INDEX(GERAL[LADO],145),"")</f>
        <v/>
      </c>
      <c r="X158">
        <f>IFERROR(INDEX(GERAL[PONTO],125),"")</f>
        <v/>
      </c>
      <c r="Y158">
        <f>IF(X158="","",IFERROR(INDEX(GERAL[ACUMULADA],125),0))</f>
        <v/>
      </c>
      <c r="Z158">
        <f>IF(Y158="","",$B$31-Y158)</f>
        <v/>
      </c>
      <c r="AA158">
        <f>IF(Y158="","",IF(Y158*1.15&lt;=30,30,IF(Y158*1.15&lt;=45,45,IF(Y158*1.15&lt;=75,75,IF(Y158*1.15&lt;=112.5,112.5,IF(Y158*1.15&lt;=150,150,IF(Y158*1.15&lt;=225,225,300)))))))</f>
        <v/>
      </c>
      <c r="AB158">
        <f>IF(AA158="","",IFERROR(Y158/AA158,0))</f>
        <v/>
      </c>
      <c r="AC158">
        <f>IF(X158="","",IFERROR(INDEX(DIR_ATUAL[QT %],MATCH(X158,DIR_ATUAL[PONTO],0)),0))</f>
        <v/>
      </c>
      <c r="AD158">
        <f>IF(Y158="","",IFERROR(1-ABS(Y158-Z158)/$B$31,0))</f>
        <v/>
      </c>
      <c r="AE158">
        <f>IF(X158="","",IF($E$9&gt;$E$8,IFERROR((INDEX(GERAL[SNAP],125)-$E$8)/($E$9-$E$8),0),0))</f>
        <v/>
      </c>
      <c r="AF158">
        <f>IF(OR(X158="",AG158&lt;&gt;"DIREITO"),"",$L$2*IFERROR(Y158/$B$31,0)+$L$3*IF($D$31&gt;0,IFERROR(AC158/$D$31,0),0)+$L$4*IFERROR(AD158,0)-$L$5*IFERROR(AE158,0)-$L$6*MAX(0,IFERROR(AB158,0)-$L$7)+ROW()/1000000)</f>
        <v/>
      </c>
      <c r="AG158">
        <f>IFERROR(INDEX(GERAL[LADO],125),"")</f>
        <v/>
      </c>
    </row>
    <row r="159">
      <c r="M159">
        <f>IFERROR(INDEX(GERAL[PONTO],146),"")</f>
        <v/>
      </c>
      <c r="N159">
        <f>IF(M159="","",IFERROR(INDEX(GERAL[ACUMULADA],146),0))</f>
        <v/>
      </c>
      <c r="O159">
        <f>IF(N159="","",$B$11-N159)</f>
        <v/>
      </c>
      <c r="P159">
        <f>IF(N159="","",IF(N159*1.15&lt;=30,30,IF(N159*1.15&lt;=45,45,IF(N159*1.15&lt;=75,75,IF(N159*1.15&lt;=112.5,112.5,IF(N159*1.15&lt;=150,150,IF(N159*1.15&lt;=225,225,300)))))))</f>
        <v/>
      </c>
      <c r="Q159">
        <f>IF(P159="","",IFERROR(N159/P159,0))</f>
        <v/>
      </c>
      <c r="R159">
        <f>IF(M159="","",IFERROR(INDEX(Tabela7[QT %],MATCH(M159,Tabela7[PONTO],0)),0))</f>
        <v/>
      </c>
      <c r="S159">
        <f>IF(N159="","",IFERROR(1-ABS(N159-O159)/$B$11,0))</f>
        <v/>
      </c>
      <c r="T159">
        <f>IF(M159="","",IF($B$9&gt;$B$8,IFERROR((INDEX(GERAL[SNAP],146)-$B$8)/($B$9-$B$8),0),0))</f>
        <v/>
      </c>
      <c r="U159">
        <f>IF(OR(M159="",V159&lt;&gt;"ESQUERDO"),"",$L$2*IFERROR(N159/$B$11,0)+$L$3*IF($D$11&gt;0,IFERROR(R159/$D$11,0),0)+$L$4*IFERROR(S159,0)-$L$5*IFERROR(T159,0)-$L$6*MAX(0,IFERROR(Q159,0)-$L$7)+ROW()/1000000)</f>
        <v/>
      </c>
      <c r="V159">
        <f>IFERROR(INDEX(GERAL[LADO],146),"")</f>
        <v/>
      </c>
      <c r="X159">
        <f>IFERROR(INDEX(GERAL[PONTO],126),"")</f>
        <v/>
      </c>
      <c r="Y159">
        <f>IF(X159="","",IFERROR(INDEX(GERAL[ACUMULADA],126),0))</f>
        <v/>
      </c>
      <c r="Z159">
        <f>IF(Y159="","",$B$31-Y159)</f>
        <v/>
      </c>
      <c r="AA159">
        <f>IF(Y159="","",IF(Y159*1.15&lt;=30,30,IF(Y159*1.15&lt;=45,45,IF(Y159*1.15&lt;=75,75,IF(Y159*1.15&lt;=112.5,112.5,IF(Y159*1.15&lt;=150,150,IF(Y159*1.15&lt;=225,225,300)))))))</f>
        <v/>
      </c>
      <c r="AB159">
        <f>IF(AA159="","",IFERROR(Y159/AA159,0))</f>
        <v/>
      </c>
      <c r="AC159">
        <f>IF(X159="","",IFERROR(INDEX(DIR_ATUAL[QT %],MATCH(X159,DIR_ATUAL[PONTO],0)),0))</f>
        <v/>
      </c>
      <c r="AD159">
        <f>IF(Y159="","",IFERROR(1-ABS(Y159-Z159)/$B$31,0))</f>
        <v/>
      </c>
      <c r="AE159">
        <f>IF(X159="","",IF($E$9&gt;$E$8,IFERROR((INDEX(GERAL[SNAP],126)-$E$8)/($E$9-$E$8),0),0))</f>
        <v/>
      </c>
      <c r="AF159">
        <f>IF(OR(X159="",AG159&lt;&gt;"DIREITO"),"",$L$2*IFERROR(Y159/$B$31,0)+$L$3*IF($D$31&gt;0,IFERROR(AC159/$D$31,0),0)+$L$4*IFERROR(AD159,0)-$L$5*IFERROR(AE159,0)-$L$6*MAX(0,IFERROR(AB159,0)-$L$7)+ROW()/1000000)</f>
        <v/>
      </c>
      <c r="AG159">
        <f>IFERROR(INDEX(GERAL[LADO],126),"")</f>
        <v/>
      </c>
    </row>
    <row r="160">
      <c r="M160">
        <f>IFERROR(INDEX(GERAL[PONTO],147),"")</f>
        <v/>
      </c>
      <c r="N160">
        <f>IF(M160="","",IFERROR(INDEX(GERAL[ACUMULADA],147),0))</f>
        <v/>
      </c>
      <c r="O160">
        <f>IF(N160="","",$B$11-N160)</f>
        <v/>
      </c>
      <c r="P160">
        <f>IF(N160="","",IF(N160*1.15&lt;=30,30,IF(N160*1.15&lt;=45,45,IF(N160*1.15&lt;=75,75,IF(N160*1.15&lt;=112.5,112.5,IF(N160*1.15&lt;=150,150,IF(N160*1.15&lt;=225,225,300)))))))</f>
        <v/>
      </c>
      <c r="Q160">
        <f>IF(P160="","",IFERROR(N160/P160,0))</f>
        <v/>
      </c>
      <c r="R160">
        <f>IF(M160="","",IFERROR(INDEX(Tabela7[QT %],MATCH(M160,Tabela7[PONTO],0)),0))</f>
        <v/>
      </c>
      <c r="S160">
        <f>IF(N160="","",IFERROR(1-ABS(N160-O160)/$B$11,0))</f>
        <v/>
      </c>
      <c r="T160">
        <f>IF(M160="","",IF($B$9&gt;$B$8,IFERROR((INDEX(GERAL[SNAP],147)-$B$8)/($B$9-$B$8),0),0))</f>
        <v/>
      </c>
      <c r="U160">
        <f>IF(OR(M160="",V160&lt;&gt;"ESQUERDO"),"",$L$2*IFERROR(N160/$B$11,0)+$L$3*IF($D$11&gt;0,IFERROR(R160/$D$11,0),0)+$L$4*IFERROR(S160,0)-$L$5*IFERROR(T160,0)-$L$6*MAX(0,IFERROR(Q160,0)-$L$7)+ROW()/1000000)</f>
        <v/>
      </c>
      <c r="V160">
        <f>IFERROR(INDEX(GERAL[LADO],147),"")</f>
        <v/>
      </c>
      <c r="X160">
        <f>IFERROR(INDEX(GERAL[PONTO],127),"")</f>
        <v/>
      </c>
      <c r="Y160">
        <f>IF(X160="","",IFERROR(INDEX(GERAL[ACUMULADA],127),0))</f>
        <v/>
      </c>
      <c r="Z160">
        <f>IF(Y160="","",$B$31-Y160)</f>
        <v/>
      </c>
      <c r="AA160">
        <f>IF(Y160="","",IF(Y160*1.15&lt;=30,30,IF(Y160*1.15&lt;=45,45,IF(Y160*1.15&lt;=75,75,IF(Y160*1.15&lt;=112.5,112.5,IF(Y160*1.15&lt;=150,150,IF(Y160*1.15&lt;=225,225,300)))))))</f>
        <v/>
      </c>
      <c r="AB160">
        <f>IF(AA160="","",IFERROR(Y160/AA160,0))</f>
        <v/>
      </c>
      <c r="AC160">
        <f>IF(X160="","",IFERROR(INDEX(DIR_ATUAL[QT %],MATCH(X160,DIR_ATUAL[PONTO],0)),0))</f>
        <v/>
      </c>
      <c r="AD160">
        <f>IF(Y160="","",IFERROR(1-ABS(Y160-Z160)/$B$31,0))</f>
        <v/>
      </c>
      <c r="AE160">
        <f>IF(X160="","",IF($E$9&gt;$E$8,IFERROR((INDEX(GERAL[SNAP],127)-$E$8)/($E$9-$E$8),0),0))</f>
        <v/>
      </c>
      <c r="AF160">
        <f>IF(OR(X160="",AG160&lt;&gt;"DIREITO"),"",$L$2*IFERROR(Y160/$B$31,0)+$L$3*IF($D$31&gt;0,IFERROR(AC160/$D$31,0),0)+$L$4*IFERROR(AD160,0)-$L$5*IFERROR(AE160,0)-$L$6*MAX(0,IFERROR(AB160,0)-$L$7)+ROW()/1000000)</f>
        <v/>
      </c>
      <c r="AG160">
        <f>IFERROR(INDEX(GERAL[LADO],127),"")</f>
        <v/>
      </c>
    </row>
    <row r="161">
      <c r="M161">
        <f>IFERROR(INDEX(GERAL[PONTO],148),"")</f>
        <v/>
      </c>
      <c r="N161">
        <f>IF(M161="","",IFERROR(INDEX(GERAL[ACUMULADA],148),0))</f>
        <v/>
      </c>
      <c r="O161">
        <f>IF(N161="","",$B$11-N161)</f>
        <v/>
      </c>
      <c r="P161">
        <f>IF(N161="","",IF(N161*1.15&lt;=30,30,IF(N161*1.15&lt;=45,45,IF(N161*1.15&lt;=75,75,IF(N161*1.15&lt;=112.5,112.5,IF(N161*1.15&lt;=150,150,IF(N161*1.15&lt;=225,225,300)))))))</f>
        <v/>
      </c>
      <c r="Q161">
        <f>IF(P161="","",IFERROR(N161/P161,0))</f>
        <v/>
      </c>
      <c r="R161">
        <f>IF(M161="","",IFERROR(INDEX(Tabela7[QT %],MATCH(M161,Tabela7[PONTO],0)),0))</f>
        <v/>
      </c>
      <c r="S161">
        <f>IF(N161="","",IFERROR(1-ABS(N161-O161)/$B$11,0))</f>
        <v/>
      </c>
      <c r="T161">
        <f>IF(M161="","",IF($B$9&gt;$B$8,IFERROR((INDEX(GERAL[SNAP],148)-$B$8)/($B$9-$B$8),0),0))</f>
        <v/>
      </c>
      <c r="U161">
        <f>IF(OR(M161="",V161&lt;&gt;"ESQUERDO"),"",$L$2*IFERROR(N161/$B$11,0)+$L$3*IF($D$11&gt;0,IFERROR(R161/$D$11,0),0)+$L$4*IFERROR(S161,0)-$L$5*IFERROR(T161,0)-$L$6*MAX(0,IFERROR(Q161,0)-$L$7)+ROW()/1000000)</f>
        <v/>
      </c>
      <c r="V161">
        <f>IFERROR(INDEX(GERAL[LADO],148),"")</f>
        <v/>
      </c>
      <c r="X161">
        <f>IFERROR(INDEX(GERAL[PONTO],128),"")</f>
        <v/>
      </c>
      <c r="Y161">
        <f>IF(X161="","",IFERROR(INDEX(GERAL[ACUMULADA],128),0))</f>
        <v/>
      </c>
      <c r="Z161">
        <f>IF(Y161="","",$B$31-Y161)</f>
        <v/>
      </c>
      <c r="AA161">
        <f>IF(Y161="","",IF(Y161*1.15&lt;=30,30,IF(Y161*1.15&lt;=45,45,IF(Y161*1.15&lt;=75,75,IF(Y161*1.15&lt;=112.5,112.5,IF(Y161*1.15&lt;=150,150,IF(Y161*1.15&lt;=225,225,300)))))))</f>
        <v/>
      </c>
      <c r="AB161">
        <f>IF(AA161="","",IFERROR(Y161/AA161,0))</f>
        <v/>
      </c>
      <c r="AC161">
        <f>IF(X161="","",IFERROR(INDEX(DIR_ATUAL[QT %],MATCH(X161,DIR_ATUAL[PONTO],0)),0))</f>
        <v/>
      </c>
      <c r="AD161">
        <f>IF(Y161="","",IFERROR(1-ABS(Y161-Z161)/$B$31,0))</f>
        <v/>
      </c>
      <c r="AE161">
        <f>IF(X161="","",IF($E$9&gt;$E$8,IFERROR((INDEX(GERAL[SNAP],128)-$E$8)/($E$9-$E$8),0),0))</f>
        <v/>
      </c>
      <c r="AF161">
        <f>IF(OR(X161="",AG161&lt;&gt;"DIREITO"),"",$L$2*IFERROR(Y161/$B$31,0)+$L$3*IF($D$31&gt;0,IFERROR(AC161/$D$31,0),0)+$L$4*IFERROR(AD161,0)-$L$5*IFERROR(AE161,0)-$L$6*MAX(0,IFERROR(AB161,0)-$L$7)+ROW()/1000000)</f>
        <v/>
      </c>
      <c r="AG161">
        <f>IFERROR(INDEX(GERAL[LADO],128),"")</f>
        <v/>
      </c>
    </row>
    <row r="162">
      <c r="M162">
        <f>IFERROR(INDEX(GERAL[PONTO],149),"")</f>
        <v/>
      </c>
      <c r="N162">
        <f>IF(M162="","",IFERROR(INDEX(GERAL[ACUMULADA],149),0))</f>
        <v/>
      </c>
      <c r="O162">
        <f>IF(N162="","",$B$11-N162)</f>
        <v/>
      </c>
      <c r="P162">
        <f>IF(N162="","",IF(N162*1.15&lt;=30,30,IF(N162*1.15&lt;=45,45,IF(N162*1.15&lt;=75,75,IF(N162*1.15&lt;=112.5,112.5,IF(N162*1.15&lt;=150,150,IF(N162*1.15&lt;=225,225,300)))))))</f>
        <v/>
      </c>
      <c r="Q162">
        <f>IF(P162="","",IFERROR(N162/P162,0))</f>
        <v/>
      </c>
      <c r="R162">
        <f>IF(M162="","",IFERROR(INDEX(Tabela7[QT %],MATCH(M162,Tabela7[PONTO],0)),0))</f>
        <v/>
      </c>
      <c r="S162">
        <f>IF(N162="","",IFERROR(1-ABS(N162-O162)/$B$11,0))</f>
        <v/>
      </c>
      <c r="T162">
        <f>IF(M162="","",IF($B$9&gt;$B$8,IFERROR((INDEX(GERAL[SNAP],149)-$B$8)/($B$9-$B$8),0),0))</f>
        <v/>
      </c>
      <c r="U162">
        <f>IF(OR(M162="",V162&lt;&gt;"ESQUERDO"),"",$L$2*IFERROR(N162/$B$11,0)+$L$3*IF($D$11&gt;0,IFERROR(R162/$D$11,0),0)+$L$4*IFERROR(S162,0)-$L$5*IFERROR(T162,0)-$L$6*MAX(0,IFERROR(Q162,0)-$L$7)+ROW()/1000000)</f>
        <v/>
      </c>
      <c r="V162">
        <f>IFERROR(INDEX(GERAL[LADO],149),"")</f>
        <v/>
      </c>
      <c r="X162">
        <f>IFERROR(INDEX(GERAL[PONTO],129),"")</f>
        <v/>
      </c>
      <c r="Y162">
        <f>IF(X162="","",IFERROR(INDEX(GERAL[ACUMULADA],129),0))</f>
        <v/>
      </c>
      <c r="Z162">
        <f>IF(Y162="","",$B$31-Y162)</f>
        <v/>
      </c>
      <c r="AA162">
        <f>IF(Y162="","",IF(Y162*1.15&lt;=30,30,IF(Y162*1.15&lt;=45,45,IF(Y162*1.15&lt;=75,75,IF(Y162*1.15&lt;=112.5,112.5,IF(Y162*1.15&lt;=150,150,IF(Y162*1.15&lt;=225,225,300)))))))</f>
        <v/>
      </c>
      <c r="AB162">
        <f>IF(AA162="","",IFERROR(Y162/AA162,0))</f>
        <v/>
      </c>
      <c r="AC162">
        <f>IF(X162="","",IFERROR(INDEX(DIR_ATUAL[QT %],MATCH(X162,DIR_ATUAL[PONTO],0)),0))</f>
        <v/>
      </c>
      <c r="AD162">
        <f>IF(Y162="","",IFERROR(1-ABS(Y162-Z162)/$B$31,0))</f>
        <v/>
      </c>
      <c r="AE162">
        <f>IF(X162="","",IF($E$9&gt;$E$8,IFERROR((INDEX(GERAL[SNAP],129)-$E$8)/($E$9-$E$8),0),0))</f>
        <v/>
      </c>
      <c r="AF162">
        <f>IF(OR(X162="",AG162&lt;&gt;"DIREITO"),"",$L$2*IFERROR(Y162/$B$31,0)+$L$3*IF($D$31&gt;0,IFERROR(AC162/$D$31,0),0)+$L$4*IFERROR(AD162,0)-$L$5*IFERROR(AE162,0)-$L$6*MAX(0,IFERROR(AB162,0)-$L$7)+ROW()/1000000)</f>
        <v/>
      </c>
      <c r="AG162">
        <f>IFERROR(INDEX(GERAL[LADO],129),"")</f>
        <v/>
      </c>
    </row>
    <row r="163">
      <c r="M163">
        <f>IFERROR(INDEX(GERAL[PONTO],150),"")</f>
        <v/>
      </c>
      <c r="N163">
        <f>IF(M163="","",IFERROR(INDEX(GERAL[ACUMULADA],150),0))</f>
        <v/>
      </c>
      <c r="O163">
        <f>IF(N163="","",$B$11-N163)</f>
        <v/>
      </c>
      <c r="P163">
        <f>IF(N163="","",IF(N163*1.15&lt;=30,30,IF(N163*1.15&lt;=45,45,IF(N163*1.15&lt;=75,75,IF(N163*1.15&lt;=112.5,112.5,IF(N163*1.15&lt;=150,150,IF(N163*1.15&lt;=225,225,300)))))))</f>
        <v/>
      </c>
      <c r="Q163">
        <f>IF(P163="","",IFERROR(N163/P163,0))</f>
        <v/>
      </c>
      <c r="R163">
        <f>IF(M163="","",IFERROR(INDEX(Tabela7[QT %],MATCH(M163,Tabela7[PONTO],0)),0))</f>
        <v/>
      </c>
      <c r="S163">
        <f>IF(N163="","",IFERROR(1-ABS(N163-O163)/$B$11,0))</f>
        <v/>
      </c>
      <c r="T163">
        <f>IF(M163="","",IF($B$9&gt;$B$8,IFERROR((INDEX(GERAL[SNAP],150)-$B$8)/($B$9-$B$8),0),0))</f>
        <v/>
      </c>
      <c r="U163">
        <f>IF(OR(M163="",V163&lt;&gt;"ESQUERDO"),"",$L$2*IFERROR(N163/$B$11,0)+$L$3*IF($D$11&gt;0,IFERROR(R163/$D$11,0),0)+$L$4*IFERROR(S163,0)-$L$5*IFERROR(T163,0)-$L$6*MAX(0,IFERROR(Q163,0)-$L$7)+ROW()/1000000)</f>
        <v/>
      </c>
      <c r="V163">
        <f>IFERROR(INDEX(GERAL[LADO],150),"")</f>
        <v/>
      </c>
      <c r="X163">
        <f>IFERROR(INDEX(GERAL[PONTO],130),"")</f>
        <v/>
      </c>
      <c r="Y163">
        <f>IF(X163="","",IFERROR(INDEX(GERAL[ACUMULADA],130),0))</f>
        <v/>
      </c>
      <c r="Z163">
        <f>IF(Y163="","",$B$31-Y163)</f>
        <v/>
      </c>
      <c r="AA163">
        <f>IF(Y163="","",IF(Y163*1.15&lt;=30,30,IF(Y163*1.15&lt;=45,45,IF(Y163*1.15&lt;=75,75,IF(Y163*1.15&lt;=112.5,112.5,IF(Y163*1.15&lt;=150,150,IF(Y163*1.15&lt;=225,225,300)))))))</f>
        <v/>
      </c>
      <c r="AB163">
        <f>IF(AA163="","",IFERROR(Y163/AA163,0))</f>
        <v/>
      </c>
      <c r="AC163">
        <f>IF(X163="","",IFERROR(INDEX(DIR_ATUAL[QT %],MATCH(X163,DIR_ATUAL[PONTO],0)),0))</f>
        <v/>
      </c>
      <c r="AD163">
        <f>IF(Y163="","",IFERROR(1-ABS(Y163-Z163)/$B$31,0))</f>
        <v/>
      </c>
      <c r="AE163">
        <f>IF(X163="","",IF($E$9&gt;$E$8,IFERROR((INDEX(GERAL[SNAP],130)-$E$8)/($E$9-$E$8),0),0))</f>
        <v/>
      </c>
      <c r="AF163">
        <f>IF(OR(X163="",AG163&lt;&gt;"DIREITO"),"",$L$2*IFERROR(Y163/$B$31,0)+$L$3*IF($D$31&gt;0,IFERROR(AC163/$D$31,0),0)+$L$4*IFERROR(AD163,0)-$L$5*IFERROR(AE163,0)-$L$6*MAX(0,IFERROR(AB163,0)-$L$7)+ROW()/1000000)</f>
        <v/>
      </c>
      <c r="AG163">
        <f>IFERROR(INDEX(GERAL[LADO],130),"")</f>
        <v/>
      </c>
    </row>
    <row r="164">
      <c r="M164">
        <f>IFERROR(INDEX(GERAL[PONTO],151),"")</f>
        <v/>
      </c>
      <c r="N164">
        <f>IF(M164="","",IFERROR(INDEX(GERAL[ACUMULADA],151),0))</f>
        <v/>
      </c>
      <c r="O164">
        <f>IF(N164="","",$B$11-N164)</f>
        <v/>
      </c>
      <c r="P164">
        <f>IF(N164="","",IF(N164*1.15&lt;=30,30,IF(N164*1.15&lt;=45,45,IF(N164*1.15&lt;=75,75,IF(N164*1.15&lt;=112.5,112.5,IF(N164*1.15&lt;=150,150,IF(N164*1.15&lt;=225,225,300)))))))</f>
        <v/>
      </c>
      <c r="Q164">
        <f>IF(P164="","",IFERROR(N164/P164,0))</f>
        <v/>
      </c>
      <c r="R164">
        <f>IF(M164="","",IFERROR(INDEX(Tabela7[QT %],MATCH(M164,Tabela7[PONTO],0)),0))</f>
        <v/>
      </c>
      <c r="S164">
        <f>IF(N164="","",IFERROR(1-ABS(N164-O164)/$B$11,0))</f>
        <v/>
      </c>
      <c r="T164">
        <f>IF(M164="","",IF($B$9&gt;$B$8,IFERROR((INDEX(GERAL[SNAP],151)-$B$8)/($B$9-$B$8),0),0))</f>
        <v/>
      </c>
      <c r="U164">
        <f>IF(OR(M164="",V164&lt;&gt;"ESQUERDO"),"",$L$2*IFERROR(N164/$B$11,0)+$L$3*IF($D$11&gt;0,IFERROR(R164/$D$11,0),0)+$L$4*IFERROR(S164,0)-$L$5*IFERROR(T164,0)-$L$6*MAX(0,IFERROR(Q164,0)-$L$7)+ROW()/1000000)</f>
        <v/>
      </c>
      <c r="V164">
        <f>IFERROR(INDEX(GERAL[LADO],151),"")</f>
        <v/>
      </c>
      <c r="X164">
        <f>IFERROR(INDEX(GERAL[PONTO],131),"")</f>
        <v/>
      </c>
      <c r="Y164">
        <f>IF(X164="","",IFERROR(INDEX(GERAL[ACUMULADA],131),0))</f>
        <v/>
      </c>
      <c r="Z164">
        <f>IF(Y164="","",$B$31-Y164)</f>
        <v/>
      </c>
      <c r="AA164">
        <f>IF(Y164="","",IF(Y164*1.15&lt;=30,30,IF(Y164*1.15&lt;=45,45,IF(Y164*1.15&lt;=75,75,IF(Y164*1.15&lt;=112.5,112.5,IF(Y164*1.15&lt;=150,150,IF(Y164*1.15&lt;=225,225,300)))))))</f>
        <v/>
      </c>
      <c r="AB164">
        <f>IF(AA164="","",IFERROR(Y164/AA164,0))</f>
        <v/>
      </c>
      <c r="AC164">
        <f>IF(X164="","",IFERROR(INDEX(DIR_ATUAL[QT %],MATCH(X164,DIR_ATUAL[PONTO],0)),0))</f>
        <v/>
      </c>
      <c r="AD164">
        <f>IF(Y164="","",IFERROR(1-ABS(Y164-Z164)/$B$31,0))</f>
        <v/>
      </c>
      <c r="AE164">
        <f>IF(X164="","",IF($E$9&gt;$E$8,IFERROR((INDEX(GERAL[SNAP],131)-$E$8)/($E$9-$E$8),0),0))</f>
        <v/>
      </c>
      <c r="AF164">
        <f>IF(OR(X164="",AG164&lt;&gt;"DIREITO"),"",$L$2*IFERROR(Y164/$B$31,0)+$L$3*IF($D$31&gt;0,IFERROR(AC164/$D$31,0),0)+$L$4*IFERROR(AD164,0)-$L$5*IFERROR(AE164,0)-$L$6*MAX(0,IFERROR(AB164,0)-$L$7)+ROW()/1000000)</f>
        <v/>
      </c>
      <c r="AG164">
        <f>IFERROR(INDEX(GERAL[LADO],131),"")</f>
        <v/>
      </c>
    </row>
    <row r="165">
      <c r="M165">
        <f>IFERROR(INDEX(GERAL[PONTO],152),"")</f>
        <v/>
      </c>
      <c r="N165">
        <f>IF(M165="","",IFERROR(INDEX(GERAL[ACUMULADA],152),0))</f>
        <v/>
      </c>
      <c r="O165">
        <f>IF(N165="","",$B$11-N165)</f>
        <v/>
      </c>
      <c r="P165">
        <f>IF(N165="","",IF(N165*1.15&lt;=30,30,IF(N165*1.15&lt;=45,45,IF(N165*1.15&lt;=75,75,IF(N165*1.15&lt;=112.5,112.5,IF(N165*1.15&lt;=150,150,IF(N165*1.15&lt;=225,225,300)))))))</f>
        <v/>
      </c>
      <c r="Q165">
        <f>IF(P165="","",IFERROR(N165/P165,0))</f>
        <v/>
      </c>
      <c r="R165">
        <f>IF(M165="","",IFERROR(INDEX(Tabela7[QT %],MATCH(M165,Tabela7[PONTO],0)),0))</f>
        <v/>
      </c>
      <c r="S165">
        <f>IF(N165="","",IFERROR(1-ABS(N165-O165)/$B$11,0))</f>
        <v/>
      </c>
      <c r="T165">
        <f>IF(M165="","",IF($B$9&gt;$B$8,IFERROR((INDEX(GERAL[SNAP],152)-$B$8)/($B$9-$B$8),0),0))</f>
        <v/>
      </c>
      <c r="U165">
        <f>IF(OR(M165="",V165&lt;&gt;"ESQUERDO"),"",$L$2*IFERROR(N165/$B$11,0)+$L$3*IF($D$11&gt;0,IFERROR(R165/$D$11,0),0)+$L$4*IFERROR(S165,0)-$L$5*IFERROR(T165,0)-$L$6*MAX(0,IFERROR(Q165,0)-$L$7)+ROW()/1000000)</f>
        <v/>
      </c>
      <c r="V165">
        <f>IFERROR(INDEX(GERAL[LADO],152),"")</f>
        <v/>
      </c>
      <c r="X165">
        <f>IFERROR(INDEX(GERAL[PONTO],132),"")</f>
        <v/>
      </c>
      <c r="Y165">
        <f>IF(X165="","",IFERROR(INDEX(GERAL[ACUMULADA],132),0))</f>
        <v/>
      </c>
      <c r="Z165">
        <f>IF(Y165="","",$B$31-Y165)</f>
        <v/>
      </c>
      <c r="AA165">
        <f>IF(Y165="","",IF(Y165*1.15&lt;=30,30,IF(Y165*1.15&lt;=45,45,IF(Y165*1.15&lt;=75,75,IF(Y165*1.15&lt;=112.5,112.5,IF(Y165*1.15&lt;=150,150,IF(Y165*1.15&lt;=225,225,300)))))))</f>
        <v/>
      </c>
      <c r="AB165">
        <f>IF(AA165="","",IFERROR(Y165/AA165,0))</f>
        <v/>
      </c>
      <c r="AC165">
        <f>IF(X165="","",IFERROR(INDEX(DIR_ATUAL[QT %],MATCH(X165,DIR_ATUAL[PONTO],0)),0))</f>
        <v/>
      </c>
      <c r="AD165">
        <f>IF(Y165="","",IFERROR(1-ABS(Y165-Z165)/$B$31,0))</f>
        <v/>
      </c>
      <c r="AE165">
        <f>IF(X165="","",IF($E$9&gt;$E$8,IFERROR((INDEX(GERAL[SNAP],132)-$E$8)/($E$9-$E$8),0),0))</f>
        <v/>
      </c>
      <c r="AF165">
        <f>IF(OR(X165="",AG165&lt;&gt;"DIREITO"),"",$L$2*IFERROR(Y165/$B$31,0)+$L$3*IF($D$31&gt;0,IFERROR(AC165/$D$31,0),0)+$L$4*IFERROR(AD165,0)-$L$5*IFERROR(AE165,0)-$L$6*MAX(0,IFERROR(AB165,0)-$L$7)+ROW()/1000000)</f>
        <v/>
      </c>
      <c r="AG165">
        <f>IFERROR(INDEX(GERAL[LADO],132),"")</f>
        <v/>
      </c>
    </row>
    <row r="166">
      <c r="M166">
        <f>IFERROR(INDEX(GERAL[PONTO],153),"")</f>
        <v/>
      </c>
      <c r="N166">
        <f>IF(M166="","",IFERROR(INDEX(GERAL[ACUMULADA],153),0))</f>
        <v/>
      </c>
      <c r="O166">
        <f>IF(N166="","",$B$11-N166)</f>
        <v/>
      </c>
      <c r="P166">
        <f>IF(N166="","",IF(N166*1.15&lt;=30,30,IF(N166*1.15&lt;=45,45,IF(N166*1.15&lt;=75,75,IF(N166*1.15&lt;=112.5,112.5,IF(N166*1.15&lt;=150,150,IF(N166*1.15&lt;=225,225,300)))))))</f>
        <v/>
      </c>
      <c r="Q166">
        <f>IF(P166="","",IFERROR(N166/P166,0))</f>
        <v/>
      </c>
      <c r="R166">
        <f>IF(M166="","",IFERROR(INDEX(Tabela7[QT %],MATCH(M166,Tabela7[PONTO],0)),0))</f>
        <v/>
      </c>
      <c r="S166">
        <f>IF(N166="","",IFERROR(1-ABS(N166-O166)/$B$11,0))</f>
        <v/>
      </c>
      <c r="T166">
        <f>IF(M166="","",IF($B$9&gt;$B$8,IFERROR((INDEX(GERAL[SNAP],153)-$B$8)/($B$9-$B$8),0),0))</f>
        <v/>
      </c>
      <c r="U166">
        <f>IF(OR(M166="",V166&lt;&gt;"ESQUERDO"),"",$L$2*IFERROR(N166/$B$11,0)+$L$3*IF($D$11&gt;0,IFERROR(R166/$D$11,0),0)+$L$4*IFERROR(S166,0)-$L$5*IFERROR(T166,0)-$L$6*MAX(0,IFERROR(Q166,0)-$L$7)+ROW()/1000000)</f>
        <v/>
      </c>
      <c r="V166">
        <f>IFERROR(INDEX(GERAL[LADO],153),"")</f>
        <v/>
      </c>
      <c r="X166">
        <f>IFERROR(INDEX(GERAL[PONTO],133),"")</f>
        <v/>
      </c>
      <c r="Y166">
        <f>IF(X166="","",IFERROR(INDEX(GERAL[ACUMULADA],133),0))</f>
        <v/>
      </c>
      <c r="Z166">
        <f>IF(Y166="","",$B$31-Y166)</f>
        <v/>
      </c>
      <c r="AA166">
        <f>IF(Y166="","",IF(Y166*1.15&lt;=30,30,IF(Y166*1.15&lt;=45,45,IF(Y166*1.15&lt;=75,75,IF(Y166*1.15&lt;=112.5,112.5,IF(Y166*1.15&lt;=150,150,IF(Y166*1.15&lt;=225,225,300)))))))</f>
        <v/>
      </c>
      <c r="AB166">
        <f>IF(AA166="","",IFERROR(Y166/AA166,0))</f>
        <v/>
      </c>
      <c r="AC166">
        <f>IF(X166="","",IFERROR(INDEX(DIR_ATUAL[QT %],MATCH(X166,DIR_ATUAL[PONTO],0)),0))</f>
        <v/>
      </c>
      <c r="AD166">
        <f>IF(Y166="","",IFERROR(1-ABS(Y166-Z166)/$B$31,0))</f>
        <v/>
      </c>
      <c r="AE166">
        <f>IF(X166="","",IF($E$9&gt;$E$8,IFERROR((INDEX(GERAL[SNAP],133)-$E$8)/($E$9-$E$8),0),0))</f>
        <v/>
      </c>
      <c r="AF166">
        <f>IF(OR(X166="",AG166&lt;&gt;"DIREITO"),"",$L$2*IFERROR(Y166/$B$31,0)+$L$3*IF($D$31&gt;0,IFERROR(AC166/$D$31,0),0)+$L$4*IFERROR(AD166,0)-$L$5*IFERROR(AE166,0)-$L$6*MAX(0,IFERROR(AB166,0)-$L$7)+ROW()/1000000)</f>
        <v/>
      </c>
      <c r="AG166">
        <f>IFERROR(INDEX(GERAL[LADO],133),"")</f>
        <v/>
      </c>
    </row>
    <row r="167">
      <c r="M167">
        <f>IFERROR(INDEX(GERAL[PONTO],154),"")</f>
        <v/>
      </c>
      <c r="N167">
        <f>IF(M167="","",IFERROR(INDEX(GERAL[ACUMULADA],154),0))</f>
        <v/>
      </c>
      <c r="O167">
        <f>IF(N167="","",$B$11-N167)</f>
        <v/>
      </c>
      <c r="P167">
        <f>IF(N167="","",IF(N167*1.15&lt;=30,30,IF(N167*1.15&lt;=45,45,IF(N167*1.15&lt;=75,75,IF(N167*1.15&lt;=112.5,112.5,IF(N167*1.15&lt;=150,150,IF(N167*1.15&lt;=225,225,300)))))))</f>
        <v/>
      </c>
      <c r="Q167">
        <f>IF(P167="","",IFERROR(N167/P167,0))</f>
        <v/>
      </c>
      <c r="R167">
        <f>IF(M167="","",IFERROR(INDEX(Tabela7[QT %],MATCH(M167,Tabela7[PONTO],0)),0))</f>
        <v/>
      </c>
      <c r="S167">
        <f>IF(N167="","",IFERROR(1-ABS(N167-O167)/$B$11,0))</f>
        <v/>
      </c>
      <c r="T167">
        <f>IF(M167="","",IF($B$9&gt;$B$8,IFERROR((INDEX(GERAL[SNAP],154)-$B$8)/($B$9-$B$8),0),0))</f>
        <v/>
      </c>
      <c r="U167">
        <f>IF(OR(M167="",V167&lt;&gt;"ESQUERDO"),"",$L$2*IFERROR(N167/$B$11,0)+$L$3*IF($D$11&gt;0,IFERROR(R167/$D$11,0),0)+$L$4*IFERROR(S167,0)-$L$5*IFERROR(T167,0)-$L$6*MAX(0,IFERROR(Q167,0)-$L$7)+ROW()/1000000)</f>
        <v/>
      </c>
      <c r="V167">
        <f>IFERROR(INDEX(GERAL[LADO],154),"")</f>
        <v/>
      </c>
      <c r="X167">
        <f>IFERROR(INDEX(GERAL[PONTO],134),"")</f>
        <v/>
      </c>
      <c r="Y167">
        <f>IF(X167="","",IFERROR(INDEX(GERAL[ACUMULADA],134),0))</f>
        <v/>
      </c>
      <c r="Z167">
        <f>IF(Y167="","",$B$31-Y167)</f>
        <v/>
      </c>
      <c r="AA167">
        <f>IF(Y167="","",IF(Y167*1.15&lt;=30,30,IF(Y167*1.15&lt;=45,45,IF(Y167*1.15&lt;=75,75,IF(Y167*1.15&lt;=112.5,112.5,IF(Y167*1.15&lt;=150,150,IF(Y167*1.15&lt;=225,225,300)))))))</f>
        <v/>
      </c>
      <c r="AB167">
        <f>IF(AA167="","",IFERROR(Y167/AA167,0))</f>
        <v/>
      </c>
      <c r="AC167">
        <f>IF(X167="","",IFERROR(INDEX(DIR_ATUAL[QT %],MATCH(X167,DIR_ATUAL[PONTO],0)),0))</f>
        <v/>
      </c>
      <c r="AD167">
        <f>IF(Y167="","",IFERROR(1-ABS(Y167-Z167)/$B$31,0))</f>
        <v/>
      </c>
      <c r="AE167">
        <f>IF(X167="","",IF($E$9&gt;$E$8,IFERROR((INDEX(GERAL[SNAP],134)-$E$8)/($E$9-$E$8),0),0))</f>
        <v/>
      </c>
      <c r="AF167">
        <f>IF(OR(X167="",AG167&lt;&gt;"DIREITO"),"",$L$2*IFERROR(Y167/$B$31,0)+$L$3*IF($D$31&gt;0,IFERROR(AC167/$D$31,0),0)+$L$4*IFERROR(AD167,0)-$L$5*IFERROR(AE167,0)-$L$6*MAX(0,IFERROR(AB167,0)-$L$7)+ROW()/1000000)</f>
        <v/>
      </c>
      <c r="AG167">
        <f>IFERROR(INDEX(GERAL[LADO],134),"")</f>
        <v/>
      </c>
    </row>
    <row r="168">
      <c r="M168">
        <f>IFERROR(INDEX(GERAL[PONTO],155),"")</f>
        <v/>
      </c>
      <c r="N168">
        <f>IF(M168="","",IFERROR(INDEX(GERAL[ACUMULADA],155),0))</f>
        <v/>
      </c>
      <c r="O168">
        <f>IF(N168="","",$B$11-N168)</f>
        <v/>
      </c>
      <c r="P168">
        <f>IF(N168="","",IF(N168*1.15&lt;=30,30,IF(N168*1.15&lt;=45,45,IF(N168*1.15&lt;=75,75,IF(N168*1.15&lt;=112.5,112.5,IF(N168*1.15&lt;=150,150,IF(N168*1.15&lt;=225,225,300)))))))</f>
        <v/>
      </c>
      <c r="Q168">
        <f>IF(P168="","",IFERROR(N168/P168,0))</f>
        <v/>
      </c>
      <c r="R168">
        <f>IF(M168="","",IFERROR(INDEX(Tabela7[QT %],MATCH(M168,Tabela7[PONTO],0)),0))</f>
        <v/>
      </c>
      <c r="S168">
        <f>IF(N168="","",IFERROR(1-ABS(N168-O168)/$B$11,0))</f>
        <v/>
      </c>
      <c r="T168">
        <f>IF(M168="","",IF($B$9&gt;$B$8,IFERROR((INDEX(GERAL[SNAP],155)-$B$8)/($B$9-$B$8),0),0))</f>
        <v/>
      </c>
      <c r="U168">
        <f>IF(OR(M168="",V168&lt;&gt;"ESQUERDO"),"",$L$2*IFERROR(N168/$B$11,0)+$L$3*IF($D$11&gt;0,IFERROR(R168/$D$11,0),0)+$L$4*IFERROR(S168,0)-$L$5*IFERROR(T168,0)-$L$6*MAX(0,IFERROR(Q168,0)-$L$7)+ROW()/1000000)</f>
        <v/>
      </c>
      <c r="V168">
        <f>IFERROR(INDEX(GERAL[LADO],155),"")</f>
        <v/>
      </c>
      <c r="X168">
        <f>IFERROR(INDEX(GERAL[PONTO],135),"")</f>
        <v/>
      </c>
      <c r="Y168">
        <f>IF(X168="","",IFERROR(INDEX(GERAL[ACUMULADA],135),0))</f>
        <v/>
      </c>
      <c r="Z168">
        <f>IF(Y168="","",$B$31-Y168)</f>
        <v/>
      </c>
      <c r="AA168">
        <f>IF(Y168="","",IF(Y168*1.15&lt;=30,30,IF(Y168*1.15&lt;=45,45,IF(Y168*1.15&lt;=75,75,IF(Y168*1.15&lt;=112.5,112.5,IF(Y168*1.15&lt;=150,150,IF(Y168*1.15&lt;=225,225,300)))))))</f>
        <v/>
      </c>
      <c r="AB168">
        <f>IF(AA168="","",IFERROR(Y168/AA168,0))</f>
        <v/>
      </c>
      <c r="AC168">
        <f>IF(X168="","",IFERROR(INDEX(DIR_ATUAL[QT %],MATCH(X168,DIR_ATUAL[PONTO],0)),0))</f>
        <v/>
      </c>
      <c r="AD168">
        <f>IF(Y168="","",IFERROR(1-ABS(Y168-Z168)/$B$31,0))</f>
        <v/>
      </c>
      <c r="AE168">
        <f>IF(X168="","",IF($E$9&gt;$E$8,IFERROR((INDEX(GERAL[SNAP],135)-$E$8)/($E$9-$E$8),0),0))</f>
        <v/>
      </c>
      <c r="AF168">
        <f>IF(OR(X168="",AG168&lt;&gt;"DIREITO"),"",$L$2*IFERROR(Y168/$B$31,0)+$L$3*IF($D$31&gt;0,IFERROR(AC168/$D$31,0),0)+$L$4*IFERROR(AD168,0)-$L$5*IFERROR(AE168,0)-$L$6*MAX(0,IFERROR(AB168,0)-$L$7)+ROW()/1000000)</f>
        <v/>
      </c>
      <c r="AG168">
        <f>IFERROR(INDEX(GERAL[LADO],135),"")</f>
        <v/>
      </c>
    </row>
    <row r="169">
      <c r="M169">
        <f>IFERROR(INDEX(GERAL[PONTO],156),"")</f>
        <v/>
      </c>
      <c r="N169">
        <f>IF(M169="","",IFERROR(INDEX(GERAL[ACUMULADA],156),0))</f>
        <v/>
      </c>
      <c r="O169">
        <f>IF(N169="","",$B$11-N169)</f>
        <v/>
      </c>
      <c r="P169">
        <f>IF(N169="","",IF(N169*1.15&lt;=30,30,IF(N169*1.15&lt;=45,45,IF(N169*1.15&lt;=75,75,IF(N169*1.15&lt;=112.5,112.5,IF(N169*1.15&lt;=150,150,IF(N169*1.15&lt;=225,225,300)))))))</f>
        <v/>
      </c>
      <c r="Q169">
        <f>IF(P169="","",IFERROR(N169/P169,0))</f>
        <v/>
      </c>
      <c r="R169">
        <f>IF(M169="","",IFERROR(INDEX(Tabela7[QT %],MATCH(M169,Tabela7[PONTO],0)),0))</f>
        <v/>
      </c>
      <c r="S169">
        <f>IF(N169="","",IFERROR(1-ABS(N169-O169)/$B$11,0))</f>
        <v/>
      </c>
      <c r="T169">
        <f>IF(M169="","",IF($B$9&gt;$B$8,IFERROR((INDEX(GERAL[SNAP],156)-$B$8)/($B$9-$B$8),0),0))</f>
        <v/>
      </c>
      <c r="U169">
        <f>IF(OR(M169="",V169&lt;&gt;"ESQUERDO"),"",$L$2*IFERROR(N169/$B$11,0)+$L$3*IF($D$11&gt;0,IFERROR(R169/$D$11,0),0)+$L$4*IFERROR(S169,0)-$L$5*IFERROR(T169,0)-$L$6*MAX(0,IFERROR(Q169,0)-$L$7)+ROW()/1000000)</f>
        <v/>
      </c>
      <c r="V169">
        <f>IFERROR(INDEX(GERAL[LADO],156),"")</f>
        <v/>
      </c>
      <c r="X169">
        <f>IFERROR(INDEX(GERAL[PONTO],136),"")</f>
        <v/>
      </c>
      <c r="Y169">
        <f>IF(X169="","",IFERROR(INDEX(GERAL[ACUMULADA],136),0))</f>
        <v/>
      </c>
      <c r="Z169">
        <f>IF(Y169="","",$B$31-Y169)</f>
        <v/>
      </c>
      <c r="AA169">
        <f>IF(Y169="","",IF(Y169*1.15&lt;=30,30,IF(Y169*1.15&lt;=45,45,IF(Y169*1.15&lt;=75,75,IF(Y169*1.15&lt;=112.5,112.5,IF(Y169*1.15&lt;=150,150,IF(Y169*1.15&lt;=225,225,300)))))))</f>
        <v/>
      </c>
      <c r="AB169">
        <f>IF(AA169="","",IFERROR(Y169/AA169,0))</f>
        <v/>
      </c>
      <c r="AC169">
        <f>IF(X169="","",IFERROR(INDEX(DIR_ATUAL[QT %],MATCH(X169,DIR_ATUAL[PONTO],0)),0))</f>
        <v/>
      </c>
      <c r="AD169">
        <f>IF(Y169="","",IFERROR(1-ABS(Y169-Z169)/$B$31,0))</f>
        <v/>
      </c>
      <c r="AE169">
        <f>IF(X169="","",IF($E$9&gt;$E$8,IFERROR((INDEX(GERAL[SNAP],136)-$E$8)/($E$9-$E$8),0),0))</f>
        <v/>
      </c>
      <c r="AF169">
        <f>IF(OR(X169="",AG169&lt;&gt;"DIREITO"),"",$L$2*IFERROR(Y169/$B$31,0)+$L$3*IF($D$31&gt;0,IFERROR(AC169/$D$31,0),0)+$L$4*IFERROR(AD169,0)-$L$5*IFERROR(AE169,0)-$L$6*MAX(0,IFERROR(AB169,0)-$L$7)+ROW()/1000000)</f>
        <v/>
      </c>
      <c r="AG169">
        <f>IFERROR(INDEX(GERAL[LADO],136),"")</f>
        <v/>
      </c>
    </row>
    <row r="170">
      <c r="M170">
        <f>IFERROR(INDEX(GERAL[PONTO],157),"")</f>
        <v/>
      </c>
      <c r="N170">
        <f>IF(M170="","",IFERROR(INDEX(GERAL[ACUMULADA],157),0))</f>
        <v/>
      </c>
      <c r="O170">
        <f>IF(N170="","",$B$11-N170)</f>
        <v/>
      </c>
      <c r="P170">
        <f>IF(N170="","",IF(N170*1.15&lt;=30,30,IF(N170*1.15&lt;=45,45,IF(N170*1.15&lt;=75,75,IF(N170*1.15&lt;=112.5,112.5,IF(N170*1.15&lt;=150,150,IF(N170*1.15&lt;=225,225,300)))))))</f>
        <v/>
      </c>
      <c r="Q170">
        <f>IF(P170="","",IFERROR(N170/P170,0))</f>
        <v/>
      </c>
      <c r="R170">
        <f>IF(M170="","",IFERROR(INDEX(Tabela7[QT %],MATCH(M170,Tabela7[PONTO],0)),0))</f>
        <v/>
      </c>
      <c r="S170">
        <f>IF(N170="","",IFERROR(1-ABS(N170-O170)/$B$11,0))</f>
        <v/>
      </c>
      <c r="T170">
        <f>IF(M170="","",IF($B$9&gt;$B$8,IFERROR((INDEX(GERAL[SNAP],157)-$B$8)/($B$9-$B$8),0),0))</f>
        <v/>
      </c>
      <c r="U170">
        <f>IF(OR(M170="",V170&lt;&gt;"ESQUERDO"),"",$L$2*IFERROR(N170/$B$11,0)+$L$3*IF($D$11&gt;0,IFERROR(R170/$D$11,0),0)+$L$4*IFERROR(S170,0)-$L$5*IFERROR(T170,0)-$L$6*MAX(0,IFERROR(Q170,0)-$L$7)+ROW()/1000000)</f>
        <v/>
      </c>
      <c r="V170">
        <f>IFERROR(INDEX(GERAL[LADO],157),"")</f>
        <v/>
      </c>
      <c r="X170">
        <f>IFERROR(INDEX(GERAL[PONTO],137),"")</f>
        <v/>
      </c>
      <c r="Y170">
        <f>IF(X170="","",IFERROR(INDEX(GERAL[ACUMULADA],137),0))</f>
        <v/>
      </c>
      <c r="Z170">
        <f>IF(Y170="","",$B$31-Y170)</f>
        <v/>
      </c>
      <c r="AA170">
        <f>IF(Y170="","",IF(Y170*1.15&lt;=30,30,IF(Y170*1.15&lt;=45,45,IF(Y170*1.15&lt;=75,75,IF(Y170*1.15&lt;=112.5,112.5,IF(Y170*1.15&lt;=150,150,IF(Y170*1.15&lt;=225,225,300)))))))</f>
        <v/>
      </c>
      <c r="AB170">
        <f>IF(AA170="","",IFERROR(Y170/AA170,0))</f>
        <v/>
      </c>
      <c r="AC170">
        <f>IF(X170="","",IFERROR(INDEX(DIR_ATUAL[QT %],MATCH(X170,DIR_ATUAL[PONTO],0)),0))</f>
        <v/>
      </c>
      <c r="AD170">
        <f>IF(Y170="","",IFERROR(1-ABS(Y170-Z170)/$B$31,0))</f>
        <v/>
      </c>
      <c r="AE170">
        <f>IF(X170="","",IF($E$9&gt;$E$8,IFERROR((INDEX(GERAL[SNAP],137)-$E$8)/($E$9-$E$8),0),0))</f>
        <v/>
      </c>
      <c r="AF170">
        <f>IF(OR(X170="",AG170&lt;&gt;"DIREITO"),"",$L$2*IFERROR(Y170/$B$31,0)+$L$3*IF($D$31&gt;0,IFERROR(AC170/$D$31,0),0)+$L$4*IFERROR(AD170,0)-$L$5*IFERROR(AE170,0)-$L$6*MAX(0,IFERROR(AB170,0)-$L$7)+ROW()/1000000)</f>
        <v/>
      </c>
      <c r="AG170">
        <f>IFERROR(INDEX(GERAL[LADO],137),"")</f>
        <v/>
      </c>
    </row>
    <row r="171">
      <c r="M171">
        <f>IFERROR(INDEX(GERAL[PONTO],158),"")</f>
        <v/>
      </c>
      <c r="N171">
        <f>IF(M171="","",IFERROR(INDEX(GERAL[ACUMULADA],158),0))</f>
        <v/>
      </c>
      <c r="O171">
        <f>IF(N171="","",$B$11-N171)</f>
        <v/>
      </c>
      <c r="P171">
        <f>IF(N171="","",IF(N171*1.15&lt;=30,30,IF(N171*1.15&lt;=45,45,IF(N171*1.15&lt;=75,75,IF(N171*1.15&lt;=112.5,112.5,IF(N171*1.15&lt;=150,150,IF(N171*1.15&lt;=225,225,300)))))))</f>
        <v/>
      </c>
      <c r="Q171">
        <f>IF(P171="","",IFERROR(N171/P171,0))</f>
        <v/>
      </c>
      <c r="R171">
        <f>IF(M171="","",IFERROR(INDEX(Tabela7[QT %],MATCH(M171,Tabela7[PONTO],0)),0))</f>
        <v/>
      </c>
      <c r="S171">
        <f>IF(N171="","",IFERROR(1-ABS(N171-O171)/$B$11,0))</f>
        <v/>
      </c>
      <c r="T171">
        <f>IF(M171="","",IF($B$9&gt;$B$8,IFERROR((INDEX(GERAL[SNAP],158)-$B$8)/($B$9-$B$8),0),0))</f>
        <v/>
      </c>
      <c r="U171">
        <f>IF(OR(M171="",V171&lt;&gt;"ESQUERDO"),"",$L$2*IFERROR(N171/$B$11,0)+$L$3*IF($D$11&gt;0,IFERROR(R171/$D$11,0),0)+$L$4*IFERROR(S171,0)-$L$5*IFERROR(T171,0)-$L$6*MAX(0,IFERROR(Q171,0)-$L$7)+ROW()/1000000)</f>
        <v/>
      </c>
      <c r="V171">
        <f>IFERROR(INDEX(GERAL[LADO],158),"")</f>
        <v/>
      </c>
      <c r="X171">
        <f>IFERROR(INDEX(GERAL[PONTO],138),"")</f>
        <v/>
      </c>
      <c r="Y171">
        <f>IF(X171="","",IFERROR(INDEX(GERAL[ACUMULADA],138),0))</f>
        <v/>
      </c>
      <c r="Z171">
        <f>IF(Y171="","",$B$31-Y171)</f>
        <v/>
      </c>
      <c r="AA171">
        <f>IF(Y171="","",IF(Y171*1.15&lt;=30,30,IF(Y171*1.15&lt;=45,45,IF(Y171*1.15&lt;=75,75,IF(Y171*1.15&lt;=112.5,112.5,IF(Y171*1.15&lt;=150,150,IF(Y171*1.15&lt;=225,225,300)))))))</f>
        <v/>
      </c>
      <c r="AB171">
        <f>IF(AA171="","",IFERROR(Y171/AA171,0))</f>
        <v/>
      </c>
      <c r="AC171">
        <f>IF(X171="","",IFERROR(INDEX(DIR_ATUAL[QT %],MATCH(X171,DIR_ATUAL[PONTO],0)),0))</f>
        <v/>
      </c>
      <c r="AD171">
        <f>IF(Y171="","",IFERROR(1-ABS(Y171-Z171)/$B$31,0))</f>
        <v/>
      </c>
      <c r="AE171">
        <f>IF(X171="","",IF($E$9&gt;$E$8,IFERROR((INDEX(GERAL[SNAP],138)-$E$8)/($E$9-$E$8),0),0))</f>
        <v/>
      </c>
      <c r="AF171">
        <f>IF(OR(X171="",AG171&lt;&gt;"DIREITO"),"",$L$2*IFERROR(Y171/$B$31,0)+$L$3*IF($D$31&gt;0,IFERROR(AC171/$D$31,0),0)+$L$4*IFERROR(AD171,0)-$L$5*IFERROR(AE171,0)-$L$6*MAX(0,IFERROR(AB171,0)-$L$7)+ROW()/1000000)</f>
        <v/>
      </c>
      <c r="AG171">
        <f>IFERROR(INDEX(GERAL[LADO],138),"")</f>
        <v/>
      </c>
    </row>
    <row r="172">
      <c r="M172">
        <f>IFERROR(INDEX(GERAL[PONTO],159),"")</f>
        <v/>
      </c>
      <c r="N172">
        <f>IF(M172="","",IFERROR(INDEX(GERAL[ACUMULADA],159),0))</f>
        <v/>
      </c>
      <c r="O172">
        <f>IF(N172="","",$B$11-N172)</f>
        <v/>
      </c>
      <c r="P172">
        <f>IF(N172="","",IF(N172*1.15&lt;=30,30,IF(N172*1.15&lt;=45,45,IF(N172*1.15&lt;=75,75,IF(N172*1.15&lt;=112.5,112.5,IF(N172*1.15&lt;=150,150,IF(N172*1.15&lt;=225,225,300)))))))</f>
        <v/>
      </c>
      <c r="Q172">
        <f>IF(P172="","",IFERROR(N172/P172,0))</f>
        <v/>
      </c>
      <c r="R172">
        <f>IF(M172="","",IFERROR(INDEX(Tabela7[QT %],MATCH(M172,Tabela7[PONTO],0)),0))</f>
        <v/>
      </c>
      <c r="S172">
        <f>IF(N172="","",IFERROR(1-ABS(N172-O172)/$B$11,0))</f>
        <v/>
      </c>
      <c r="T172">
        <f>IF(M172="","",IF($B$9&gt;$B$8,IFERROR((INDEX(GERAL[SNAP],159)-$B$8)/($B$9-$B$8),0),0))</f>
        <v/>
      </c>
      <c r="U172">
        <f>IF(OR(M172="",V172&lt;&gt;"ESQUERDO"),"",$L$2*IFERROR(N172/$B$11,0)+$L$3*IF($D$11&gt;0,IFERROR(R172/$D$11,0),0)+$L$4*IFERROR(S172,0)-$L$5*IFERROR(T172,0)-$L$6*MAX(0,IFERROR(Q172,0)-$L$7)+ROW()/1000000)</f>
        <v/>
      </c>
      <c r="V172">
        <f>IFERROR(INDEX(GERAL[LADO],159),"")</f>
        <v/>
      </c>
      <c r="X172">
        <f>IFERROR(INDEX(GERAL[PONTO],139),"")</f>
        <v/>
      </c>
      <c r="Y172">
        <f>IF(X172="","",IFERROR(INDEX(GERAL[ACUMULADA],139),0))</f>
        <v/>
      </c>
      <c r="Z172">
        <f>IF(Y172="","",$B$31-Y172)</f>
        <v/>
      </c>
      <c r="AA172">
        <f>IF(Y172="","",IF(Y172*1.15&lt;=30,30,IF(Y172*1.15&lt;=45,45,IF(Y172*1.15&lt;=75,75,IF(Y172*1.15&lt;=112.5,112.5,IF(Y172*1.15&lt;=150,150,IF(Y172*1.15&lt;=225,225,300)))))))</f>
        <v/>
      </c>
      <c r="AB172">
        <f>IF(AA172="","",IFERROR(Y172/AA172,0))</f>
        <v/>
      </c>
      <c r="AC172">
        <f>IF(X172="","",IFERROR(INDEX(DIR_ATUAL[QT %],MATCH(X172,DIR_ATUAL[PONTO],0)),0))</f>
        <v/>
      </c>
      <c r="AD172">
        <f>IF(Y172="","",IFERROR(1-ABS(Y172-Z172)/$B$31,0))</f>
        <v/>
      </c>
      <c r="AE172">
        <f>IF(X172="","",IF($E$9&gt;$E$8,IFERROR((INDEX(GERAL[SNAP],139)-$E$8)/($E$9-$E$8),0),0))</f>
        <v/>
      </c>
      <c r="AF172">
        <f>IF(OR(X172="",AG172&lt;&gt;"DIREITO"),"",$L$2*IFERROR(Y172/$B$31,0)+$L$3*IF($D$31&gt;0,IFERROR(AC172/$D$31,0),0)+$L$4*IFERROR(AD172,0)-$L$5*IFERROR(AE172,0)-$L$6*MAX(0,IFERROR(AB172,0)-$L$7)+ROW()/1000000)</f>
        <v/>
      </c>
      <c r="AG172">
        <f>IFERROR(INDEX(GERAL[LADO],139),"")</f>
        <v/>
      </c>
    </row>
    <row r="173">
      <c r="M173">
        <f>IFERROR(INDEX(GERAL[PONTO],160),"")</f>
        <v/>
      </c>
      <c r="N173">
        <f>IF(M173="","",IFERROR(INDEX(GERAL[ACUMULADA],160),0))</f>
        <v/>
      </c>
      <c r="O173">
        <f>IF(N173="","",$B$11-N173)</f>
        <v/>
      </c>
      <c r="P173">
        <f>IF(N173="","",IF(N173*1.15&lt;=30,30,IF(N173*1.15&lt;=45,45,IF(N173*1.15&lt;=75,75,IF(N173*1.15&lt;=112.5,112.5,IF(N173*1.15&lt;=150,150,IF(N173*1.15&lt;=225,225,300)))))))</f>
        <v/>
      </c>
      <c r="Q173">
        <f>IF(P173="","",IFERROR(N173/P173,0))</f>
        <v/>
      </c>
      <c r="R173">
        <f>IF(M173="","",IFERROR(INDEX(Tabela7[QT %],MATCH(M173,Tabela7[PONTO],0)),0))</f>
        <v/>
      </c>
      <c r="S173">
        <f>IF(N173="","",IFERROR(1-ABS(N173-O173)/$B$11,0))</f>
        <v/>
      </c>
      <c r="T173">
        <f>IF(M173="","",IF($B$9&gt;$B$8,IFERROR((INDEX(GERAL[SNAP],160)-$B$8)/($B$9-$B$8),0),0))</f>
        <v/>
      </c>
      <c r="U173">
        <f>IF(OR(M173="",V173&lt;&gt;"ESQUERDO"),"",$L$2*IFERROR(N173/$B$11,0)+$L$3*IF($D$11&gt;0,IFERROR(R173/$D$11,0),0)+$L$4*IFERROR(S173,0)-$L$5*IFERROR(T173,0)-$L$6*MAX(0,IFERROR(Q173,0)-$L$7)+ROW()/1000000)</f>
        <v/>
      </c>
      <c r="V173">
        <f>IFERROR(INDEX(GERAL[LADO],160),"")</f>
        <v/>
      </c>
      <c r="X173">
        <f>IFERROR(INDEX(GERAL[PONTO],140),"")</f>
        <v/>
      </c>
      <c r="Y173">
        <f>IF(X173="","",IFERROR(INDEX(GERAL[ACUMULADA],140),0))</f>
        <v/>
      </c>
      <c r="Z173">
        <f>IF(Y173="","",$B$31-Y173)</f>
        <v/>
      </c>
      <c r="AA173">
        <f>IF(Y173="","",IF(Y173*1.15&lt;=30,30,IF(Y173*1.15&lt;=45,45,IF(Y173*1.15&lt;=75,75,IF(Y173*1.15&lt;=112.5,112.5,IF(Y173*1.15&lt;=150,150,IF(Y173*1.15&lt;=225,225,300)))))))</f>
        <v/>
      </c>
      <c r="AB173">
        <f>IF(AA173="","",IFERROR(Y173/AA173,0))</f>
        <v/>
      </c>
      <c r="AC173">
        <f>IF(X173="","",IFERROR(INDEX(DIR_ATUAL[QT %],MATCH(X173,DIR_ATUAL[PONTO],0)),0))</f>
        <v/>
      </c>
      <c r="AD173">
        <f>IF(Y173="","",IFERROR(1-ABS(Y173-Z173)/$B$31,0))</f>
        <v/>
      </c>
      <c r="AE173">
        <f>IF(X173="","",IF($E$9&gt;$E$8,IFERROR((INDEX(GERAL[SNAP],140)-$E$8)/($E$9-$E$8),0),0))</f>
        <v/>
      </c>
      <c r="AF173">
        <f>IF(OR(X173="",AG173&lt;&gt;"DIREITO"),"",$L$2*IFERROR(Y173/$B$31,0)+$L$3*IF($D$31&gt;0,IFERROR(AC173/$D$31,0),0)+$L$4*IFERROR(AD173,0)-$L$5*IFERROR(AE173,0)-$L$6*MAX(0,IFERROR(AB173,0)-$L$7)+ROW()/1000000)</f>
        <v/>
      </c>
      <c r="AG173">
        <f>IFERROR(INDEX(GERAL[LADO],140),"")</f>
        <v/>
      </c>
    </row>
    <row r="174">
      <c r="M174">
        <f>IFERROR(INDEX(GERAL[PONTO],161),"")</f>
        <v/>
      </c>
      <c r="N174">
        <f>IF(M174="","",IFERROR(INDEX(GERAL[ACUMULADA],161),0))</f>
        <v/>
      </c>
      <c r="O174">
        <f>IF(N174="","",$B$11-N174)</f>
        <v/>
      </c>
      <c r="P174">
        <f>IF(N174="","",IF(N174*1.15&lt;=30,30,IF(N174*1.15&lt;=45,45,IF(N174*1.15&lt;=75,75,IF(N174*1.15&lt;=112.5,112.5,IF(N174*1.15&lt;=150,150,IF(N174*1.15&lt;=225,225,300)))))))</f>
        <v/>
      </c>
      <c r="Q174">
        <f>IF(P174="","",IFERROR(N174/P174,0))</f>
        <v/>
      </c>
      <c r="R174">
        <f>IF(M174="","",IFERROR(INDEX(Tabela7[QT %],MATCH(M174,Tabela7[PONTO],0)),0))</f>
        <v/>
      </c>
      <c r="S174">
        <f>IF(N174="","",IFERROR(1-ABS(N174-O174)/$B$11,0))</f>
        <v/>
      </c>
      <c r="T174">
        <f>IF(M174="","",IF($B$9&gt;$B$8,IFERROR((INDEX(GERAL[SNAP],161)-$B$8)/($B$9-$B$8),0),0))</f>
        <v/>
      </c>
      <c r="U174">
        <f>IF(OR(M174="",V174&lt;&gt;"ESQUERDO"),"",$L$2*IFERROR(N174/$B$11,0)+$L$3*IF($D$11&gt;0,IFERROR(R174/$D$11,0),0)+$L$4*IFERROR(S174,0)-$L$5*IFERROR(T174,0)-$L$6*MAX(0,IFERROR(Q174,0)-$L$7)+ROW()/1000000)</f>
        <v/>
      </c>
      <c r="V174">
        <f>IFERROR(INDEX(GERAL[LADO],161),"")</f>
        <v/>
      </c>
      <c r="X174">
        <f>IFERROR(INDEX(GERAL[PONTO],141),"")</f>
        <v/>
      </c>
      <c r="Y174">
        <f>IF(X174="","",IFERROR(INDEX(GERAL[ACUMULADA],141),0))</f>
        <v/>
      </c>
      <c r="Z174">
        <f>IF(Y174="","",$B$31-Y174)</f>
        <v/>
      </c>
      <c r="AA174">
        <f>IF(Y174="","",IF(Y174*1.15&lt;=30,30,IF(Y174*1.15&lt;=45,45,IF(Y174*1.15&lt;=75,75,IF(Y174*1.15&lt;=112.5,112.5,IF(Y174*1.15&lt;=150,150,IF(Y174*1.15&lt;=225,225,300)))))))</f>
        <v/>
      </c>
      <c r="AB174">
        <f>IF(AA174="","",IFERROR(Y174/AA174,0))</f>
        <v/>
      </c>
      <c r="AC174">
        <f>IF(X174="","",IFERROR(INDEX(DIR_ATUAL[QT %],MATCH(X174,DIR_ATUAL[PONTO],0)),0))</f>
        <v/>
      </c>
      <c r="AD174">
        <f>IF(Y174="","",IFERROR(1-ABS(Y174-Z174)/$B$31,0))</f>
        <v/>
      </c>
      <c r="AE174">
        <f>IF(X174="","",IF($E$9&gt;$E$8,IFERROR((INDEX(GERAL[SNAP],141)-$E$8)/($E$9-$E$8),0),0))</f>
        <v/>
      </c>
      <c r="AF174">
        <f>IF(OR(X174="",AG174&lt;&gt;"DIREITO"),"",$L$2*IFERROR(Y174/$B$31,0)+$L$3*IF($D$31&gt;0,IFERROR(AC174/$D$31,0),0)+$L$4*IFERROR(AD174,0)-$L$5*IFERROR(AE174,0)-$L$6*MAX(0,IFERROR(AB174,0)-$L$7)+ROW()/1000000)</f>
        <v/>
      </c>
      <c r="AG174">
        <f>IFERROR(INDEX(GERAL[LADO],141),"")</f>
        <v/>
      </c>
    </row>
    <row r="175">
      <c r="M175">
        <f>IFERROR(INDEX(GERAL[PONTO],162),"")</f>
        <v/>
      </c>
      <c r="N175">
        <f>IF(M175="","",IFERROR(INDEX(GERAL[ACUMULADA],162),0))</f>
        <v/>
      </c>
      <c r="O175">
        <f>IF(N175="","",$B$11-N175)</f>
        <v/>
      </c>
      <c r="P175">
        <f>IF(N175="","",IF(N175*1.15&lt;=30,30,IF(N175*1.15&lt;=45,45,IF(N175*1.15&lt;=75,75,IF(N175*1.15&lt;=112.5,112.5,IF(N175*1.15&lt;=150,150,IF(N175*1.15&lt;=225,225,300)))))))</f>
        <v/>
      </c>
      <c r="Q175">
        <f>IF(P175="","",IFERROR(N175/P175,0))</f>
        <v/>
      </c>
      <c r="R175">
        <f>IF(M175="","",IFERROR(INDEX(Tabela7[QT %],MATCH(M175,Tabela7[PONTO],0)),0))</f>
        <v/>
      </c>
      <c r="S175">
        <f>IF(N175="","",IFERROR(1-ABS(N175-O175)/$B$11,0))</f>
        <v/>
      </c>
      <c r="T175">
        <f>IF(M175="","",IF($B$9&gt;$B$8,IFERROR((INDEX(GERAL[SNAP],162)-$B$8)/($B$9-$B$8),0),0))</f>
        <v/>
      </c>
      <c r="U175">
        <f>IF(OR(M175="",V175&lt;&gt;"ESQUERDO"),"",$L$2*IFERROR(N175/$B$11,0)+$L$3*IF($D$11&gt;0,IFERROR(R175/$D$11,0),0)+$L$4*IFERROR(S175,0)-$L$5*IFERROR(T175,0)-$L$6*MAX(0,IFERROR(Q175,0)-$L$7)+ROW()/1000000)</f>
        <v/>
      </c>
      <c r="V175">
        <f>IFERROR(INDEX(GERAL[LADO],162),"")</f>
        <v/>
      </c>
      <c r="X175">
        <f>IFERROR(INDEX(GERAL[PONTO],142),"")</f>
        <v/>
      </c>
      <c r="Y175">
        <f>IF(X175="","",IFERROR(INDEX(GERAL[ACUMULADA],142),0))</f>
        <v/>
      </c>
      <c r="Z175">
        <f>IF(Y175="","",$B$31-Y175)</f>
        <v/>
      </c>
      <c r="AA175">
        <f>IF(Y175="","",IF(Y175*1.15&lt;=30,30,IF(Y175*1.15&lt;=45,45,IF(Y175*1.15&lt;=75,75,IF(Y175*1.15&lt;=112.5,112.5,IF(Y175*1.15&lt;=150,150,IF(Y175*1.15&lt;=225,225,300)))))))</f>
        <v/>
      </c>
      <c r="AB175">
        <f>IF(AA175="","",IFERROR(Y175/AA175,0))</f>
        <v/>
      </c>
      <c r="AC175">
        <f>IF(X175="","",IFERROR(INDEX(DIR_ATUAL[QT %],MATCH(X175,DIR_ATUAL[PONTO],0)),0))</f>
        <v/>
      </c>
      <c r="AD175">
        <f>IF(Y175="","",IFERROR(1-ABS(Y175-Z175)/$B$31,0))</f>
        <v/>
      </c>
      <c r="AE175">
        <f>IF(X175="","",IF($E$9&gt;$E$8,IFERROR((INDEX(GERAL[SNAP],142)-$E$8)/($E$9-$E$8),0),0))</f>
        <v/>
      </c>
      <c r="AF175">
        <f>IF(OR(X175="",AG175&lt;&gt;"DIREITO"),"",$L$2*IFERROR(Y175/$B$31,0)+$L$3*IF($D$31&gt;0,IFERROR(AC175/$D$31,0),0)+$L$4*IFERROR(AD175,0)-$L$5*IFERROR(AE175,0)-$L$6*MAX(0,IFERROR(AB175,0)-$L$7)+ROW()/1000000)</f>
        <v/>
      </c>
      <c r="AG175">
        <f>IFERROR(INDEX(GERAL[LADO],142),"")</f>
        <v/>
      </c>
    </row>
    <row r="176">
      <c r="M176">
        <f>IFERROR(INDEX(GERAL[PONTO],163),"")</f>
        <v/>
      </c>
      <c r="N176">
        <f>IF(M176="","",IFERROR(INDEX(GERAL[ACUMULADA],163),0))</f>
        <v/>
      </c>
      <c r="O176">
        <f>IF(N176="","",$B$11-N176)</f>
        <v/>
      </c>
      <c r="P176">
        <f>IF(N176="","",IF(N176*1.15&lt;=30,30,IF(N176*1.15&lt;=45,45,IF(N176*1.15&lt;=75,75,IF(N176*1.15&lt;=112.5,112.5,IF(N176*1.15&lt;=150,150,IF(N176*1.15&lt;=225,225,300)))))))</f>
        <v/>
      </c>
      <c r="Q176">
        <f>IF(P176="","",IFERROR(N176/P176,0))</f>
        <v/>
      </c>
      <c r="R176">
        <f>IF(M176="","",IFERROR(INDEX(Tabela7[QT %],MATCH(M176,Tabela7[PONTO],0)),0))</f>
        <v/>
      </c>
      <c r="S176">
        <f>IF(N176="","",IFERROR(1-ABS(N176-O176)/$B$11,0))</f>
        <v/>
      </c>
      <c r="T176">
        <f>IF(M176="","",IF($B$9&gt;$B$8,IFERROR((INDEX(GERAL[SNAP],163)-$B$8)/($B$9-$B$8),0),0))</f>
        <v/>
      </c>
      <c r="U176">
        <f>IF(OR(M176="",V176&lt;&gt;"ESQUERDO"),"",$L$2*IFERROR(N176/$B$11,0)+$L$3*IF($D$11&gt;0,IFERROR(R176/$D$11,0),0)+$L$4*IFERROR(S176,0)-$L$5*IFERROR(T176,0)-$L$6*MAX(0,IFERROR(Q176,0)-$L$7)+ROW()/1000000)</f>
        <v/>
      </c>
      <c r="V176">
        <f>IFERROR(INDEX(GERAL[LADO],163),"")</f>
        <v/>
      </c>
      <c r="X176">
        <f>IFERROR(INDEX(GERAL[PONTO],143),"")</f>
        <v/>
      </c>
      <c r="Y176">
        <f>IF(X176="","",IFERROR(INDEX(GERAL[ACUMULADA],143),0))</f>
        <v/>
      </c>
      <c r="Z176">
        <f>IF(Y176="","",$B$31-Y176)</f>
        <v/>
      </c>
      <c r="AA176">
        <f>IF(Y176="","",IF(Y176*1.15&lt;=30,30,IF(Y176*1.15&lt;=45,45,IF(Y176*1.15&lt;=75,75,IF(Y176*1.15&lt;=112.5,112.5,IF(Y176*1.15&lt;=150,150,IF(Y176*1.15&lt;=225,225,300)))))))</f>
        <v/>
      </c>
      <c r="AB176">
        <f>IF(AA176="","",IFERROR(Y176/AA176,0))</f>
        <v/>
      </c>
      <c r="AC176">
        <f>IF(X176="","",IFERROR(INDEX(DIR_ATUAL[QT %],MATCH(X176,DIR_ATUAL[PONTO],0)),0))</f>
        <v/>
      </c>
      <c r="AD176">
        <f>IF(Y176="","",IFERROR(1-ABS(Y176-Z176)/$B$31,0))</f>
        <v/>
      </c>
      <c r="AE176">
        <f>IF(X176="","",IF($E$9&gt;$E$8,IFERROR((INDEX(GERAL[SNAP],143)-$E$8)/($E$9-$E$8),0),0))</f>
        <v/>
      </c>
      <c r="AF176">
        <f>IF(OR(X176="",AG176&lt;&gt;"DIREITO"),"",$L$2*IFERROR(Y176/$B$31,0)+$L$3*IF($D$31&gt;0,IFERROR(AC176/$D$31,0),0)+$L$4*IFERROR(AD176,0)-$L$5*IFERROR(AE176,0)-$L$6*MAX(0,IFERROR(AB176,0)-$L$7)+ROW()/1000000)</f>
        <v/>
      </c>
      <c r="AG176">
        <f>IFERROR(INDEX(GERAL[LADO],143),"")</f>
        <v/>
      </c>
    </row>
    <row r="177">
      <c r="M177">
        <f>IFERROR(INDEX(GERAL[PONTO],164),"")</f>
        <v/>
      </c>
      <c r="N177">
        <f>IF(M177="","",IFERROR(INDEX(GERAL[ACUMULADA],164),0))</f>
        <v/>
      </c>
      <c r="O177">
        <f>IF(N177="","",$B$11-N177)</f>
        <v/>
      </c>
      <c r="P177">
        <f>IF(N177="","",IF(N177*1.15&lt;=30,30,IF(N177*1.15&lt;=45,45,IF(N177*1.15&lt;=75,75,IF(N177*1.15&lt;=112.5,112.5,IF(N177*1.15&lt;=150,150,IF(N177*1.15&lt;=225,225,300)))))))</f>
        <v/>
      </c>
      <c r="Q177">
        <f>IF(P177="","",IFERROR(N177/P177,0))</f>
        <v/>
      </c>
      <c r="R177">
        <f>IF(M177="","",IFERROR(INDEX(Tabela7[QT %],MATCH(M177,Tabela7[PONTO],0)),0))</f>
        <v/>
      </c>
      <c r="S177">
        <f>IF(N177="","",IFERROR(1-ABS(N177-O177)/$B$11,0))</f>
        <v/>
      </c>
      <c r="T177">
        <f>IF(M177="","",IF($B$9&gt;$B$8,IFERROR((INDEX(GERAL[SNAP],164)-$B$8)/($B$9-$B$8),0),0))</f>
        <v/>
      </c>
      <c r="U177">
        <f>IF(OR(M177="",V177&lt;&gt;"ESQUERDO"),"",$L$2*IFERROR(N177/$B$11,0)+$L$3*IF($D$11&gt;0,IFERROR(R177/$D$11,0),0)+$L$4*IFERROR(S177,0)-$L$5*IFERROR(T177,0)-$L$6*MAX(0,IFERROR(Q177,0)-$L$7)+ROW()/1000000)</f>
        <v/>
      </c>
      <c r="V177">
        <f>IFERROR(INDEX(GERAL[LADO],164),"")</f>
        <v/>
      </c>
      <c r="X177">
        <f>IFERROR(INDEX(GERAL[PONTO],144),"")</f>
        <v/>
      </c>
      <c r="Y177">
        <f>IF(X177="","",IFERROR(INDEX(GERAL[ACUMULADA],144),0))</f>
        <v/>
      </c>
      <c r="Z177">
        <f>IF(Y177="","",$B$31-Y177)</f>
        <v/>
      </c>
      <c r="AA177">
        <f>IF(Y177="","",IF(Y177*1.15&lt;=30,30,IF(Y177*1.15&lt;=45,45,IF(Y177*1.15&lt;=75,75,IF(Y177*1.15&lt;=112.5,112.5,IF(Y177*1.15&lt;=150,150,IF(Y177*1.15&lt;=225,225,300)))))))</f>
        <v/>
      </c>
      <c r="AB177">
        <f>IF(AA177="","",IFERROR(Y177/AA177,0))</f>
        <v/>
      </c>
      <c r="AC177">
        <f>IF(X177="","",IFERROR(INDEX(DIR_ATUAL[QT %],MATCH(X177,DIR_ATUAL[PONTO],0)),0))</f>
        <v/>
      </c>
      <c r="AD177">
        <f>IF(Y177="","",IFERROR(1-ABS(Y177-Z177)/$B$31,0))</f>
        <v/>
      </c>
      <c r="AE177">
        <f>IF(X177="","",IF($E$9&gt;$E$8,IFERROR((INDEX(GERAL[SNAP],144)-$E$8)/($E$9-$E$8),0),0))</f>
        <v/>
      </c>
      <c r="AF177">
        <f>IF(OR(X177="",AG177&lt;&gt;"DIREITO"),"",$L$2*IFERROR(Y177/$B$31,0)+$L$3*IF($D$31&gt;0,IFERROR(AC177/$D$31,0),0)+$L$4*IFERROR(AD177,0)-$L$5*IFERROR(AE177,0)-$L$6*MAX(0,IFERROR(AB177,0)-$L$7)+ROW()/1000000)</f>
        <v/>
      </c>
      <c r="AG177">
        <f>IFERROR(INDEX(GERAL[LADO],144),"")</f>
        <v/>
      </c>
    </row>
    <row r="178">
      <c r="M178">
        <f>IFERROR(INDEX(GERAL[PONTO],165),"")</f>
        <v/>
      </c>
      <c r="N178">
        <f>IF(M178="","",IFERROR(INDEX(GERAL[ACUMULADA],165),0))</f>
        <v/>
      </c>
      <c r="O178">
        <f>IF(N178="","",$B$11-N178)</f>
        <v/>
      </c>
      <c r="P178">
        <f>IF(N178="","",IF(N178*1.15&lt;=30,30,IF(N178*1.15&lt;=45,45,IF(N178*1.15&lt;=75,75,IF(N178*1.15&lt;=112.5,112.5,IF(N178*1.15&lt;=150,150,IF(N178*1.15&lt;=225,225,300)))))))</f>
        <v/>
      </c>
      <c r="Q178">
        <f>IF(P178="","",IFERROR(N178/P178,0))</f>
        <v/>
      </c>
      <c r="R178">
        <f>IF(M178="","",IFERROR(INDEX(Tabela7[QT %],MATCH(M178,Tabela7[PONTO],0)),0))</f>
        <v/>
      </c>
      <c r="S178">
        <f>IF(N178="","",IFERROR(1-ABS(N178-O178)/$B$11,0))</f>
        <v/>
      </c>
      <c r="T178">
        <f>IF(M178="","",IF($B$9&gt;$B$8,IFERROR((INDEX(GERAL[SNAP],165)-$B$8)/($B$9-$B$8),0),0))</f>
        <v/>
      </c>
      <c r="U178">
        <f>IF(OR(M178="",V178&lt;&gt;"ESQUERDO"),"",$L$2*IFERROR(N178/$B$11,0)+$L$3*IF($D$11&gt;0,IFERROR(R178/$D$11,0),0)+$L$4*IFERROR(S178,0)-$L$5*IFERROR(T178,0)-$L$6*MAX(0,IFERROR(Q178,0)-$L$7)+ROW()/1000000)</f>
        <v/>
      </c>
      <c r="V178">
        <f>IFERROR(INDEX(GERAL[LADO],165),"")</f>
        <v/>
      </c>
      <c r="X178">
        <f>IFERROR(INDEX(GERAL[PONTO],145),"")</f>
        <v/>
      </c>
      <c r="Y178">
        <f>IF(X178="","",IFERROR(INDEX(GERAL[ACUMULADA],145),0))</f>
        <v/>
      </c>
      <c r="Z178">
        <f>IF(Y178="","",$B$31-Y178)</f>
        <v/>
      </c>
      <c r="AA178">
        <f>IF(Y178="","",IF(Y178*1.15&lt;=30,30,IF(Y178*1.15&lt;=45,45,IF(Y178*1.15&lt;=75,75,IF(Y178*1.15&lt;=112.5,112.5,IF(Y178*1.15&lt;=150,150,IF(Y178*1.15&lt;=225,225,300)))))))</f>
        <v/>
      </c>
      <c r="AB178">
        <f>IF(AA178="","",IFERROR(Y178/AA178,0))</f>
        <v/>
      </c>
      <c r="AC178">
        <f>IF(X178="","",IFERROR(INDEX(DIR_ATUAL[QT %],MATCH(X178,DIR_ATUAL[PONTO],0)),0))</f>
        <v/>
      </c>
      <c r="AD178">
        <f>IF(Y178="","",IFERROR(1-ABS(Y178-Z178)/$B$31,0))</f>
        <v/>
      </c>
      <c r="AE178">
        <f>IF(X178="","",IF($E$9&gt;$E$8,IFERROR((INDEX(GERAL[SNAP],145)-$E$8)/($E$9-$E$8),0),0))</f>
        <v/>
      </c>
      <c r="AF178">
        <f>IF(OR(X178="",AG178&lt;&gt;"DIREITO"),"",$L$2*IFERROR(Y178/$B$31,0)+$L$3*IF($D$31&gt;0,IFERROR(AC178/$D$31,0),0)+$L$4*IFERROR(AD178,0)-$L$5*IFERROR(AE178,0)-$L$6*MAX(0,IFERROR(AB178,0)-$L$7)+ROW()/1000000)</f>
        <v/>
      </c>
      <c r="AG178">
        <f>IFERROR(INDEX(GERAL[LADO],145),"")</f>
        <v/>
      </c>
    </row>
    <row r="179">
      <c r="M179">
        <f>IFERROR(INDEX(GERAL[PONTO],166),"")</f>
        <v/>
      </c>
      <c r="N179">
        <f>IF(M179="","",IFERROR(INDEX(GERAL[ACUMULADA],166),0))</f>
        <v/>
      </c>
      <c r="O179">
        <f>IF(N179="","",$B$11-N179)</f>
        <v/>
      </c>
      <c r="P179">
        <f>IF(N179="","",IF(N179*1.15&lt;=30,30,IF(N179*1.15&lt;=45,45,IF(N179*1.15&lt;=75,75,IF(N179*1.15&lt;=112.5,112.5,IF(N179*1.15&lt;=150,150,IF(N179*1.15&lt;=225,225,300)))))))</f>
        <v/>
      </c>
      <c r="Q179">
        <f>IF(P179="","",IFERROR(N179/P179,0))</f>
        <v/>
      </c>
      <c r="R179">
        <f>IF(M179="","",IFERROR(INDEX(Tabela7[QT %],MATCH(M179,Tabela7[PONTO],0)),0))</f>
        <v/>
      </c>
      <c r="S179">
        <f>IF(N179="","",IFERROR(1-ABS(N179-O179)/$B$11,0))</f>
        <v/>
      </c>
      <c r="T179">
        <f>IF(M179="","",IF($B$9&gt;$B$8,IFERROR((INDEX(GERAL[SNAP],166)-$B$8)/($B$9-$B$8),0),0))</f>
        <v/>
      </c>
      <c r="U179">
        <f>IF(OR(M179="",V179&lt;&gt;"ESQUERDO"),"",$L$2*IFERROR(N179/$B$11,0)+$L$3*IF($D$11&gt;0,IFERROR(R179/$D$11,0),0)+$L$4*IFERROR(S179,0)-$L$5*IFERROR(T179,0)-$L$6*MAX(0,IFERROR(Q179,0)-$L$7)+ROW()/1000000)</f>
        <v/>
      </c>
      <c r="V179">
        <f>IFERROR(INDEX(GERAL[LADO],166),"")</f>
        <v/>
      </c>
      <c r="X179">
        <f>IFERROR(INDEX(GERAL[PONTO],146),"")</f>
        <v/>
      </c>
      <c r="Y179">
        <f>IF(X179="","",IFERROR(INDEX(GERAL[ACUMULADA],146),0))</f>
        <v/>
      </c>
      <c r="Z179">
        <f>IF(Y179="","",$B$31-Y179)</f>
        <v/>
      </c>
      <c r="AA179">
        <f>IF(Y179="","",IF(Y179*1.15&lt;=30,30,IF(Y179*1.15&lt;=45,45,IF(Y179*1.15&lt;=75,75,IF(Y179*1.15&lt;=112.5,112.5,IF(Y179*1.15&lt;=150,150,IF(Y179*1.15&lt;=225,225,300)))))))</f>
        <v/>
      </c>
      <c r="AB179">
        <f>IF(AA179="","",IFERROR(Y179/AA179,0))</f>
        <v/>
      </c>
      <c r="AC179">
        <f>IF(X179="","",IFERROR(INDEX(DIR_ATUAL[QT %],MATCH(X179,DIR_ATUAL[PONTO],0)),0))</f>
        <v/>
      </c>
      <c r="AD179">
        <f>IF(Y179="","",IFERROR(1-ABS(Y179-Z179)/$B$31,0))</f>
        <v/>
      </c>
      <c r="AE179">
        <f>IF(X179="","",IF($E$9&gt;$E$8,IFERROR((INDEX(GERAL[SNAP],146)-$E$8)/($E$9-$E$8),0),0))</f>
        <v/>
      </c>
      <c r="AF179">
        <f>IF(OR(X179="",AG179&lt;&gt;"DIREITO"),"",$L$2*IFERROR(Y179/$B$31,0)+$L$3*IF($D$31&gt;0,IFERROR(AC179/$D$31,0),0)+$L$4*IFERROR(AD179,0)-$L$5*IFERROR(AE179,0)-$L$6*MAX(0,IFERROR(AB179,0)-$L$7)+ROW()/1000000)</f>
        <v/>
      </c>
      <c r="AG179">
        <f>IFERROR(INDEX(GERAL[LADO],146),"")</f>
        <v/>
      </c>
    </row>
    <row r="180">
      <c r="M180">
        <f>IFERROR(INDEX(GERAL[PONTO],167),"")</f>
        <v/>
      </c>
      <c r="N180">
        <f>IF(M180="","",IFERROR(INDEX(GERAL[ACUMULADA],167),0))</f>
        <v/>
      </c>
      <c r="O180">
        <f>IF(N180="","",$B$11-N180)</f>
        <v/>
      </c>
      <c r="P180">
        <f>IF(N180="","",IF(N180*1.15&lt;=30,30,IF(N180*1.15&lt;=45,45,IF(N180*1.15&lt;=75,75,IF(N180*1.15&lt;=112.5,112.5,IF(N180*1.15&lt;=150,150,IF(N180*1.15&lt;=225,225,300)))))))</f>
        <v/>
      </c>
      <c r="Q180">
        <f>IF(P180="","",IFERROR(N180/P180,0))</f>
        <v/>
      </c>
      <c r="R180">
        <f>IF(M180="","",IFERROR(INDEX(Tabela7[QT %],MATCH(M180,Tabela7[PONTO],0)),0))</f>
        <v/>
      </c>
      <c r="S180">
        <f>IF(N180="","",IFERROR(1-ABS(N180-O180)/$B$11,0))</f>
        <v/>
      </c>
      <c r="T180">
        <f>IF(M180="","",IF($B$9&gt;$B$8,IFERROR((INDEX(GERAL[SNAP],167)-$B$8)/($B$9-$B$8),0),0))</f>
        <v/>
      </c>
      <c r="U180">
        <f>IF(OR(M180="",V180&lt;&gt;"ESQUERDO"),"",$L$2*IFERROR(N180/$B$11,0)+$L$3*IF($D$11&gt;0,IFERROR(R180/$D$11,0),0)+$L$4*IFERROR(S180,0)-$L$5*IFERROR(T180,0)-$L$6*MAX(0,IFERROR(Q180,0)-$L$7)+ROW()/1000000)</f>
        <v/>
      </c>
      <c r="V180">
        <f>IFERROR(INDEX(GERAL[LADO],167),"")</f>
        <v/>
      </c>
      <c r="X180">
        <f>IFERROR(INDEX(GERAL[PONTO],147),"")</f>
        <v/>
      </c>
      <c r="Y180">
        <f>IF(X180="","",IFERROR(INDEX(GERAL[ACUMULADA],147),0))</f>
        <v/>
      </c>
      <c r="Z180">
        <f>IF(Y180="","",$B$31-Y180)</f>
        <v/>
      </c>
      <c r="AA180">
        <f>IF(Y180="","",IF(Y180*1.15&lt;=30,30,IF(Y180*1.15&lt;=45,45,IF(Y180*1.15&lt;=75,75,IF(Y180*1.15&lt;=112.5,112.5,IF(Y180*1.15&lt;=150,150,IF(Y180*1.15&lt;=225,225,300)))))))</f>
        <v/>
      </c>
      <c r="AB180">
        <f>IF(AA180="","",IFERROR(Y180/AA180,0))</f>
        <v/>
      </c>
      <c r="AC180">
        <f>IF(X180="","",IFERROR(INDEX(DIR_ATUAL[QT %],MATCH(X180,DIR_ATUAL[PONTO],0)),0))</f>
        <v/>
      </c>
      <c r="AD180">
        <f>IF(Y180="","",IFERROR(1-ABS(Y180-Z180)/$B$31,0))</f>
        <v/>
      </c>
      <c r="AE180">
        <f>IF(X180="","",IF($E$9&gt;$E$8,IFERROR((INDEX(GERAL[SNAP],147)-$E$8)/($E$9-$E$8),0),0))</f>
        <v/>
      </c>
      <c r="AF180">
        <f>IF(OR(X180="",AG180&lt;&gt;"DIREITO"),"",$L$2*IFERROR(Y180/$B$31,0)+$L$3*IF($D$31&gt;0,IFERROR(AC180/$D$31,0),0)+$L$4*IFERROR(AD180,0)-$L$5*IFERROR(AE180,0)-$L$6*MAX(0,IFERROR(AB180,0)-$L$7)+ROW()/1000000)</f>
        <v/>
      </c>
      <c r="AG180">
        <f>IFERROR(INDEX(GERAL[LADO],147),"")</f>
        <v/>
      </c>
    </row>
    <row r="181">
      <c r="M181">
        <f>IFERROR(INDEX(GERAL[PONTO],168),"")</f>
        <v/>
      </c>
      <c r="N181">
        <f>IF(M181="","",IFERROR(INDEX(GERAL[ACUMULADA],168),0))</f>
        <v/>
      </c>
      <c r="O181">
        <f>IF(N181="","",$B$11-N181)</f>
        <v/>
      </c>
      <c r="P181">
        <f>IF(N181="","",IF(N181*1.15&lt;=30,30,IF(N181*1.15&lt;=45,45,IF(N181*1.15&lt;=75,75,IF(N181*1.15&lt;=112.5,112.5,IF(N181*1.15&lt;=150,150,IF(N181*1.15&lt;=225,225,300)))))))</f>
        <v/>
      </c>
      <c r="Q181">
        <f>IF(P181="","",IFERROR(N181/P181,0))</f>
        <v/>
      </c>
      <c r="R181">
        <f>IF(M181="","",IFERROR(INDEX(Tabela7[QT %],MATCH(M181,Tabela7[PONTO],0)),0))</f>
        <v/>
      </c>
      <c r="S181">
        <f>IF(N181="","",IFERROR(1-ABS(N181-O181)/$B$11,0))</f>
        <v/>
      </c>
      <c r="T181">
        <f>IF(M181="","",IF($B$9&gt;$B$8,IFERROR((INDEX(GERAL[SNAP],168)-$B$8)/($B$9-$B$8),0),0))</f>
        <v/>
      </c>
      <c r="U181">
        <f>IF(OR(M181="",V181&lt;&gt;"ESQUERDO"),"",$L$2*IFERROR(N181/$B$11,0)+$L$3*IF($D$11&gt;0,IFERROR(R181/$D$11,0),0)+$L$4*IFERROR(S181,0)-$L$5*IFERROR(T181,0)-$L$6*MAX(0,IFERROR(Q181,0)-$L$7)+ROW()/1000000)</f>
        <v/>
      </c>
      <c r="V181">
        <f>IFERROR(INDEX(GERAL[LADO],168),"")</f>
        <v/>
      </c>
      <c r="X181">
        <f>IFERROR(INDEX(GERAL[PONTO],148),"")</f>
        <v/>
      </c>
      <c r="Y181">
        <f>IF(X181="","",IFERROR(INDEX(GERAL[ACUMULADA],148),0))</f>
        <v/>
      </c>
      <c r="Z181">
        <f>IF(Y181="","",$B$31-Y181)</f>
        <v/>
      </c>
      <c r="AA181">
        <f>IF(Y181="","",IF(Y181*1.15&lt;=30,30,IF(Y181*1.15&lt;=45,45,IF(Y181*1.15&lt;=75,75,IF(Y181*1.15&lt;=112.5,112.5,IF(Y181*1.15&lt;=150,150,IF(Y181*1.15&lt;=225,225,300)))))))</f>
        <v/>
      </c>
      <c r="AB181">
        <f>IF(AA181="","",IFERROR(Y181/AA181,0))</f>
        <v/>
      </c>
      <c r="AC181">
        <f>IF(X181="","",IFERROR(INDEX(DIR_ATUAL[QT %],MATCH(X181,DIR_ATUAL[PONTO],0)),0))</f>
        <v/>
      </c>
      <c r="AD181">
        <f>IF(Y181="","",IFERROR(1-ABS(Y181-Z181)/$B$31,0))</f>
        <v/>
      </c>
      <c r="AE181">
        <f>IF(X181="","",IF($E$9&gt;$E$8,IFERROR((INDEX(GERAL[SNAP],148)-$E$8)/($E$9-$E$8),0),0))</f>
        <v/>
      </c>
      <c r="AF181">
        <f>IF(OR(X181="",AG181&lt;&gt;"DIREITO"),"",$L$2*IFERROR(Y181/$B$31,0)+$L$3*IF($D$31&gt;0,IFERROR(AC181/$D$31,0),0)+$L$4*IFERROR(AD181,0)-$L$5*IFERROR(AE181,0)-$L$6*MAX(0,IFERROR(AB181,0)-$L$7)+ROW()/1000000)</f>
        <v/>
      </c>
      <c r="AG181">
        <f>IFERROR(INDEX(GERAL[LADO],148),"")</f>
        <v/>
      </c>
    </row>
    <row r="182">
      <c r="M182">
        <f>IFERROR(INDEX(GERAL[PONTO],169),"")</f>
        <v/>
      </c>
      <c r="N182">
        <f>IF(M182="","",IFERROR(INDEX(GERAL[ACUMULADA],169),0))</f>
        <v/>
      </c>
      <c r="O182">
        <f>IF(N182="","",$B$11-N182)</f>
        <v/>
      </c>
      <c r="P182">
        <f>IF(N182="","",IF(N182*1.15&lt;=30,30,IF(N182*1.15&lt;=45,45,IF(N182*1.15&lt;=75,75,IF(N182*1.15&lt;=112.5,112.5,IF(N182*1.15&lt;=150,150,IF(N182*1.15&lt;=225,225,300)))))))</f>
        <v/>
      </c>
      <c r="Q182">
        <f>IF(P182="","",IFERROR(N182/P182,0))</f>
        <v/>
      </c>
      <c r="R182">
        <f>IF(M182="","",IFERROR(INDEX(Tabela7[QT %],MATCH(M182,Tabela7[PONTO],0)),0))</f>
        <v/>
      </c>
      <c r="S182">
        <f>IF(N182="","",IFERROR(1-ABS(N182-O182)/$B$11,0))</f>
        <v/>
      </c>
      <c r="T182">
        <f>IF(M182="","",IF($B$9&gt;$B$8,IFERROR((INDEX(GERAL[SNAP],169)-$B$8)/($B$9-$B$8),0),0))</f>
        <v/>
      </c>
      <c r="U182">
        <f>IF(OR(M182="",V182&lt;&gt;"ESQUERDO"),"",$L$2*IFERROR(N182/$B$11,0)+$L$3*IF($D$11&gt;0,IFERROR(R182/$D$11,0),0)+$L$4*IFERROR(S182,0)-$L$5*IFERROR(T182,0)-$L$6*MAX(0,IFERROR(Q182,0)-$L$7)+ROW()/1000000)</f>
        <v/>
      </c>
      <c r="V182">
        <f>IFERROR(INDEX(GERAL[LADO],169),"")</f>
        <v/>
      </c>
      <c r="X182">
        <f>IFERROR(INDEX(GERAL[PONTO],149),"")</f>
        <v/>
      </c>
      <c r="Y182">
        <f>IF(X182="","",IFERROR(INDEX(GERAL[ACUMULADA],149),0))</f>
        <v/>
      </c>
      <c r="Z182">
        <f>IF(Y182="","",$B$31-Y182)</f>
        <v/>
      </c>
      <c r="AA182">
        <f>IF(Y182="","",IF(Y182*1.15&lt;=30,30,IF(Y182*1.15&lt;=45,45,IF(Y182*1.15&lt;=75,75,IF(Y182*1.15&lt;=112.5,112.5,IF(Y182*1.15&lt;=150,150,IF(Y182*1.15&lt;=225,225,300)))))))</f>
        <v/>
      </c>
      <c r="AB182">
        <f>IF(AA182="","",IFERROR(Y182/AA182,0))</f>
        <v/>
      </c>
      <c r="AC182">
        <f>IF(X182="","",IFERROR(INDEX(DIR_ATUAL[QT %],MATCH(X182,DIR_ATUAL[PONTO],0)),0))</f>
        <v/>
      </c>
      <c r="AD182">
        <f>IF(Y182="","",IFERROR(1-ABS(Y182-Z182)/$B$31,0))</f>
        <v/>
      </c>
      <c r="AE182">
        <f>IF(X182="","",IF($E$9&gt;$E$8,IFERROR((INDEX(GERAL[SNAP],149)-$E$8)/($E$9-$E$8),0),0))</f>
        <v/>
      </c>
      <c r="AF182">
        <f>IF(OR(X182="",AG182&lt;&gt;"DIREITO"),"",$L$2*IFERROR(Y182/$B$31,0)+$L$3*IF($D$31&gt;0,IFERROR(AC182/$D$31,0),0)+$L$4*IFERROR(AD182,0)-$L$5*IFERROR(AE182,0)-$L$6*MAX(0,IFERROR(AB182,0)-$L$7)+ROW()/1000000)</f>
        <v/>
      </c>
      <c r="AG182">
        <f>IFERROR(INDEX(GERAL[LADO],149),"")</f>
        <v/>
      </c>
    </row>
    <row r="183">
      <c r="M183">
        <f>IFERROR(INDEX(GERAL[PONTO],170),"")</f>
        <v/>
      </c>
      <c r="N183">
        <f>IF(M183="","",IFERROR(INDEX(GERAL[ACUMULADA],170),0))</f>
        <v/>
      </c>
      <c r="O183">
        <f>IF(N183="","",$B$11-N183)</f>
        <v/>
      </c>
      <c r="P183">
        <f>IF(N183="","",IF(N183*1.15&lt;=30,30,IF(N183*1.15&lt;=45,45,IF(N183*1.15&lt;=75,75,IF(N183*1.15&lt;=112.5,112.5,IF(N183*1.15&lt;=150,150,IF(N183*1.15&lt;=225,225,300)))))))</f>
        <v/>
      </c>
      <c r="Q183">
        <f>IF(P183="","",IFERROR(N183/P183,0))</f>
        <v/>
      </c>
      <c r="R183">
        <f>IF(M183="","",IFERROR(INDEX(Tabela7[QT %],MATCH(M183,Tabela7[PONTO],0)),0))</f>
        <v/>
      </c>
      <c r="S183">
        <f>IF(N183="","",IFERROR(1-ABS(N183-O183)/$B$11,0))</f>
        <v/>
      </c>
      <c r="T183">
        <f>IF(M183="","",IF($B$9&gt;$B$8,IFERROR((INDEX(GERAL[SNAP],170)-$B$8)/($B$9-$B$8),0),0))</f>
        <v/>
      </c>
      <c r="U183">
        <f>IF(OR(M183="",V183&lt;&gt;"ESQUERDO"),"",$L$2*IFERROR(N183/$B$11,0)+$L$3*IF($D$11&gt;0,IFERROR(R183/$D$11,0),0)+$L$4*IFERROR(S183,0)-$L$5*IFERROR(T183,0)-$L$6*MAX(0,IFERROR(Q183,0)-$L$7)+ROW()/1000000)</f>
        <v/>
      </c>
      <c r="V183">
        <f>IFERROR(INDEX(GERAL[LADO],170),"")</f>
        <v/>
      </c>
      <c r="X183">
        <f>IFERROR(INDEX(GERAL[PONTO],150),"")</f>
        <v/>
      </c>
      <c r="Y183">
        <f>IF(X183="","",IFERROR(INDEX(GERAL[ACUMULADA],150),0))</f>
        <v/>
      </c>
      <c r="Z183">
        <f>IF(Y183="","",$B$31-Y183)</f>
        <v/>
      </c>
      <c r="AA183">
        <f>IF(Y183="","",IF(Y183*1.15&lt;=30,30,IF(Y183*1.15&lt;=45,45,IF(Y183*1.15&lt;=75,75,IF(Y183*1.15&lt;=112.5,112.5,IF(Y183*1.15&lt;=150,150,IF(Y183*1.15&lt;=225,225,300)))))))</f>
        <v/>
      </c>
      <c r="AB183">
        <f>IF(AA183="","",IFERROR(Y183/AA183,0))</f>
        <v/>
      </c>
      <c r="AC183">
        <f>IF(X183="","",IFERROR(INDEX(DIR_ATUAL[QT %],MATCH(X183,DIR_ATUAL[PONTO],0)),0))</f>
        <v/>
      </c>
      <c r="AD183">
        <f>IF(Y183="","",IFERROR(1-ABS(Y183-Z183)/$B$31,0))</f>
        <v/>
      </c>
      <c r="AE183">
        <f>IF(X183="","",IF($E$9&gt;$E$8,IFERROR((INDEX(GERAL[SNAP],150)-$E$8)/($E$9-$E$8),0),0))</f>
        <v/>
      </c>
      <c r="AF183">
        <f>IF(OR(X183="",AG183&lt;&gt;"DIREITO"),"",$L$2*IFERROR(Y183/$B$31,0)+$L$3*IF($D$31&gt;0,IFERROR(AC183/$D$31,0),0)+$L$4*IFERROR(AD183,0)-$L$5*IFERROR(AE183,0)-$L$6*MAX(0,IFERROR(AB183,0)-$L$7)+ROW()/1000000)</f>
        <v/>
      </c>
      <c r="AG183">
        <f>IFERROR(INDEX(GERAL[LADO],150),"")</f>
        <v/>
      </c>
    </row>
    <row r="184">
      <c r="M184">
        <f>IFERROR(INDEX(GERAL[PONTO],171),"")</f>
        <v/>
      </c>
      <c r="N184">
        <f>IF(M184="","",IFERROR(INDEX(GERAL[ACUMULADA],171),0))</f>
        <v/>
      </c>
      <c r="O184">
        <f>IF(N184="","",$B$11-N184)</f>
        <v/>
      </c>
      <c r="P184">
        <f>IF(N184="","",IF(N184*1.15&lt;=30,30,IF(N184*1.15&lt;=45,45,IF(N184*1.15&lt;=75,75,IF(N184*1.15&lt;=112.5,112.5,IF(N184*1.15&lt;=150,150,IF(N184*1.15&lt;=225,225,300)))))))</f>
        <v/>
      </c>
      <c r="Q184">
        <f>IF(P184="","",IFERROR(N184/P184,0))</f>
        <v/>
      </c>
      <c r="R184">
        <f>IF(M184="","",IFERROR(INDEX(Tabela7[QT %],MATCH(M184,Tabela7[PONTO],0)),0))</f>
        <v/>
      </c>
      <c r="S184">
        <f>IF(N184="","",IFERROR(1-ABS(N184-O184)/$B$11,0))</f>
        <v/>
      </c>
      <c r="T184">
        <f>IF(M184="","",IF($B$9&gt;$B$8,IFERROR((INDEX(GERAL[SNAP],171)-$B$8)/($B$9-$B$8),0),0))</f>
        <v/>
      </c>
      <c r="U184">
        <f>IF(OR(M184="",V184&lt;&gt;"ESQUERDO"),"",$L$2*IFERROR(N184/$B$11,0)+$L$3*IF($D$11&gt;0,IFERROR(R184/$D$11,0),0)+$L$4*IFERROR(S184,0)-$L$5*IFERROR(T184,0)-$L$6*MAX(0,IFERROR(Q184,0)-$L$7)+ROW()/1000000)</f>
        <v/>
      </c>
      <c r="V184">
        <f>IFERROR(INDEX(GERAL[LADO],171),"")</f>
        <v/>
      </c>
      <c r="X184">
        <f>IFERROR(INDEX(GERAL[PONTO],151),"")</f>
        <v/>
      </c>
      <c r="Y184">
        <f>IF(X184="","",IFERROR(INDEX(GERAL[ACUMULADA],151),0))</f>
        <v/>
      </c>
      <c r="Z184">
        <f>IF(Y184="","",$B$31-Y184)</f>
        <v/>
      </c>
      <c r="AA184">
        <f>IF(Y184="","",IF(Y184*1.15&lt;=30,30,IF(Y184*1.15&lt;=45,45,IF(Y184*1.15&lt;=75,75,IF(Y184*1.15&lt;=112.5,112.5,IF(Y184*1.15&lt;=150,150,IF(Y184*1.15&lt;=225,225,300)))))))</f>
        <v/>
      </c>
      <c r="AB184">
        <f>IF(AA184="","",IFERROR(Y184/AA184,0))</f>
        <v/>
      </c>
      <c r="AC184">
        <f>IF(X184="","",IFERROR(INDEX(DIR_ATUAL[QT %],MATCH(X184,DIR_ATUAL[PONTO],0)),0))</f>
        <v/>
      </c>
      <c r="AD184">
        <f>IF(Y184="","",IFERROR(1-ABS(Y184-Z184)/$B$31,0))</f>
        <v/>
      </c>
      <c r="AE184">
        <f>IF(X184="","",IF($E$9&gt;$E$8,IFERROR((INDEX(GERAL[SNAP],151)-$E$8)/($E$9-$E$8),0),0))</f>
        <v/>
      </c>
      <c r="AF184">
        <f>IF(OR(X184="",AG184&lt;&gt;"DIREITO"),"",$L$2*IFERROR(Y184/$B$31,0)+$L$3*IF($D$31&gt;0,IFERROR(AC184/$D$31,0),0)+$L$4*IFERROR(AD184,0)-$L$5*IFERROR(AE184,0)-$L$6*MAX(0,IFERROR(AB184,0)-$L$7)+ROW()/1000000)</f>
        <v/>
      </c>
      <c r="AG184">
        <f>IFERROR(INDEX(GERAL[LADO],151),"")</f>
        <v/>
      </c>
    </row>
    <row r="185">
      <c r="M185">
        <f>IFERROR(INDEX(GERAL[PONTO],172),"")</f>
        <v/>
      </c>
      <c r="N185">
        <f>IF(M185="","",IFERROR(INDEX(GERAL[ACUMULADA],172),0))</f>
        <v/>
      </c>
      <c r="O185">
        <f>IF(N185="","",$B$11-N185)</f>
        <v/>
      </c>
      <c r="P185">
        <f>IF(N185="","",IF(N185*1.15&lt;=30,30,IF(N185*1.15&lt;=45,45,IF(N185*1.15&lt;=75,75,IF(N185*1.15&lt;=112.5,112.5,IF(N185*1.15&lt;=150,150,IF(N185*1.15&lt;=225,225,300)))))))</f>
        <v/>
      </c>
      <c r="Q185">
        <f>IF(P185="","",IFERROR(N185/P185,0))</f>
        <v/>
      </c>
      <c r="R185">
        <f>IF(M185="","",IFERROR(INDEX(Tabela7[QT %],MATCH(M185,Tabela7[PONTO],0)),0))</f>
        <v/>
      </c>
      <c r="S185">
        <f>IF(N185="","",IFERROR(1-ABS(N185-O185)/$B$11,0))</f>
        <v/>
      </c>
      <c r="T185">
        <f>IF(M185="","",IF($B$9&gt;$B$8,IFERROR((INDEX(GERAL[SNAP],172)-$B$8)/($B$9-$B$8),0),0))</f>
        <v/>
      </c>
      <c r="U185">
        <f>IF(OR(M185="",V185&lt;&gt;"ESQUERDO"),"",$L$2*IFERROR(N185/$B$11,0)+$L$3*IF($D$11&gt;0,IFERROR(R185/$D$11,0),0)+$L$4*IFERROR(S185,0)-$L$5*IFERROR(T185,0)-$L$6*MAX(0,IFERROR(Q185,0)-$L$7)+ROW()/1000000)</f>
        <v/>
      </c>
      <c r="V185">
        <f>IFERROR(INDEX(GERAL[LADO],172),"")</f>
        <v/>
      </c>
      <c r="X185">
        <f>IFERROR(INDEX(GERAL[PONTO],152),"")</f>
        <v/>
      </c>
      <c r="Y185">
        <f>IF(X185="","",IFERROR(INDEX(GERAL[ACUMULADA],152),0))</f>
        <v/>
      </c>
      <c r="Z185">
        <f>IF(Y185="","",$B$31-Y185)</f>
        <v/>
      </c>
      <c r="AA185">
        <f>IF(Y185="","",IF(Y185*1.15&lt;=30,30,IF(Y185*1.15&lt;=45,45,IF(Y185*1.15&lt;=75,75,IF(Y185*1.15&lt;=112.5,112.5,IF(Y185*1.15&lt;=150,150,IF(Y185*1.15&lt;=225,225,300)))))))</f>
        <v/>
      </c>
      <c r="AB185">
        <f>IF(AA185="","",IFERROR(Y185/AA185,0))</f>
        <v/>
      </c>
      <c r="AC185">
        <f>IF(X185="","",IFERROR(INDEX(DIR_ATUAL[QT %],MATCH(X185,DIR_ATUAL[PONTO],0)),0))</f>
        <v/>
      </c>
      <c r="AD185">
        <f>IF(Y185="","",IFERROR(1-ABS(Y185-Z185)/$B$31,0))</f>
        <v/>
      </c>
      <c r="AE185">
        <f>IF(X185="","",IF($E$9&gt;$E$8,IFERROR((INDEX(GERAL[SNAP],152)-$E$8)/($E$9-$E$8),0),0))</f>
        <v/>
      </c>
      <c r="AF185">
        <f>IF(OR(X185="",AG185&lt;&gt;"DIREITO"),"",$L$2*IFERROR(Y185/$B$31,0)+$L$3*IF($D$31&gt;0,IFERROR(AC185/$D$31,0),0)+$L$4*IFERROR(AD185,0)-$L$5*IFERROR(AE185,0)-$L$6*MAX(0,IFERROR(AB185,0)-$L$7)+ROW()/1000000)</f>
        <v/>
      </c>
      <c r="AG185">
        <f>IFERROR(INDEX(GERAL[LADO],152),"")</f>
        <v/>
      </c>
    </row>
    <row r="186">
      <c r="M186">
        <f>IFERROR(INDEX(GERAL[PONTO],173),"")</f>
        <v/>
      </c>
      <c r="N186">
        <f>IF(M186="","",IFERROR(INDEX(GERAL[ACUMULADA],173),0))</f>
        <v/>
      </c>
      <c r="O186">
        <f>IF(N186="","",$B$11-N186)</f>
        <v/>
      </c>
      <c r="P186">
        <f>IF(N186="","",IF(N186*1.15&lt;=30,30,IF(N186*1.15&lt;=45,45,IF(N186*1.15&lt;=75,75,IF(N186*1.15&lt;=112.5,112.5,IF(N186*1.15&lt;=150,150,IF(N186*1.15&lt;=225,225,300)))))))</f>
        <v/>
      </c>
      <c r="Q186">
        <f>IF(P186="","",IFERROR(N186/P186,0))</f>
        <v/>
      </c>
      <c r="R186">
        <f>IF(M186="","",IFERROR(INDEX(Tabela7[QT %],MATCH(M186,Tabela7[PONTO],0)),0))</f>
        <v/>
      </c>
      <c r="S186">
        <f>IF(N186="","",IFERROR(1-ABS(N186-O186)/$B$11,0))</f>
        <v/>
      </c>
      <c r="T186">
        <f>IF(M186="","",IF($B$9&gt;$B$8,IFERROR((INDEX(GERAL[SNAP],173)-$B$8)/($B$9-$B$8),0),0))</f>
        <v/>
      </c>
      <c r="U186">
        <f>IF(OR(M186="",V186&lt;&gt;"ESQUERDO"),"",$L$2*IFERROR(N186/$B$11,0)+$L$3*IF($D$11&gt;0,IFERROR(R186/$D$11,0),0)+$L$4*IFERROR(S186,0)-$L$5*IFERROR(T186,0)-$L$6*MAX(0,IFERROR(Q186,0)-$L$7)+ROW()/1000000)</f>
        <v/>
      </c>
      <c r="V186">
        <f>IFERROR(INDEX(GERAL[LADO],173),"")</f>
        <v/>
      </c>
      <c r="X186">
        <f>IFERROR(INDEX(GERAL[PONTO],153),"")</f>
        <v/>
      </c>
      <c r="Y186">
        <f>IF(X186="","",IFERROR(INDEX(GERAL[ACUMULADA],153),0))</f>
        <v/>
      </c>
      <c r="Z186">
        <f>IF(Y186="","",$B$31-Y186)</f>
        <v/>
      </c>
      <c r="AA186">
        <f>IF(Y186="","",IF(Y186*1.15&lt;=30,30,IF(Y186*1.15&lt;=45,45,IF(Y186*1.15&lt;=75,75,IF(Y186*1.15&lt;=112.5,112.5,IF(Y186*1.15&lt;=150,150,IF(Y186*1.15&lt;=225,225,300)))))))</f>
        <v/>
      </c>
      <c r="AB186">
        <f>IF(AA186="","",IFERROR(Y186/AA186,0))</f>
        <v/>
      </c>
      <c r="AC186">
        <f>IF(X186="","",IFERROR(INDEX(DIR_ATUAL[QT %],MATCH(X186,DIR_ATUAL[PONTO],0)),0))</f>
        <v/>
      </c>
      <c r="AD186">
        <f>IF(Y186="","",IFERROR(1-ABS(Y186-Z186)/$B$31,0))</f>
        <v/>
      </c>
      <c r="AE186">
        <f>IF(X186="","",IF($E$9&gt;$E$8,IFERROR((INDEX(GERAL[SNAP],153)-$E$8)/($E$9-$E$8),0),0))</f>
        <v/>
      </c>
      <c r="AF186">
        <f>IF(OR(X186="",AG186&lt;&gt;"DIREITO"),"",$L$2*IFERROR(Y186/$B$31,0)+$L$3*IF($D$31&gt;0,IFERROR(AC186/$D$31,0),0)+$L$4*IFERROR(AD186,0)-$L$5*IFERROR(AE186,0)-$L$6*MAX(0,IFERROR(AB186,0)-$L$7)+ROW()/1000000)</f>
        <v/>
      </c>
      <c r="AG186">
        <f>IFERROR(INDEX(GERAL[LADO],153),"")</f>
        <v/>
      </c>
    </row>
    <row r="187">
      <c r="M187">
        <f>IFERROR(INDEX(GERAL[PONTO],174),"")</f>
        <v/>
      </c>
      <c r="N187">
        <f>IF(M187="","",IFERROR(INDEX(GERAL[ACUMULADA],174),0))</f>
        <v/>
      </c>
      <c r="O187">
        <f>IF(N187="","",$B$11-N187)</f>
        <v/>
      </c>
      <c r="P187">
        <f>IF(N187="","",IF(N187*1.15&lt;=30,30,IF(N187*1.15&lt;=45,45,IF(N187*1.15&lt;=75,75,IF(N187*1.15&lt;=112.5,112.5,IF(N187*1.15&lt;=150,150,IF(N187*1.15&lt;=225,225,300)))))))</f>
        <v/>
      </c>
      <c r="Q187">
        <f>IF(P187="","",IFERROR(N187/P187,0))</f>
        <v/>
      </c>
      <c r="R187">
        <f>IF(M187="","",IFERROR(INDEX(Tabela7[QT %],MATCH(M187,Tabela7[PONTO],0)),0))</f>
        <v/>
      </c>
      <c r="S187">
        <f>IF(N187="","",IFERROR(1-ABS(N187-O187)/$B$11,0))</f>
        <v/>
      </c>
      <c r="T187">
        <f>IF(M187="","",IF($B$9&gt;$B$8,IFERROR((INDEX(GERAL[SNAP],174)-$B$8)/($B$9-$B$8),0),0))</f>
        <v/>
      </c>
      <c r="U187">
        <f>IF(OR(M187="",V187&lt;&gt;"ESQUERDO"),"",$L$2*IFERROR(N187/$B$11,0)+$L$3*IF($D$11&gt;0,IFERROR(R187/$D$11,0),0)+$L$4*IFERROR(S187,0)-$L$5*IFERROR(T187,0)-$L$6*MAX(0,IFERROR(Q187,0)-$L$7)+ROW()/1000000)</f>
        <v/>
      </c>
      <c r="V187">
        <f>IFERROR(INDEX(GERAL[LADO],174),"")</f>
        <v/>
      </c>
      <c r="X187">
        <f>IFERROR(INDEX(GERAL[PONTO],154),"")</f>
        <v/>
      </c>
      <c r="Y187">
        <f>IF(X187="","",IFERROR(INDEX(GERAL[ACUMULADA],154),0))</f>
        <v/>
      </c>
      <c r="Z187">
        <f>IF(Y187="","",$B$31-Y187)</f>
        <v/>
      </c>
      <c r="AA187">
        <f>IF(Y187="","",IF(Y187*1.15&lt;=30,30,IF(Y187*1.15&lt;=45,45,IF(Y187*1.15&lt;=75,75,IF(Y187*1.15&lt;=112.5,112.5,IF(Y187*1.15&lt;=150,150,IF(Y187*1.15&lt;=225,225,300)))))))</f>
        <v/>
      </c>
      <c r="AB187">
        <f>IF(AA187="","",IFERROR(Y187/AA187,0))</f>
        <v/>
      </c>
      <c r="AC187">
        <f>IF(X187="","",IFERROR(INDEX(DIR_ATUAL[QT %],MATCH(X187,DIR_ATUAL[PONTO],0)),0))</f>
        <v/>
      </c>
      <c r="AD187">
        <f>IF(Y187="","",IFERROR(1-ABS(Y187-Z187)/$B$31,0))</f>
        <v/>
      </c>
      <c r="AE187">
        <f>IF(X187="","",IF($E$9&gt;$E$8,IFERROR((INDEX(GERAL[SNAP],154)-$E$8)/($E$9-$E$8),0),0))</f>
        <v/>
      </c>
      <c r="AF187">
        <f>IF(OR(X187="",AG187&lt;&gt;"DIREITO"),"",$L$2*IFERROR(Y187/$B$31,0)+$L$3*IF($D$31&gt;0,IFERROR(AC187/$D$31,0),0)+$L$4*IFERROR(AD187,0)-$L$5*IFERROR(AE187,0)-$L$6*MAX(0,IFERROR(AB187,0)-$L$7)+ROW()/1000000)</f>
        <v/>
      </c>
      <c r="AG187">
        <f>IFERROR(INDEX(GERAL[LADO],154),"")</f>
        <v/>
      </c>
    </row>
    <row r="188">
      <c r="M188">
        <f>IFERROR(INDEX(GERAL[PONTO],175),"")</f>
        <v/>
      </c>
      <c r="N188">
        <f>IF(M188="","",IFERROR(INDEX(GERAL[ACUMULADA],175),0))</f>
        <v/>
      </c>
      <c r="O188">
        <f>IF(N188="","",$B$11-N188)</f>
        <v/>
      </c>
      <c r="P188">
        <f>IF(N188="","",IF(N188*1.15&lt;=30,30,IF(N188*1.15&lt;=45,45,IF(N188*1.15&lt;=75,75,IF(N188*1.15&lt;=112.5,112.5,IF(N188*1.15&lt;=150,150,IF(N188*1.15&lt;=225,225,300)))))))</f>
        <v/>
      </c>
      <c r="Q188">
        <f>IF(P188="","",IFERROR(N188/P188,0))</f>
        <v/>
      </c>
      <c r="R188">
        <f>IF(M188="","",IFERROR(INDEX(Tabela7[QT %],MATCH(M188,Tabela7[PONTO],0)),0))</f>
        <v/>
      </c>
      <c r="S188">
        <f>IF(N188="","",IFERROR(1-ABS(N188-O188)/$B$11,0))</f>
        <v/>
      </c>
      <c r="T188">
        <f>IF(M188="","",IF($B$9&gt;$B$8,IFERROR((INDEX(GERAL[SNAP],175)-$B$8)/($B$9-$B$8),0),0))</f>
        <v/>
      </c>
      <c r="U188">
        <f>IF(OR(M188="",V188&lt;&gt;"ESQUERDO"),"",$L$2*IFERROR(N188/$B$11,0)+$L$3*IF($D$11&gt;0,IFERROR(R188/$D$11,0),0)+$L$4*IFERROR(S188,0)-$L$5*IFERROR(T188,0)-$L$6*MAX(0,IFERROR(Q188,0)-$L$7)+ROW()/1000000)</f>
        <v/>
      </c>
      <c r="V188">
        <f>IFERROR(INDEX(GERAL[LADO],175),"")</f>
        <v/>
      </c>
      <c r="X188">
        <f>IFERROR(INDEX(GERAL[PONTO],155),"")</f>
        <v/>
      </c>
      <c r="Y188">
        <f>IF(X188="","",IFERROR(INDEX(GERAL[ACUMULADA],155),0))</f>
        <v/>
      </c>
      <c r="Z188">
        <f>IF(Y188="","",$B$31-Y188)</f>
        <v/>
      </c>
      <c r="AA188">
        <f>IF(Y188="","",IF(Y188*1.15&lt;=30,30,IF(Y188*1.15&lt;=45,45,IF(Y188*1.15&lt;=75,75,IF(Y188*1.15&lt;=112.5,112.5,IF(Y188*1.15&lt;=150,150,IF(Y188*1.15&lt;=225,225,300)))))))</f>
        <v/>
      </c>
      <c r="AB188">
        <f>IF(AA188="","",IFERROR(Y188/AA188,0))</f>
        <v/>
      </c>
      <c r="AC188">
        <f>IF(X188="","",IFERROR(INDEX(DIR_ATUAL[QT %],MATCH(X188,DIR_ATUAL[PONTO],0)),0))</f>
        <v/>
      </c>
      <c r="AD188">
        <f>IF(Y188="","",IFERROR(1-ABS(Y188-Z188)/$B$31,0))</f>
        <v/>
      </c>
      <c r="AE188">
        <f>IF(X188="","",IF($E$9&gt;$E$8,IFERROR((INDEX(GERAL[SNAP],155)-$E$8)/($E$9-$E$8),0),0))</f>
        <v/>
      </c>
      <c r="AF188">
        <f>IF(OR(X188="",AG188&lt;&gt;"DIREITO"),"",$L$2*IFERROR(Y188/$B$31,0)+$L$3*IF($D$31&gt;0,IFERROR(AC188/$D$31,0),0)+$L$4*IFERROR(AD188,0)-$L$5*IFERROR(AE188,0)-$L$6*MAX(0,IFERROR(AB188,0)-$L$7)+ROW()/1000000)</f>
        <v/>
      </c>
      <c r="AG188">
        <f>IFERROR(INDEX(GERAL[LADO],155),"")</f>
        <v/>
      </c>
    </row>
    <row r="189">
      <c r="M189">
        <f>IFERROR(INDEX(GERAL[PONTO],176),"")</f>
        <v/>
      </c>
      <c r="N189">
        <f>IF(M189="","",IFERROR(INDEX(GERAL[ACUMULADA],176),0))</f>
        <v/>
      </c>
      <c r="O189">
        <f>IF(N189="","",$B$11-N189)</f>
        <v/>
      </c>
      <c r="P189">
        <f>IF(N189="","",IF(N189*1.15&lt;=30,30,IF(N189*1.15&lt;=45,45,IF(N189*1.15&lt;=75,75,IF(N189*1.15&lt;=112.5,112.5,IF(N189*1.15&lt;=150,150,IF(N189*1.15&lt;=225,225,300)))))))</f>
        <v/>
      </c>
      <c r="Q189">
        <f>IF(P189="","",IFERROR(N189/P189,0))</f>
        <v/>
      </c>
      <c r="R189">
        <f>IF(M189="","",IFERROR(INDEX(Tabela7[QT %],MATCH(M189,Tabela7[PONTO],0)),0))</f>
        <v/>
      </c>
      <c r="S189">
        <f>IF(N189="","",IFERROR(1-ABS(N189-O189)/$B$11,0))</f>
        <v/>
      </c>
      <c r="T189">
        <f>IF(M189="","",IF($B$9&gt;$B$8,IFERROR((INDEX(GERAL[SNAP],176)-$B$8)/($B$9-$B$8),0),0))</f>
        <v/>
      </c>
      <c r="U189">
        <f>IF(OR(M189="",V189&lt;&gt;"ESQUERDO"),"",$L$2*IFERROR(N189/$B$11,0)+$L$3*IF($D$11&gt;0,IFERROR(R189/$D$11,0),0)+$L$4*IFERROR(S189,0)-$L$5*IFERROR(T189,0)-$L$6*MAX(0,IFERROR(Q189,0)-$L$7)+ROW()/1000000)</f>
        <v/>
      </c>
      <c r="V189">
        <f>IFERROR(INDEX(GERAL[LADO],176),"")</f>
        <v/>
      </c>
      <c r="X189">
        <f>IFERROR(INDEX(GERAL[PONTO],156),"")</f>
        <v/>
      </c>
      <c r="Y189">
        <f>IF(X189="","",IFERROR(INDEX(GERAL[ACUMULADA],156),0))</f>
        <v/>
      </c>
      <c r="Z189">
        <f>IF(Y189="","",$B$31-Y189)</f>
        <v/>
      </c>
      <c r="AA189">
        <f>IF(Y189="","",IF(Y189*1.15&lt;=30,30,IF(Y189*1.15&lt;=45,45,IF(Y189*1.15&lt;=75,75,IF(Y189*1.15&lt;=112.5,112.5,IF(Y189*1.15&lt;=150,150,IF(Y189*1.15&lt;=225,225,300)))))))</f>
        <v/>
      </c>
      <c r="AB189">
        <f>IF(AA189="","",IFERROR(Y189/AA189,0))</f>
        <v/>
      </c>
      <c r="AC189">
        <f>IF(X189="","",IFERROR(INDEX(DIR_ATUAL[QT %],MATCH(X189,DIR_ATUAL[PONTO],0)),0))</f>
        <v/>
      </c>
      <c r="AD189">
        <f>IF(Y189="","",IFERROR(1-ABS(Y189-Z189)/$B$31,0))</f>
        <v/>
      </c>
      <c r="AE189">
        <f>IF(X189="","",IF($E$9&gt;$E$8,IFERROR((INDEX(GERAL[SNAP],156)-$E$8)/($E$9-$E$8),0),0))</f>
        <v/>
      </c>
      <c r="AF189">
        <f>IF(OR(X189="",AG189&lt;&gt;"DIREITO"),"",$L$2*IFERROR(Y189/$B$31,0)+$L$3*IF($D$31&gt;0,IFERROR(AC189/$D$31,0),0)+$L$4*IFERROR(AD189,0)-$L$5*IFERROR(AE189,0)-$L$6*MAX(0,IFERROR(AB189,0)-$L$7)+ROW()/1000000)</f>
        <v/>
      </c>
      <c r="AG189">
        <f>IFERROR(INDEX(GERAL[LADO],156),"")</f>
        <v/>
      </c>
    </row>
    <row r="190">
      <c r="M190">
        <f>IFERROR(INDEX(GERAL[PONTO],177),"")</f>
        <v/>
      </c>
      <c r="N190">
        <f>IF(M190="","",IFERROR(INDEX(GERAL[ACUMULADA],177),0))</f>
        <v/>
      </c>
      <c r="O190">
        <f>IF(N190="","",$B$11-N190)</f>
        <v/>
      </c>
      <c r="P190">
        <f>IF(N190="","",IF(N190*1.15&lt;=30,30,IF(N190*1.15&lt;=45,45,IF(N190*1.15&lt;=75,75,IF(N190*1.15&lt;=112.5,112.5,IF(N190*1.15&lt;=150,150,IF(N190*1.15&lt;=225,225,300)))))))</f>
        <v/>
      </c>
      <c r="Q190">
        <f>IF(P190="","",IFERROR(N190/P190,0))</f>
        <v/>
      </c>
      <c r="R190">
        <f>IF(M190="","",IFERROR(INDEX(Tabela7[QT %],MATCH(M190,Tabela7[PONTO],0)),0))</f>
        <v/>
      </c>
      <c r="S190">
        <f>IF(N190="","",IFERROR(1-ABS(N190-O190)/$B$11,0))</f>
        <v/>
      </c>
      <c r="T190">
        <f>IF(M190="","",IF($B$9&gt;$B$8,IFERROR((INDEX(GERAL[SNAP],177)-$B$8)/($B$9-$B$8),0),0))</f>
        <v/>
      </c>
      <c r="U190">
        <f>IF(OR(M190="",V190&lt;&gt;"ESQUERDO"),"",$L$2*IFERROR(N190/$B$11,0)+$L$3*IF($D$11&gt;0,IFERROR(R190/$D$11,0),0)+$L$4*IFERROR(S190,0)-$L$5*IFERROR(T190,0)-$L$6*MAX(0,IFERROR(Q190,0)-$L$7)+ROW()/1000000)</f>
        <v/>
      </c>
      <c r="V190">
        <f>IFERROR(INDEX(GERAL[LADO],177),"")</f>
        <v/>
      </c>
      <c r="X190">
        <f>IFERROR(INDEX(GERAL[PONTO],157),"")</f>
        <v/>
      </c>
      <c r="Y190">
        <f>IF(X190="","",IFERROR(INDEX(GERAL[ACUMULADA],157),0))</f>
        <v/>
      </c>
      <c r="Z190">
        <f>IF(Y190="","",$B$31-Y190)</f>
        <v/>
      </c>
      <c r="AA190">
        <f>IF(Y190="","",IF(Y190*1.15&lt;=30,30,IF(Y190*1.15&lt;=45,45,IF(Y190*1.15&lt;=75,75,IF(Y190*1.15&lt;=112.5,112.5,IF(Y190*1.15&lt;=150,150,IF(Y190*1.15&lt;=225,225,300)))))))</f>
        <v/>
      </c>
      <c r="AB190">
        <f>IF(AA190="","",IFERROR(Y190/AA190,0))</f>
        <v/>
      </c>
      <c r="AC190">
        <f>IF(X190="","",IFERROR(INDEX(DIR_ATUAL[QT %],MATCH(X190,DIR_ATUAL[PONTO],0)),0))</f>
        <v/>
      </c>
      <c r="AD190">
        <f>IF(Y190="","",IFERROR(1-ABS(Y190-Z190)/$B$31,0))</f>
        <v/>
      </c>
      <c r="AE190">
        <f>IF(X190="","",IF($E$9&gt;$E$8,IFERROR((INDEX(GERAL[SNAP],157)-$E$8)/($E$9-$E$8),0),0))</f>
        <v/>
      </c>
      <c r="AF190">
        <f>IF(OR(X190="",AG190&lt;&gt;"DIREITO"),"",$L$2*IFERROR(Y190/$B$31,0)+$L$3*IF($D$31&gt;0,IFERROR(AC190/$D$31,0),0)+$L$4*IFERROR(AD190,0)-$L$5*IFERROR(AE190,0)-$L$6*MAX(0,IFERROR(AB190,0)-$L$7)+ROW()/1000000)</f>
        <v/>
      </c>
      <c r="AG190">
        <f>IFERROR(INDEX(GERAL[LADO],157),"")</f>
        <v/>
      </c>
    </row>
    <row r="191">
      <c r="M191">
        <f>IFERROR(INDEX(GERAL[PONTO],178),"")</f>
        <v/>
      </c>
      <c r="N191">
        <f>IF(M191="","",IFERROR(INDEX(GERAL[ACUMULADA],178),0))</f>
        <v/>
      </c>
      <c r="O191">
        <f>IF(N191="","",$B$11-N191)</f>
        <v/>
      </c>
      <c r="P191">
        <f>IF(N191="","",IF(N191*1.15&lt;=30,30,IF(N191*1.15&lt;=45,45,IF(N191*1.15&lt;=75,75,IF(N191*1.15&lt;=112.5,112.5,IF(N191*1.15&lt;=150,150,IF(N191*1.15&lt;=225,225,300)))))))</f>
        <v/>
      </c>
      <c r="Q191">
        <f>IF(P191="","",IFERROR(N191/P191,0))</f>
        <v/>
      </c>
      <c r="R191">
        <f>IF(M191="","",IFERROR(INDEX(Tabela7[QT %],MATCH(M191,Tabela7[PONTO],0)),0))</f>
        <v/>
      </c>
      <c r="S191">
        <f>IF(N191="","",IFERROR(1-ABS(N191-O191)/$B$11,0))</f>
        <v/>
      </c>
      <c r="T191">
        <f>IF(M191="","",IF($B$9&gt;$B$8,IFERROR((INDEX(GERAL[SNAP],178)-$B$8)/($B$9-$B$8),0),0))</f>
        <v/>
      </c>
      <c r="U191">
        <f>IF(OR(M191="",V191&lt;&gt;"ESQUERDO"),"",$L$2*IFERROR(N191/$B$11,0)+$L$3*IF($D$11&gt;0,IFERROR(R191/$D$11,0),0)+$L$4*IFERROR(S191,0)-$L$5*IFERROR(T191,0)-$L$6*MAX(0,IFERROR(Q191,0)-$L$7)+ROW()/1000000)</f>
        <v/>
      </c>
      <c r="V191">
        <f>IFERROR(INDEX(GERAL[LADO],178),"")</f>
        <v/>
      </c>
      <c r="X191">
        <f>IFERROR(INDEX(GERAL[PONTO],158),"")</f>
        <v/>
      </c>
      <c r="Y191">
        <f>IF(X191="","",IFERROR(INDEX(GERAL[ACUMULADA],158),0))</f>
        <v/>
      </c>
      <c r="Z191">
        <f>IF(Y191="","",$B$31-Y191)</f>
        <v/>
      </c>
      <c r="AA191">
        <f>IF(Y191="","",IF(Y191*1.15&lt;=30,30,IF(Y191*1.15&lt;=45,45,IF(Y191*1.15&lt;=75,75,IF(Y191*1.15&lt;=112.5,112.5,IF(Y191*1.15&lt;=150,150,IF(Y191*1.15&lt;=225,225,300)))))))</f>
        <v/>
      </c>
      <c r="AB191">
        <f>IF(AA191="","",IFERROR(Y191/AA191,0))</f>
        <v/>
      </c>
      <c r="AC191">
        <f>IF(X191="","",IFERROR(INDEX(DIR_ATUAL[QT %],MATCH(X191,DIR_ATUAL[PONTO],0)),0))</f>
        <v/>
      </c>
      <c r="AD191">
        <f>IF(Y191="","",IFERROR(1-ABS(Y191-Z191)/$B$31,0))</f>
        <v/>
      </c>
      <c r="AE191">
        <f>IF(X191="","",IF($E$9&gt;$E$8,IFERROR((INDEX(GERAL[SNAP],158)-$E$8)/($E$9-$E$8),0),0))</f>
        <v/>
      </c>
      <c r="AF191">
        <f>IF(OR(X191="",AG191&lt;&gt;"DIREITO"),"",$L$2*IFERROR(Y191/$B$31,0)+$L$3*IF($D$31&gt;0,IFERROR(AC191/$D$31,0),0)+$L$4*IFERROR(AD191,0)-$L$5*IFERROR(AE191,0)-$L$6*MAX(0,IFERROR(AB191,0)-$L$7)+ROW()/1000000)</f>
        <v/>
      </c>
      <c r="AG191">
        <f>IFERROR(INDEX(GERAL[LADO],158),"")</f>
        <v/>
      </c>
    </row>
    <row r="192">
      <c r="M192">
        <f>IFERROR(INDEX(GERAL[PONTO],179),"")</f>
        <v/>
      </c>
      <c r="N192">
        <f>IF(M192="","",IFERROR(INDEX(GERAL[ACUMULADA],179),0))</f>
        <v/>
      </c>
      <c r="O192">
        <f>IF(N192="","",$B$11-N192)</f>
        <v/>
      </c>
      <c r="P192">
        <f>IF(N192="","",IF(N192*1.15&lt;=30,30,IF(N192*1.15&lt;=45,45,IF(N192*1.15&lt;=75,75,IF(N192*1.15&lt;=112.5,112.5,IF(N192*1.15&lt;=150,150,IF(N192*1.15&lt;=225,225,300)))))))</f>
        <v/>
      </c>
      <c r="Q192">
        <f>IF(P192="","",IFERROR(N192/P192,0))</f>
        <v/>
      </c>
      <c r="R192">
        <f>IF(M192="","",IFERROR(INDEX(Tabela7[QT %],MATCH(M192,Tabela7[PONTO],0)),0))</f>
        <v/>
      </c>
      <c r="S192">
        <f>IF(N192="","",IFERROR(1-ABS(N192-O192)/$B$11,0))</f>
        <v/>
      </c>
      <c r="T192">
        <f>IF(M192="","",IF($B$9&gt;$B$8,IFERROR((INDEX(GERAL[SNAP],179)-$B$8)/($B$9-$B$8),0),0))</f>
        <v/>
      </c>
      <c r="U192">
        <f>IF(OR(M192="",V192&lt;&gt;"ESQUERDO"),"",$L$2*IFERROR(N192/$B$11,0)+$L$3*IF($D$11&gt;0,IFERROR(R192/$D$11,0),0)+$L$4*IFERROR(S192,0)-$L$5*IFERROR(T192,0)-$L$6*MAX(0,IFERROR(Q192,0)-$L$7)+ROW()/1000000)</f>
        <v/>
      </c>
      <c r="V192">
        <f>IFERROR(INDEX(GERAL[LADO],179),"")</f>
        <v/>
      </c>
      <c r="X192">
        <f>IFERROR(INDEX(GERAL[PONTO],159),"")</f>
        <v/>
      </c>
      <c r="Y192">
        <f>IF(X192="","",IFERROR(INDEX(GERAL[ACUMULADA],159),0))</f>
        <v/>
      </c>
      <c r="Z192">
        <f>IF(Y192="","",$B$31-Y192)</f>
        <v/>
      </c>
      <c r="AA192">
        <f>IF(Y192="","",IF(Y192*1.15&lt;=30,30,IF(Y192*1.15&lt;=45,45,IF(Y192*1.15&lt;=75,75,IF(Y192*1.15&lt;=112.5,112.5,IF(Y192*1.15&lt;=150,150,IF(Y192*1.15&lt;=225,225,300)))))))</f>
        <v/>
      </c>
      <c r="AB192">
        <f>IF(AA192="","",IFERROR(Y192/AA192,0))</f>
        <v/>
      </c>
      <c r="AC192">
        <f>IF(X192="","",IFERROR(INDEX(DIR_ATUAL[QT %],MATCH(X192,DIR_ATUAL[PONTO],0)),0))</f>
        <v/>
      </c>
      <c r="AD192">
        <f>IF(Y192="","",IFERROR(1-ABS(Y192-Z192)/$B$31,0))</f>
        <v/>
      </c>
      <c r="AE192">
        <f>IF(X192="","",IF($E$9&gt;$E$8,IFERROR((INDEX(GERAL[SNAP],159)-$E$8)/($E$9-$E$8),0),0))</f>
        <v/>
      </c>
      <c r="AF192">
        <f>IF(OR(X192="",AG192&lt;&gt;"DIREITO"),"",$L$2*IFERROR(Y192/$B$31,0)+$L$3*IF($D$31&gt;0,IFERROR(AC192/$D$31,0),0)+$L$4*IFERROR(AD192,0)-$L$5*IFERROR(AE192,0)-$L$6*MAX(0,IFERROR(AB192,0)-$L$7)+ROW()/1000000)</f>
        <v/>
      </c>
      <c r="AG192">
        <f>IFERROR(INDEX(GERAL[LADO],159),"")</f>
        <v/>
      </c>
    </row>
    <row r="193">
      <c r="M193">
        <f>IFERROR(INDEX(GERAL[PONTO],180),"")</f>
        <v/>
      </c>
      <c r="N193">
        <f>IF(M193="","",IFERROR(INDEX(GERAL[ACUMULADA],180),0))</f>
        <v/>
      </c>
      <c r="O193">
        <f>IF(N193="","",$B$11-N193)</f>
        <v/>
      </c>
      <c r="P193">
        <f>IF(N193="","",IF(N193*1.15&lt;=30,30,IF(N193*1.15&lt;=45,45,IF(N193*1.15&lt;=75,75,IF(N193*1.15&lt;=112.5,112.5,IF(N193*1.15&lt;=150,150,IF(N193*1.15&lt;=225,225,300)))))))</f>
        <v/>
      </c>
      <c r="Q193">
        <f>IF(P193="","",IFERROR(N193/P193,0))</f>
        <v/>
      </c>
      <c r="R193">
        <f>IF(M193="","",IFERROR(INDEX(Tabela7[QT %],MATCH(M193,Tabela7[PONTO],0)),0))</f>
        <v/>
      </c>
      <c r="S193">
        <f>IF(N193="","",IFERROR(1-ABS(N193-O193)/$B$11,0))</f>
        <v/>
      </c>
      <c r="T193">
        <f>IF(M193="","",IF($B$9&gt;$B$8,IFERROR((INDEX(GERAL[SNAP],180)-$B$8)/($B$9-$B$8),0),0))</f>
        <v/>
      </c>
      <c r="U193">
        <f>IF(OR(M193="",V193&lt;&gt;"ESQUERDO"),"",$L$2*IFERROR(N193/$B$11,0)+$L$3*IF($D$11&gt;0,IFERROR(R193/$D$11,0),0)+$L$4*IFERROR(S193,0)-$L$5*IFERROR(T193,0)-$L$6*MAX(0,IFERROR(Q193,0)-$L$7)+ROW()/1000000)</f>
        <v/>
      </c>
      <c r="V193">
        <f>IFERROR(INDEX(GERAL[LADO],180),"")</f>
        <v/>
      </c>
      <c r="X193">
        <f>IFERROR(INDEX(GERAL[PONTO],160),"")</f>
        <v/>
      </c>
      <c r="Y193">
        <f>IF(X193="","",IFERROR(INDEX(GERAL[ACUMULADA],160),0))</f>
        <v/>
      </c>
      <c r="Z193">
        <f>IF(Y193="","",$B$31-Y193)</f>
        <v/>
      </c>
      <c r="AA193">
        <f>IF(Y193="","",IF(Y193*1.15&lt;=30,30,IF(Y193*1.15&lt;=45,45,IF(Y193*1.15&lt;=75,75,IF(Y193*1.15&lt;=112.5,112.5,IF(Y193*1.15&lt;=150,150,IF(Y193*1.15&lt;=225,225,300)))))))</f>
        <v/>
      </c>
      <c r="AB193">
        <f>IF(AA193="","",IFERROR(Y193/AA193,0))</f>
        <v/>
      </c>
      <c r="AC193">
        <f>IF(X193="","",IFERROR(INDEX(DIR_ATUAL[QT %],MATCH(X193,DIR_ATUAL[PONTO],0)),0))</f>
        <v/>
      </c>
      <c r="AD193">
        <f>IF(Y193="","",IFERROR(1-ABS(Y193-Z193)/$B$31,0))</f>
        <v/>
      </c>
      <c r="AE193">
        <f>IF(X193="","",IF($E$9&gt;$E$8,IFERROR((INDEX(GERAL[SNAP],160)-$E$8)/($E$9-$E$8),0),0))</f>
        <v/>
      </c>
      <c r="AF193">
        <f>IF(OR(X193="",AG193&lt;&gt;"DIREITO"),"",$L$2*IFERROR(Y193/$B$31,0)+$L$3*IF($D$31&gt;0,IFERROR(AC193/$D$31,0),0)+$L$4*IFERROR(AD193,0)-$L$5*IFERROR(AE193,0)-$L$6*MAX(0,IFERROR(AB193,0)-$L$7)+ROW()/1000000)</f>
        <v/>
      </c>
      <c r="AG193">
        <f>IFERROR(INDEX(GERAL[LADO],160),"")</f>
        <v/>
      </c>
    </row>
    <row r="194">
      <c r="M194">
        <f>IFERROR(INDEX(GERAL[PONTO],181),"")</f>
        <v/>
      </c>
      <c r="N194">
        <f>IF(M194="","",IFERROR(INDEX(GERAL[ACUMULADA],181),0))</f>
        <v/>
      </c>
      <c r="O194">
        <f>IF(N194="","",$B$11-N194)</f>
        <v/>
      </c>
      <c r="P194">
        <f>IF(N194="","",IF(N194*1.15&lt;=30,30,IF(N194*1.15&lt;=45,45,IF(N194*1.15&lt;=75,75,IF(N194*1.15&lt;=112.5,112.5,IF(N194*1.15&lt;=150,150,IF(N194*1.15&lt;=225,225,300)))))))</f>
        <v/>
      </c>
      <c r="Q194">
        <f>IF(P194="","",IFERROR(N194/P194,0))</f>
        <v/>
      </c>
      <c r="R194">
        <f>IF(M194="","",IFERROR(INDEX(Tabela7[QT %],MATCH(M194,Tabela7[PONTO],0)),0))</f>
        <v/>
      </c>
      <c r="S194">
        <f>IF(N194="","",IFERROR(1-ABS(N194-O194)/$B$11,0))</f>
        <v/>
      </c>
      <c r="T194">
        <f>IF(M194="","",IF($B$9&gt;$B$8,IFERROR((INDEX(GERAL[SNAP],181)-$B$8)/($B$9-$B$8),0),0))</f>
        <v/>
      </c>
      <c r="U194">
        <f>IF(OR(M194="",V194&lt;&gt;"ESQUERDO"),"",$L$2*IFERROR(N194/$B$11,0)+$L$3*IF($D$11&gt;0,IFERROR(R194/$D$11,0),0)+$L$4*IFERROR(S194,0)-$L$5*IFERROR(T194,0)-$L$6*MAX(0,IFERROR(Q194,0)-$L$7)+ROW()/1000000)</f>
        <v/>
      </c>
      <c r="V194">
        <f>IFERROR(INDEX(GERAL[LADO],181),"")</f>
        <v/>
      </c>
      <c r="X194">
        <f>IFERROR(INDEX(GERAL[PONTO],161),"")</f>
        <v/>
      </c>
      <c r="Y194">
        <f>IF(X194="","",IFERROR(INDEX(GERAL[ACUMULADA],161),0))</f>
        <v/>
      </c>
      <c r="Z194">
        <f>IF(Y194="","",$B$31-Y194)</f>
        <v/>
      </c>
      <c r="AA194">
        <f>IF(Y194="","",IF(Y194*1.15&lt;=30,30,IF(Y194*1.15&lt;=45,45,IF(Y194*1.15&lt;=75,75,IF(Y194*1.15&lt;=112.5,112.5,IF(Y194*1.15&lt;=150,150,IF(Y194*1.15&lt;=225,225,300)))))))</f>
        <v/>
      </c>
      <c r="AB194">
        <f>IF(AA194="","",IFERROR(Y194/AA194,0))</f>
        <v/>
      </c>
      <c r="AC194">
        <f>IF(X194="","",IFERROR(INDEX(DIR_ATUAL[QT %],MATCH(X194,DIR_ATUAL[PONTO],0)),0))</f>
        <v/>
      </c>
      <c r="AD194">
        <f>IF(Y194="","",IFERROR(1-ABS(Y194-Z194)/$B$31,0))</f>
        <v/>
      </c>
      <c r="AE194">
        <f>IF(X194="","",IF($E$9&gt;$E$8,IFERROR((INDEX(GERAL[SNAP],161)-$E$8)/($E$9-$E$8),0),0))</f>
        <v/>
      </c>
      <c r="AF194">
        <f>IF(OR(X194="",AG194&lt;&gt;"DIREITO"),"",$L$2*IFERROR(Y194/$B$31,0)+$L$3*IF($D$31&gt;0,IFERROR(AC194/$D$31,0),0)+$L$4*IFERROR(AD194,0)-$L$5*IFERROR(AE194,0)-$L$6*MAX(0,IFERROR(AB194,0)-$L$7)+ROW()/1000000)</f>
        <v/>
      </c>
      <c r="AG194">
        <f>IFERROR(INDEX(GERAL[LADO],161),"")</f>
        <v/>
      </c>
    </row>
    <row r="195">
      <c r="M195">
        <f>IFERROR(INDEX(GERAL[PONTO],182),"")</f>
        <v/>
      </c>
      <c r="N195">
        <f>IF(M195="","",IFERROR(INDEX(GERAL[ACUMULADA],182),0))</f>
        <v/>
      </c>
      <c r="O195">
        <f>IF(N195="","",$B$11-N195)</f>
        <v/>
      </c>
      <c r="P195">
        <f>IF(N195="","",IF(N195*1.15&lt;=30,30,IF(N195*1.15&lt;=45,45,IF(N195*1.15&lt;=75,75,IF(N195*1.15&lt;=112.5,112.5,IF(N195*1.15&lt;=150,150,IF(N195*1.15&lt;=225,225,300)))))))</f>
        <v/>
      </c>
      <c r="Q195">
        <f>IF(P195="","",IFERROR(N195/P195,0))</f>
        <v/>
      </c>
      <c r="R195">
        <f>IF(M195="","",IFERROR(INDEX(Tabela7[QT %],MATCH(M195,Tabela7[PONTO],0)),0))</f>
        <v/>
      </c>
      <c r="S195">
        <f>IF(N195="","",IFERROR(1-ABS(N195-O195)/$B$11,0))</f>
        <v/>
      </c>
      <c r="T195">
        <f>IF(M195="","",IF($B$9&gt;$B$8,IFERROR((INDEX(GERAL[SNAP],182)-$B$8)/($B$9-$B$8),0),0))</f>
        <v/>
      </c>
      <c r="U195">
        <f>IF(OR(M195="",V195&lt;&gt;"ESQUERDO"),"",$L$2*IFERROR(N195/$B$11,0)+$L$3*IF($D$11&gt;0,IFERROR(R195/$D$11,0),0)+$L$4*IFERROR(S195,0)-$L$5*IFERROR(T195,0)-$L$6*MAX(0,IFERROR(Q195,0)-$L$7)+ROW()/1000000)</f>
        <v/>
      </c>
      <c r="V195">
        <f>IFERROR(INDEX(GERAL[LADO],182),"")</f>
        <v/>
      </c>
      <c r="X195">
        <f>IFERROR(INDEX(GERAL[PONTO],162),"")</f>
        <v/>
      </c>
      <c r="Y195">
        <f>IF(X195="","",IFERROR(INDEX(GERAL[ACUMULADA],162),0))</f>
        <v/>
      </c>
      <c r="Z195">
        <f>IF(Y195="","",$B$31-Y195)</f>
        <v/>
      </c>
      <c r="AA195">
        <f>IF(Y195="","",IF(Y195*1.15&lt;=30,30,IF(Y195*1.15&lt;=45,45,IF(Y195*1.15&lt;=75,75,IF(Y195*1.15&lt;=112.5,112.5,IF(Y195*1.15&lt;=150,150,IF(Y195*1.15&lt;=225,225,300)))))))</f>
        <v/>
      </c>
      <c r="AB195">
        <f>IF(AA195="","",IFERROR(Y195/AA195,0))</f>
        <v/>
      </c>
      <c r="AC195">
        <f>IF(X195="","",IFERROR(INDEX(DIR_ATUAL[QT %],MATCH(X195,DIR_ATUAL[PONTO],0)),0))</f>
        <v/>
      </c>
      <c r="AD195">
        <f>IF(Y195="","",IFERROR(1-ABS(Y195-Z195)/$B$31,0))</f>
        <v/>
      </c>
      <c r="AE195">
        <f>IF(X195="","",IF($E$9&gt;$E$8,IFERROR((INDEX(GERAL[SNAP],162)-$E$8)/($E$9-$E$8),0),0))</f>
        <v/>
      </c>
      <c r="AF195">
        <f>IF(OR(X195="",AG195&lt;&gt;"DIREITO"),"",$L$2*IFERROR(Y195/$B$31,0)+$L$3*IF($D$31&gt;0,IFERROR(AC195/$D$31,0),0)+$L$4*IFERROR(AD195,0)-$L$5*IFERROR(AE195,0)-$L$6*MAX(0,IFERROR(AB195,0)-$L$7)+ROW()/1000000)</f>
        <v/>
      </c>
      <c r="AG195">
        <f>IFERROR(INDEX(GERAL[LADO],162),"")</f>
        <v/>
      </c>
    </row>
    <row r="196">
      <c r="M196">
        <f>IFERROR(INDEX(GERAL[PONTO],183),"")</f>
        <v/>
      </c>
      <c r="N196">
        <f>IF(M196="","",IFERROR(INDEX(GERAL[ACUMULADA],183),0))</f>
        <v/>
      </c>
      <c r="O196">
        <f>IF(N196="","",$B$11-N196)</f>
        <v/>
      </c>
      <c r="P196">
        <f>IF(N196="","",IF(N196*1.15&lt;=30,30,IF(N196*1.15&lt;=45,45,IF(N196*1.15&lt;=75,75,IF(N196*1.15&lt;=112.5,112.5,IF(N196*1.15&lt;=150,150,IF(N196*1.15&lt;=225,225,300)))))))</f>
        <v/>
      </c>
      <c r="Q196">
        <f>IF(P196="","",IFERROR(N196/P196,0))</f>
        <v/>
      </c>
      <c r="R196">
        <f>IF(M196="","",IFERROR(INDEX(Tabela7[QT %],MATCH(M196,Tabela7[PONTO],0)),0))</f>
        <v/>
      </c>
      <c r="S196">
        <f>IF(N196="","",IFERROR(1-ABS(N196-O196)/$B$11,0))</f>
        <v/>
      </c>
      <c r="T196">
        <f>IF(M196="","",IF($B$9&gt;$B$8,IFERROR((INDEX(GERAL[SNAP],183)-$B$8)/($B$9-$B$8),0),0))</f>
        <v/>
      </c>
      <c r="U196">
        <f>IF(OR(M196="",V196&lt;&gt;"ESQUERDO"),"",$L$2*IFERROR(N196/$B$11,0)+$L$3*IF($D$11&gt;0,IFERROR(R196/$D$11,0),0)+$L$4*IFERROR(S196,0)-$L$5*IFERROR(T196,0)-$L$6*MAX(0,IFERROR(Q196,0)-$L$7)+ROW()/1000000)</f>
        <v/>
      </c>
      <c r="V196">
        <f>IFERROR(INDEX(GERAL[LADO],183),"")</f>
        <v/>
      </c>
      <c r="X196">
        <f>IFERROR(INDEX(GERAL[PONTO],163),"")</f>
        <v/>
      </c>
      <c r="Y196">
        <f>IF(X196="","",IFERROR(INDEX(GERAL[ACUMULADA],163),0))</f>
        <v/>
      </c>
      <c r="Z196">
        <f>IF(Y196="","",$B$31-Y196)</f>
        <v/>
      </c>
      <c r="AA196">
        <f>IF(Y196="","",IF(Y196*1.15&lt;=30,30,IF(Y196*1.15&lt;=45,45,IF(Y196*1.15&lt;=75,75,IF(Y196*1.15&lt;=112.5,112.5,IF(Y196*1.15&lt;=150,150,IF(Y196*1.15&lt;=225,225,300)))))))</f>
        <v/>
      </c>
      <c r="AB196">
        <f>IF(AA196="","",IFERROR(Y196/AA196,0))</f>
        <v/>
      </c>
      <c r="AC196">
        <f>IF(X196="","",IFERROR(INDEX(DIR_ATUAL[QT %],MATCH(X196,DIR_ATUAL[PONTO],0)),0))</f>
        <v/>
      </c>
      <c r="AD196">
        <f>IF(Y196="","",IFERROR(1-ABS(Y196-Z196)/$B$31,0))</f>
        <v/>
      </c>
      <c r="AE196">
        <f>IF(X196="","",IF($E$9&gt;$E$8,IFERROR((INDEX(GERAL[SNAP],163)-$E$8)/($E$9-$E$8),0),0))</f>
        <v/>
      </c>
      <c r="AF196">
        <f>IF(OR(X196="",AG196&lt;&gt;"DIREITO"),"",$L$2*IFERROR(Y196/$B$31,0)+$L$3*IF($D$31&gt;0,IFERROR(AC196/$D$31,0),0)+$L$4*IFERROR(AD196,0)-$L$5*IFERROR(AE196,0)-$L$6*MAX(0,IFERROR(AB196,0)-$L$7)+ROW()/1000000)</f>
        <v/>
      </c>
      <c r="AG196">
        <f>IFERROR(INDEX(GERAL[LADO],163),"")</f>
        <v/>
      </c>
    </row>
    <row r="197">
      <c r="M197">
        <f>IFERROR(INDEX(GERAL[PONTO],184),"")</f>
        <v/>
      </c>
      <c r="N197">
        <f>IF(M197="","",IFERROR(INDEX(GERAL[ACUMULADA],184),0))</f>
        <v/>
      </c>
      <c r="O197">
        <f>IF(N197="","",$B$11-N197)</f>
        <v/>
      </c>
      <c r="P197">
        <f>IF(N197="","",IF(N197*1.15&lt;=30,30,IF(N197*1.15&lt;=45,45,IF(N197*1.15&lt;=75,75,IF(N197*1.15&lt;=112.5,112.5,IF(N197*1.15&lt;=150,150,IF(N197*1.15&lt;=225,225,300)))))))</f>
        <v/>
      </c>
      <c r="Q197">
        <f>IF(P197="","",IFERROR(N197/P197,0))</f>
        <v/>
      </c>
      <c r="R197">
        <f>IF(M197="","",IFERROR(INDEX(Tabela7[QT %],MATCH(M197,Tabela7[PONTO],0)),0))</f>
        <v/>
      </c>
      <c r="S197">
        <f>IF(N197="","",IFERROR(1-ABS(N197-O197)/$B$11,0))</f>
        <v/>
      </c>
      <c r="T197">
        <f>IF(M197="","",IF($B$9&gt;$B$8,IFERROR((INDEX(GERAL[SNAP],184)-$B$8)/($B$9-$B$8),0),0))</f>
        <v/>
      </c>
      <c r="U197">
        <f>IF(OR(M197="",V197&lt;&gt;"ESQUERDO"),"",$L$2*IFERROR(N197/$B$11,0)+$L$3*IF($D$11&gt;0,IFERROR(R197/$D$11,0),0)+$L$4*IFERROR(S197,0)-$L$5*IFERROR(T197,0)-$L$6*MAX(0,IFERROR(Q197,0)-$L$7)+ROW()/1000000)</f>
        <v/>
      </c>
      <c r="V197">
        <f>IFERROR(INDEX(GERAL[LADO],184),"")</f>
        <v/>
      </c>
      <c r="X197">
        <f>IFERROR(INDEX(GERAL[PONTO],164),"")</f>
        <v/>
      </c>
      <c r="Y197">
        <f>IF(X197="","",IFERROR(INDEX(GERAL[ACUMULADA],164),0))</f>
        <v/>
      </c>
      <c r="Z197">
        <f>IF(Y197="","",$B$31-Y197)</f>
        <v/>
      </c>
      <c r="AA197">
        <f>IF(Y197="","",IF(Y197*1.15&lt;=30,30,IF(Y197*1.15&lt;=45,45,IF(Y197*1.15&lt;=75,75,IF(Y197*1.15&lt;=112.5,112.5,IF(Y197*1.15&lt;=150,150,IF(Y197*1.15&lt;=225,225,300)))))))</f>
        <v/>
      </c>
      <c r="AB197">
        <f>IF(AA197="","",IFERROR(Y197/AA197,0))</f>
        <v/>
      </c>
      <c r="AC197">
        <f>IF(X197="","",IFERROR(INDEX(DIR_ATUAL[QT %],MATCH(X197,DIR_ATUAL[PONTO],0)),0))</f>
        <v/>
      </c>
      <c r="AD197">
        <f>IF(Y197="","",IFERROR(1-ABS(Y197-Z197)/$B$31,0))</f>
        <v/>
      </c>
      <c r="AE197">
        <f>IF(X197="","",IF($E$9&gt;$E$8,IFERROR((INDEX(GERAL[SNAP],164)-$E$8)/($E$9-$E$8),0),0))</f>
        <v/>
      </c>
      <c r="AF197">
        <f>IF(OR(X197="",AG197&lt;&gt;"DIREITO"),"",$L$2*IFERROR(Y197/$B$31,0)+$L$3*IF($D$31&gt;0,IFERROR(AC197/$D$31,0),0)+$L$4*IFERROR(AD197,0)-$L$5*IFERROR(AE197,0)-$L$6*MAX(0,IFERROR(AB197,0)-$L$7)+ROW()/1000000)</f>
        <v/>
      </c>
      <c r="AG197">
        <f>IFERROR(INDEX(GERAL[LADO],164),"")</f>
        <v/>
      </c>
    </row>
    <row r="198">
      <c r="M198">
        <f>IFERROR(INDEX(GERAL[PONTO],185),"")</f>
        <v/>
      </c>
      <c r="N198">
        <f>IF(M198="","",IFERROR(INDEX(GERAL[ACUMULADA],185),0))</f>
        <v/>
      </c>
      <c r="O198">
        <f>IF(N198="","",$B$11-N198)</f>
        <v/>
      </c>
      <c r="P198">
        <f>IF(N198="","",IF(N198*1.15&lt;=30,30,IF(N198*1.15&lt;=45,45,IF(N198*1.15&lt;=75,75,IF(N198*1.15&lt;=112.5,112.5,IF(N198*1.15&lt;=150,150,IF(N198*1.15&lt;=225,225,300)))))))</f>
        <v/>
      </c>
      <c r="Q198">
        <f>IF(P198="","",IFERROR(N198/P198,0))</f>
        <v/>
      </c>
      <c r="R198">
        <f>IF(M198="","",IFERROR(INDEX(Tabela7[QT %],MATCH(M198,Tabela7[PONTO],0)),0))</f>
        <v/>
      </c>
      <c r="S198">
        <f>IF(N198="","",IFERROR(1-ABS(N198-O198)/$B$11,0))</f>
        <v/>
      </c>
      <c r="T198">
        <f>IF(M198="","",IF($B$9&gt;$B$8,IFERROR((INDEX(GERAL[SNAP],185)-$B$8)/($B$9-$B$8),0),0))</f>
        <v/>
      </c>
      <c r="U198">
        <f>IF(OR(M198="",V198&lt;&gt;"ESQUERDO"),"",$L$2*IFERROR(N198/$B$11,0)+$L$3*IF($D$11&gt;0,IFERROR(R198/$D$11,0),0)+$L$4*IFERROR(S198,0)-$L$5*IFERROR(T198,0)-$L$6*MAX(0,IFERROR(Q198,0)-$L$7)+ROW()/1000000)</f>
        <v/>
      </c>
      <c r="V198">
        <f>IFERROR(INDEX(GERAL[LADO],185),"")</f>
        <v/>
      </c>
      <c r="X198">
        <f>IFERROR(INDEX(GERAL[PONTO],165),"")</f>
        <v/>
      </c>
      <c r="Y198">
        <f>IF(X198="","",IFERROR(INDEX(GERAL[ACUMULADA],165),0))</f>
        <v/>
      </c>
      <c r="Z198">
        <f>IF(Y198="","",$B$31-Y198)</f>
        <v/>
      </c>
      <c r="AA198">
        <f>IF(Y198="","",IF(Y198*1.15&lt;=30,30,IF(Y198*1.15&lt;=45,45,IF(Y198*1.15&lt;=75,75,IF(Y198*1.15&lt;=112.5,112.5,IF(Y198*1.15&lt;=150,150,IF(Y198*1.15&lt;=225,225,300)))))))</f>
        <v/>
      </c>
      <c r="AB198">
        <f>IF(AA198="","",IFERROR(Y198/AA198,0))</f>
        <v/>
      </c>
      <c r="AC198">
        <f>IF(X198="","",IFERROR(INDEX(DIR_ATUAL[QT %],MATCH(X198,DIR_ATUAL[PONTO],0)),0))</f>
        <v/>
      </c>
      <c r="AD198">
        <f>IF(Y198="","",IFERROR(1-ABS(Y198-Z198)/$B$31,0))</f>
        <v/>
      </c>
      <c r="AE198">
        <f>IF(X198="","",IF($E$9&gt;$E$8,IFERROR((INDEX(GERAL[SNAP],165)-$E$8)/($E$9-$E$8),0),0))</f>
        <v/>
      </c>
      <c r="AF198">
        <f>IF(OR(X198="",AG198&lt;&gt;"DIREITO"),"",$L$2*IFERROR(Y198/$B$31,0)+$L$3*IF($D$31&gt;0,IFERROR(AC198/$D$31,0),0)+$L$4*IFERROR(AD198,0)-$L$5*IFERROR(AE198,0)-$L$6*MAX(0,IFERROR(AB198,0)-$L$7)+ROW()/1000000)</f>
        <v/>
      </c>
      <c r="AG198">
        <f>IFERROR(INDEX(GERAL[LADO],165),"")</f>
        <v/>
      </c>
    </row>
    <row r="199">
      <c r="M199">
        <f>IFERROR(INDEX(GERAL[PONTO],186),"")</f>
        <v/>
      </c>
      <c r="N199">
        <f>IF(M199="","",IFERROR(INDEX(GERAL[ACUMULADA],186),0))</f>
        <v/>
      </c>
      <c r="O199">
        <f>IF(N199="","",$B$11-N199)</f>
        <v/>
      </c>
      <c r="P199">
        <f>IF(N199="","",IF(N199*1.15&lt;=30,30,IF(N199*1.15&lt;=45,45,IF(N199*1.15&lt;=75,75,IF(N199*1.15&lt;=112.5,112.5,IF(N199*1.15&lt;=150,150,IF(N199*1.15&lt;=225,225,300)))))))</f>
        <v/>
      </c>
      <c r="Q199">
        <f>IF(P199="","",IFERROR(N199/P199,0))</f>
        <v/>
      </c>
      <c r="R199">
        <f>IF(M199="","",IFERROR(INDEX(Tabela7[QT %],MATCH(M199,Tabela7[PONTO],0)),0))</f>
        <v/>
      </c>
      <c r="S199">
        <f>IF(N199="","",IFERROR(1-ABS(N199-O199)/$B$11,0))</f>
        <v/>
      </c>
      <c r="T199">
        <f>IF(M199="","",IF($B$9&gt;$B$8,IFERROR((INDEX(GERAL[SNAP],186)-$B$8)/($B$9-$B$8),0),0))</f>
        <v/>
      </c>
      <c r="U199">
        <f>IF(OR(M199="",V199&lt;&gt;"ESQUERDO"),"",$L$2*IFERROR(N199/$B$11,0)+$L$3*IF($D$11&gt;0,IFERROR(R199/$D$11,0),0)+$L$4*IFERROR(S199,0)-$L$5*IFERROR(T199,0)-$L$6*MAX(0,IFERROR(Q199,0)-$L$7)+ROW()/1000000)</f>
        <v/>
      </c>
      <c r="V199">
        <f>IFERROR(INDEX(GERAL[LADO],186),"")</f>
        <v/>
      </c>
      <c r="X199">
        <f>IFERROR(INDEX(GERAL[PONTO],166),"")</f>
        <v/>
      </c>
      <c r="Y199">
        <f>IF(X199="","",IFERROR(INDEX(GERAL[ACUMULADA],166),0))</f>
        <v/>
      </c>
      <c r="Z199">
        <f>IF(Y199="","",$B$31-Y199)</f>
        <v/>
      </c>
      <c r="AA199">
        <f>IF(Y199="","",IF(Y199*1.15&lt;=30,30,IF(Y199*1.15&lt;=45,45,IF(Y199*1.15&lt;=75,75,IF(Y199*1.15&lt;=112.5,112.5,IF(Y199*1.15&lt;=150,150,IF(Y199*1.15&lt;=225,225,300)))))))</f>
        <v/>
      </c>
      <c r="AB199">
        <f>IF(AA199="","",IFERROR(Y199/AA199,0))</f>
        <v/>
      </c>
      <c r="AC199">
        <f>IF(X199="","",IFERROR(INDEX(DIR_ATUAL[QT %],MATCH(X199,DIR_ATUAL[PONTO],0)),0))</f>
        <v/>
      </c>
      <c r="AD199">
        <f>IF(Y199="","",IFERROR(1-ABS(Y199-Z199)/$B$31,0))</f>
        <v/>
      </c>
      <c r="AE199">
        <f>IF(X199="","",IF($E$9&gt;$E$8,IFERROR((INDEX(GERAL[SNAP],166)-$E$8)/($E$9-$E$8),0),0))</f>
        <v/>
      </c>
      <c r="AF199">
        <f>IF(OR(X199="",AG199&lt;&gt;"DIREITO"),"",$L$2*IFERROR(Y199/$B$31,0)+$L$3*IF($D$31&gt;0,IFERROR(AC199/$D$31,0),0)+$L$4*IFERROR(AD199,0)-$L$5*IFERROR(AE199,0)-$L$6*MAX(0,IFERROR(AB199,0)-$L$7)+ROW()/1000000)</f>
        <v/>
      </c>
      <c r="AG199">
        <f>IFERROR(INDEX(GERAL[LADO],166),"")</f>
        <v/>
      </c>
    </row>
    <row r="200">
      <c r="M200">
        <f>IFERROR(INDEX(GERAL[PONTO],187),"")</f>
        <v/>
      </c>
      <c r="N200">
        <f>IF(M200="","",IFERROR(INDEX(GERAL[ACUMULADA],187),0))</f>
        <v/>
      </c>
      <c r="O200">
        <f>IF(N200="","",$B$11-N200)</f>
        <v/>
      </c>
      <c r="P200">
        <f>IF(N200="","",IF(N200*1.15&lt;=30,30,IF(N200*1.15&lt;=45,45,IF(N200*1.15&lt;=75,75,IF(N200*1.15&lt;=112.5,112.5,IF(N200*1.15&lt;=150,150,IF(N200*1.15&lt;=225,225,300)))))))</f>
        <v/>
      </c>
      <c r="Q200">
        <f>IF(P200="","",IFERROR(N200/P200,0))</f>
        <v/>
      </c>
      <c r="R200">
        <f>IF(M200="","",IFERROR(INDEX(Tabela7[QT %],MATCH(M200,Tabela7[PONTO],0)),0))</f>
        <v/>
      </c>
      <c r="S200">
        <f>IF(N200="","",IFERROR(1-ABS(N200-O200)/$B$11,0))</f>
        <v/>
      </c>
      <c r="T200">
        <f>IF(M200="","",IF($B$9&gt;$B$8,IFERROR((INDEX(GERAL[SNAP],187)-$B$8)/($B$9-$B$8),0),0))</f>
        <v/>
      </c>
      <c r="U200">
        <f>IF(OR(M200="",V200&lt;&gt;"ESQUERDO"),"",$L$2*IFERROR(N200/$B$11,0)+$L$3*IF($D$11&gt;0,IFERROR(R200/$D$11,0),0)+$L$4*IFERROR(S200,0)-$L$5*IFERROR(T200,0)-$L$6*MAX(0,IFERROR(Q200,0)-$L$7)+ROW()/1000000)</f>
        <v/>
      </c>
      <c r="V200">
        <f>IFERROR(INDEX(GERAL[LADO],187),"")</f>
        <v/>
      </c>
      <c r="X200">
        <f>IFERROR(INDEX(GERAL[PONTO],167),"")</f>
        <v/>
      </c>
      <c r="Y200">
        <f>IF(X200="","",IFERROR(INDEX(GERAL[ACUMULADA],167),0))</f>
        <v/>
      </c>
      <c r="Z200">
        <f>IF(Y200="","",$B$31-Y200)</f>
        <v/>
      </c>
      <c r="AA200">
        <f>IF(Y200="","",IF(Y200*1.15&lt;=30,30,IF(Y200*1.15&lt;=45,45,IF(Y200*1.15&lt;=75,75,IF(Y200*1.15&lt;=112.5,112.5,IF(Y200*1.15&lt;=150,150,IF(Y200*1.15&lt;=225,225,300)))))))</f>
        <v/>
      </c>
      <c r="AB200">
        <f>IF(AA200="","",IFERROR(Y200/AA200,0))</f>
        <v/>
      </c>
      <c r="AC200">
        <f>IF(X200="","",IFERROR(INDEX(DIR_ATUAL[QT %],MATCH(X200,DIR_ATUAL[PONTO],0)),0))</f>
        <v/>
      </c>
      <c r="AD200">
        <f>IF(Y200="","",IFERROR(1-ABS(Y200-Z200)/$B$31,0))</f>
        <v/>
      </c>
      <c r="AE200">
        <f>IF(X200="","",IF($E$9&gt;$E$8,IFERROR((INDEX(GERAL[SNAP],167)-$E$8)/($E$9-$E$8),0),0))</f>
        <v/>
      </c>
      <c r="AF200">
        <f>IF(OR(X200="",AG200&lt;&gt;"DIREITO"),"",$L$2*IFERROR(Y200/$B$31,0)+$L$3*IF($D$31&gt;0,IFERROR(AC200/$D$31,0),0)+$L$4*IFERROR(AD200,0)-$L$5*IFERROR(AE200,0)-$L$6*MAX(0,IFERROR(AB200,0)-$L$7)+ROW()/1000000)</f>
        <v/>
      </c>
      <c r="AG200">
        <f>IFERROR(INDEX(GERAL[LADO],167),"")</f>
        <v/>
      </c>
    </row>
    <row r="201">
      <c r="X201">
        <f>IFERROR(INDEX(GERAL[PONTO],168),"")</f>
        <v/>
      </c>
      <c r="Y201">
        <f>IF(X201="","",IFERROR(INDEX(GERAL[ACUMULADA],168),0))</f>
        <v/>
      </c>
      <c r="Z201">
        <f>IF(Y201="","",$B$31-Y201)</f>
        <v/>
      </c>
      <c r="AA201">
        <f>IF(Y201="","",IF(Y201*1.15&lt;=30,30,IF(Y201*1.15&lt;=45,45,IF(Y201*1.15&lt;=75,75,IF(Y201*1.15&lt;=112.5,112.5,IF(Y201*1.15&lt;=150,150,IF(Y201*1.15&lt;=225,225,300)))))))</f>
        <v/>
      </c>
      <c r="AB201">
        <f>IF(AA201="","",IFERROR(Y201/AA201,0))</f>
        <v/>
      </c>
      <c r="AC201">
        <f>IF(X201="","",IFERROR(INDEX(DIR_ATUAL[QT %],MATCH(X201,DIR_ATUAL[PONTO],0)),0))</f>
        <v/>
      </c>
      <c r="AD201">
        <f>IF(Y201="","",IFERROR(1-ABS(Y201-Z201)/$B$31,0))</f>
        <v/>
      </c>
      <c r="AE201">
        <f>IF(X201="","",IF($E$9&gt;$E$8,IFERROR((INDEX(GERAL[SNAP],168)-$E$8)/($E$9-$E$8),0),0))</f>
        <v/>
      </c>
      <c r="AF201">
        <f>IF(OR(X201="",AG201&lt;&gt;"DIREITO"),"",$L$2*IFERROR(Y201/$B$31,0)+$L$3*IF($D$31&gt;0,IFERROR(AC201/$D$31,0),0)+$L$4*IFERROR(AD201,0)-$L$5*IFERROR(AE201,0)-$L$6*MAX(0,IFERROR(AB201,0)-$L$7)+ROW()/1000000)</f>
        <v/>
      </c>
      <c r="AG201">
        <f>IFERROR(INDEX(GERAL[LADO],168),"")</f>
        <v/>
      </c>
    </row>
    <row r="202">
      <c r="X202">
        <f>IFERROR(INDEX(GERAL[PONTO],169),"")</f>
        <v/>
      </c>
      <c r="Y202">
        <f>IF(X202="","",IFERROR(INDEX(GERAL[ACUMULADA],169),0))</f>
        <v/>
      </c>
      <c r="Z202">
        <f>IF(Y202="","",$B$31-Y202)</f>
        <v/>
      </c>
      <c r="AA202">
        <f>IF(Y202="","",IF(Y202*1.15&lt;=30,30,IF(Y202*1.15&lt;=45,45,IF(Y202*1.15&lt;=75,75,IF(Y202*1.15&lt;=112.5,112.5,IF(Y202*1.15&lt;=150,150,IF(Y202*1.15&lt;=225,225,300)))))))</f>
        <v/>
      </c>
      <c r="AB202">
        <f>IF(AA202="","",IFERROR(Y202/AA202,0))</f>
        <v/>
      </c>
      <c r="AC202">
        <f>IF(X202="","",IFERROR(INDEX(DIR_ATUAL[QT %],MATCH(X202,DIR_ATUAL[PONTO],0)),0))</f>
        <v/>
      </c>
      <c r="AD202">
        <f>IF(Y202="","",IFERROR(1-ABS(Y202-Z202)/$B$31,0))</f>
        <v/>
      </c>
      <c r="AE202">
        <f>IF(X202="","",IF($E$9&gt;$E$8,IFERROR((INDEX(GERAL[SNAP],169)-$E$8)/($E$9-$E$8),0),0))</f>
        <v/>
      </c>
      <c r="AF202">
        <f>IF(OR(X202="",AG202&lt;&gt;"DIREITO"),"",$L$2*IFERROR(Y202/$B$31,0)+$L$3*IF($D$31&gt;0,IFERROR(AC202/$D$31,0),0)+$L$4*IFERROR(AD202,0)-$L$5*IFERROR(AE202,0)-$L$6*MAX(0,IFERROR(AB202,0)-$L$7)+ROW()/1000000)</f>
        <v/>
      </c>
      <c r="AG202">
        <f>IFERROR(INDEX(GERAL[LADO],169),"")</f>
        <v/>
      </c>
    </row>
    <row r="203">
      <c r="X203">
        <f>IFERROR(INDEX(GERAL[PONTO],170),"")</f>
        <v/>
      </c>
      <c r="Y203">
        <f>IF(X203="","",IFERROR(INDEX(GERAL[ACUMULADA],170),0))</f>
        <v/>
      </c>
      <c r="Z203">
        <f>IF(Y203="","",$B$31-Y203)</f>
        <v/>
      </c>
      <c r="AA203">
        <f>IF(Y203="","",IF(Y203*1.15&lt;=30,30,IF(Y203*1.15&lt;=45,45,IF(Y203*1.15&lt;=75,75,IF(Y203*1.15&lt;=112.5,112.5,IF(Y203*1.15&lt;=150,150,IF(Y203*1.15&lt;=225,225,300)))))))</f>
        <v/>
      </c>
      <c r="AB203">
        <f>IF(AA203="","",IFERROR(Y203/AA203,0))</f>
        <v/>
      </c>
      <c r="AC203">
        <f>IF(X203="","",IFERROR(INDEX(DIR_ATUAL[QT %],MATCH(X203,DIR_ATUAL[PONTO],0)),0))</f>
        <v/>
      </c>
      <c r="AD203">
        <f>IF(Y203="","",IFERROR(1-ABS(Y203-Z203)/$B$31,0))</f>
        <v/>
      </c>
      <c r="AE203">
        <f>IF(X203="","",IF($E$9&gt;$E$8,IFERROR((INDEX(GERAL[SNAP],170)-$E$8)/($E$9-$E$8),0),0))</f>
        <v/>
      </c>
      <c r="AF203">
        <f>IF(OR(X203="",AG203&lt;&gt;"DIREITO"),"",$L$2*IFERROR(Y203/$B$31,0)+$L$3*IF($D$31&gt;0,IFERROR(AC203/$D$31,0),0)+$L$4*IFERROR(AD203,0)-$L$5*IFERROR(AE203,0)-$L$6*MAX(0,IFERROR(AB203,0)-$L$7)+ROW()/1000000)</f>
        <v/>
      </c>
      <c r="AG203">
        <f>IFERROR(INDEX(GERAL[LADO],170),"")</f>
        <v/>
      </c>
    </row>
    <row r="204">
      <c r="X204">
        <f>IFERROR(INDEX(GERAL[PONTO],171),"")</f>
        <v/>
      </c>
      <c r="Y204">
        <f>IF(X204="","",IFERROR(INDEX(GERAL[ACUMULADA],171),0))</f>
        <v/>
      </c>
      <c r="Z204">
        <f>IF(Y204="","",$B$31-Y204)</f>
        <v/>
      </c>
      <c r="AA204">
        <f>IF(Y204="","",IF(Y204*1.15&lt;=30,30,IF(Y204*1.15&lt;=45,45,IF(Y204*1.15&lt;=75,75,IF(Y204*1.15&lt;=112.5,112.5,IF(Y204*1.15&lt;=150,150,IF(Y204*1.15&lt;=225,225,300)))))))</f>
        <v/>
      </c>
      <c r="AB204">
        <f>IF(AA204="","",IFERROR(Y204/AA204,0))</f>
        <v/>
      </c>
      <c r="AC204">
        <f>IF(X204="","",IFERROR(INDEX(DIR_ATUAL[QT %],MATCH(X204,DIR_ATUAL[PONTO],0)),0))</f>
        <v/>
      </c>
      <c r="AD204">
        <f>IF(Y204="","",IFERROR(1-ABS(Y204-Z204)/$B$31,0))</f>
        <v/>
      </c>
      <c r="AE204">
        <f>IF(X204="","",IF($E$9&gt;$E$8,IFERROR((INDEX(GERAL[SNAP],171)-$E$8)/($E$9-$E$8),0),0))</f>
        <v/>
      </c>
      <c r="AF204">
        <f>IF(OR(X204="",AG204&lt;&gt;"DIREITO"),"",$L$2*IFERROR(Y204/$B$31,0)+$L$3*IF($D$31&gt;0,IFERROR(AC204/$D$31,0),0)+$L$4*IFERROR(AD204,0)-$L$5*IFERROR(AE204,0)-$L$6*MAX(0,IFERROR(AB204,0)-$L$7)+ROW()/1000000)</f>
        <v/>
      </c>
      <c r="AG204">
        <f>IFERROR(INDEX(GERAL[LADO],171),"")</f>
        <v/>
      </c>
    </row>
    <row r="205">
      <c r="X205">
        <f>IFERROR(INDEX(GERAL[PONTO],172),"")</f>
        <v/>
      </c>
      <c r="Y205">
        <f>IF(X205="","",IFERROR(INDEX(GERAL[ACUMULADA],172),0))</f>
        <v/>
      </c>
      <c r="Z205">
        <f>IF(Y205="","",$B$31-Y205)</f>
        <v/>
      </c>
      <c r="AA205">
        <f>IF(Y205="","",IF(Y205*1.15&lt;=30,30,IF(Y205*1.15&lt;=45,45,IF(Y205*1.15&lt;=75,75,IF(Y205*1.15&lt;=112.5,112.5,IF(Y205*1.15&lt;=150,150,IF(Y205*1.15&lt;=225,225,300)))))))</f>
        <v/>
      </c>
      <c r="AB205">
        <f>IF(AA205="","",IFERROR(Y205/AA205,0))</f>
        <v/>
      </c>
      <c r="AC205">
        <f>IF(X205="","",IFERROR(INDEX(DIR_ATUAL[QT %],MATCH(X205,DIR_ATUAL[PONTO],0)),0))</f>
        <v/>
      </c>
      <c r="AD205">
        <f>IF(Y205="","",IFERROR(1-ABS(Y205-Z205)/$B$31,0))</f>
        <v/>
      </c>
      <c r="AE205">
        <f>IF(X205="","",IF($E$9&gt;$E$8,IFERROR((INDEX(GERAL[SNAP],172)-$E$8)/($E$9-$E$8),0),0))</f>
        <v/>
      </c>
      <c r="AF205">
        <f>IF(OR(X205="",AG205&lt;&gt;"DIREITO"),"",$L$2*IFERROR(Y205/$B$31,0)+$L$3*IF($D$31&gt;0,IFERROR(AC205/$D$31,0),0)+$L$4*IFERROR(AD205,0)-$L$5*IFERROR(AE205,0)-$L$6*MAX(0,IFERROR(AB205,0)-$L$7)+ROW()/1000000)</f>
        <v/>
      </c>
      <c r="AG205">
        <f>IFERROR(INDEX(GERAL[LADO],172),"")</f>
        <v/>
      </c>
    </row>
    <row r="206">
      <c r="X206">
        <f>IFERROR(INDEX(GERAL[PONTO],173),"")</f>
        <v/>
      </c>
      <c r="Y206">
        <f>IF(X206="","",IFERROR(INDEX(GERAL[ACUMULADA],173),0))</f>
        <v/>
      </c>
      <c r="Z206">
        <f>IF(Y206="","",$B$31-Y206)</f>
        <v/>
      </c>
      <c r="AA206">
        <f>IF(Y206="","",IF(Y206*1.15&lt;=30,30,IF(Y206*1.15&lt;=45,45,IF(Y206*1.15&lt;=75,75,IF(Y206*1.15&lt;=112.5,112.5,IF(Y206*1.15&lt;=150,150,IF(Y206*1.15&lt;=225,225,300)))))))</f>
        <v/>
      </c>
      <c r="AB206">
        <f>IF(AA206="","",IFERROR(Y206/AA206,0))</f>
        <v/>
      </c>
      <c r="AC206">
        <f>IF(X206="","",IFERROR(INDEX(DIR_ATUAL[QT %],MATCH(X206,DIR_ATUAL[PONTO],0)),0))</f>
        <v/>
      </c>
      <c r="AD206">
        <f>IF(Y206="","",IFERROR(1-ABS(Y206-Z206)/$B$31,0))</f>
        <v/>
      </c>
      <c r="AE206">
        <f>IF(X206="","",IF($E$9&gt;$E$8,IFERROR((INDEX(GERAL[SNAP],173)-$E$8)/($E$9-$E$8),0),0))</f>
        <v/>
      </c>
      <c r="AF206">
        <f>IF(OR(X206="",AG206&lt;&gt;"DIREITO"),"",$L$2*IFERROR(Y206/$B$31,0)+$L$3*IF($D$31&gt;0,IFERROR(AC206/$D$31,0),0)+$L$4*IFERROR(AD206,0)-$L$5*IFERROR(AE206,0)-$L$6*MAX(0,IFERROR(AB206,0)-$L$7)+ROW()/1000000)</f>
        <v/>
      </c>
      <c r="AG206">
        <f>IFERROR(INDEX(GERAL[LADO],173),"")</f>
        <v/>
      </c>
    </row>
    <row r="207">
      <c r="X207">
        <f>IFERROR(INDEX(GERAL[PONTO],174),"")</f>
        <v/>
      </c>
      <c r="Y207">
        <f>IF(X207="","",IFERROR(INDEX(GERAL[ACUMULADA],174),0))</f>
        <v/>
      </c>
      <c r="Z207">
        <f>IF(Y207="","",$B$31-Y207)</f>
        <v/>
      </c>
      <c r="AA207">
        <f>IF(Y207="","",IF(Y207*1.15&lt;=30,30,IF(Y207*1.15&lt;=45,45,IF(Y207*1.15&lt;=75,75,IF(Y207*1.15&lt;=112.5,112.5,IF(Y207*1.15&lt;=150,150,IF(Y207*1.15&lt;=225,225,300)))))))</f>
        <v/>
      </c>
      <c r="AB207">
        <f>IF(AA207="","",IFERROR(Y207/AA207,0))</f>
        <v/>
      </c>
      <c r="AC207">
        <f>IF(X207="","",IFERROR(INDEX(DIR_ATUAL[QT %],MATCH(X207,DIR_ATUAL[PONTO],0)),0))</f>
        <v/>
      </c>
      <c r="AD207">
        <f>IF(Y207="","",IFERROR(1-ABS(Y207-Z207)/$B$31,0))</f>
        <v/>
      </c>
      <c r="AE207">
        <f>IF(X207="","",IF($E$9&gt;$E$8,IFERROR((INDEX(GERAL[SNAP],174)-$E$8)/($E$9-$E$8),0),0))</f>
        <v/>
      </c>
      <c r="AF207">
        <f>IF(OR(X207="",AG207&lt;&gt;"DIREITO"),"",$L$2*IFERROR(Y207/$B$31,0)+$L$3*IF($D$31&gt;0,IFERROR(AC207/$D$31,0),0)+$L$4*IFERROR(AD207,0)-$L$5*IFERROR(AE207,0)-$L$6*MAX(0,IFERROR(AB207,0)-$L$7)+ROW()/1000000)</f>
        <v/>
      </c>
      <c r="AG207">
        <f>IFERROR(INDEX(GERAL[LADO],174),"")</f>
        <v/>
      </c>
    </row>
    <row r="208">
      <c r="X208">
        <f>IFERROR(INDEX(GERAL[PONTO],175),"")</f>
        <v/>
      </c>
      <c r="Y208">
        <f>IF(X208="","",IFERROR(INDEX(GERAL[ACUMULADA],175),0))</f>
        <v/>
      </c>
      <c r="Z208">
        <f>IF(Y208="","",$B$31-Y208)</f>
        <v/>
      </c>
      <c r="AA208">
        <f>IF(Y208="","",IF(Y208*1.15&lt;=30,30,IF(Y208*1.15&lt;=45,45,IF(Y208*1.15&lt;=75,75,IF(Y208*1.15&lt;=112.5,112.5,IF(Y208*1.15&lt;=150,150,IF(Y208*1.15&lt;=225,225,300)))))))</f>
        <v/>
      </c>
      <c r="AB208">
        <f>IF(AA208="","",IFERROR(Y208/AA208,0))</f>
        <v/>
      </c>
      <c r="AC208">
        <f>IF(X208="","",IFERROR(INDEX(DIR_ATUAL[QT %],MATCH(X208,DIR_ATUAL[PONTO],0)),0))</f>
        <v/>
      </c>
      <c r="AD208">
        <f>IF(Y208="","",IFERROR(1-ABS(Y208-Z208)/$B$31,0))</f>
        <v/>
      </c>
      <c r="AE208">
        <f>IF(X208="","",IF($E$9&gt;$E$8,IFERROR((INDEX(GERAL[SNAP],175)-$E$8)/($E$9-$E$8),0),0))</f>
        <v/>
      </c>
      <c r="AF208">
        <f>IF(OR(X208="",AG208&lt;&gt;"DIREITO"),"",$L$2*IFERROR(Y208/$B$31,0)+$L$3*IF($D$31&gt;0,IFERROR(AC208/$D$31,0),0)+$L$4*IFERROR(AD208,0)-$L$5*IFERROR(AE208,0)-$L$6*MAX(0,IFERROR(AB208,0)-$L$7)+ROW()/1000000)</f>
        <v/>
      </c>
      <c r="AG208">
        <f>IFERROR(INDEX(GERAL[LADO],175),"")</f>
        <v/>
      </c>
    </row>
    <row r="209">
      <c r="X209">
        <f>IFERROR(INDEX(GERAL[PONTO],176),"")</f>
        <v/>
      </c>
      <c r="Y209">
        <f>IF(X209="","",IFERROR(INDEX(GERAL[ACUMULADA],176),0))</f>
        <v/>
      </c>
      <c r="Z209">
        <f>IF(Y209="","",$B$31-Y209)</f>
        <v/>
      </c>
      <c r="AA209">
        <f>IF(Y209="","",IF(Y209*1.15&lt;=30,30,IF(Y209*1.15&lt;=45,45,IF(Y209*1.15&lt;=75,75,IF(Y209*1.15&lt;=112.5,112.5,IF(Y209*1.15&lt;=150,150,IF(Y209*1.15&lt;=225,225,300)))))))</f>
        <v/>
      </c>
      <c r="AB209">
        <f>IF(AA209="","",IFERROR(Y209/AA209,0))</f>
        <v/>
      </c>
      <c r="AC209">
        <f>IF(X209="","",IFERROR(INDEX(DIR_ATUAL[QT %],MATCH(X209,DIR_ATUAL[PONTO],0)),0))</f>
        <v/>
      </c>
      <c r="AD209">
        <f>IF(Y209="","",IFERROR(1-ABS(Y209-Z209)/$B$31,0))</f>
        <v/>
      </c>
      <c r="AE209">
        <f>IF(X209="","",IF($E$9&gt;$E$8,IFERROR((INDEX(GERAL[SNAP],176)-$E$8)/($E$9-$E$8),0),0))</f>
        <v/>
      </c>
      <c r="AF209">
        <f>IF(OR(X209="",AG209&lt;&gt;"DIREITO"),"",$L$2*IFERROR(Y209/$B$31,0)+$L$3*IF($D$31&gt;0,IFERROR(AC209/$D$31,0),0)+$L$4*IFERROR(AD209,0)-$L$5*IFERROR(AE209,0)-$L$6*MAX(0,IFERROR(AB209,0)-$L$7)+ROW()/1000000)</f>
        <v/>
      </c>
      <c r="AG209">
        <f>IFERROR(INDEX(GERAL[LADO],176),"")</f>
        <v/>
      </c>
    </row>
    <row r="210">
      <c r="X210">
        <f>IFERROR(INDEX(GERAL[PONTO],177),"")</f>
        <v/>
      </c>
      <c r="Y210">
        <f>IF(X210="","",IFERROR(INDEX(GERAL[ACUMULADA],177),0))</f>
        <v/>
      </c>
      <c r="Z210">
        <f>IF(Y210="","",$B$31-Y210)</f>
        <v/>
      </c>
      <c r="AA210">
        <f>IF(Y210="","",IF(Y210*1.15&lt;=30,30,IF(Y210*1.15&lt;=45,45,IF(Y210*1.15&lt;=75,75,IF(Y210*1.15&lt;=112.5,112.5,IF(Y210*1.15&lt;=150,150,IF(Y210*1.15&lt;=225,225,300)))))))</f>
        <v/>
      </c>
      <c r="AB210">
        <f>IF(AA210="","",IFERROR(Y210/AA210,0))</f>
        <v/>
      </c>
      <c r="AC210">
        <f>IF(X210="","",IFERROR(INDEX(DIR_ATUAL[QT %],MATCH(X210,DIR_ATUAL[PONTO],0)),0))</f>
        <v/>
      </c>
      <c r="AD210">
        <f>IF(Y210="","",IFERROR(1-ABS(Y210-Z210)/$B$31,0))</f>
        <v/>
      </c>
      <c r="AE210">
        <f>IF(X210="","",IF($E$9&gt;$E$8,IFERROR((INDEX(GERAL[SNAP],177)-$E$8)/($E$9-$E$8),0),0))</f>
        <v/>
      </c>
      <c r="AF210">
        <f>IF(OR(X210="",AG210&lt;&gt;"DIREITO"),"",$L$2*IFERROR(Y210/$B$31,0)+$L$3*IF($D$31&gt;0,IFERROR(AC210/$D$31,0),0)+$L$4*IFERROR(AD210,0)-$L$5*IFERROR(AE210,0)-$L$6*MAX(0,IFERROR(AB210,0)-$L$7)+ROW()/1000000)</f>
        <v/>
      </c>
      <c r="AG210">
        <f>IFERROR(INDEX(GERAL[LADO],177),"")</f>
        <v/>
      </c>
    </row>
    <row r="211">
      <c r="X211">
        <f>IFERROR(INDEX(GERAL[PONTO],178),"")</f>
        <v/>
      </c>
      <c r="Y211">
        <f>IF(X211="","",IFERROR(INDEX(GERAL[ACUMULADA],178),0))</f>
        <v/>
      </c>
      <c r="Z211">
        <f>IF(Y211="","",$B$31-Y211)</f>
        <v/>
      </c>
      <c r="AA211">
        <f>IF(Y211="","",IF(Y211*1.15&lt;=30,30,IF(Y211*1.15&lt;=45,45,IF(Y211*1.15&lt;=75,75,IF(Y211*1.15&lt;=112.5,112.5,IF(Y211*1.15&lt;=150,150,IF(Y211*1.15&lt;=225,225,300)))))))</f>
        <v/>
      </c>
      <c r="AB211">
        <f>IF(AA211="","",IFERROR(Y211/AA211,0))</f>
        <v/>
      </c>
      <c r="AC211">
        <f>IF(X211="","",IFERROR(INDEX(DIR_ATUAL[QT %],MATCH(X211,DIR_ATUAL[PONTO],0)),0))</f>
        <v/>
      </c>
      <c r="AD211">
        <f>IF(Y211="","",IFERROR(1-ABS(Y211-Z211)/$B$31,0))</f>
        <v/>
      </c>
      <c r="AE211">
        <f>IF(X211="","",IF($E$9&gt;$E$8,IFERROR((INDEX(GERAL[SNAP],178)-$E$8)/($E$9-$E$8),0),0))</f>
        <v/>
      </c>
      <c r="AF211">
        <f>IF(OR(X211="",AG211&lt;&gt;"DIREITO"),"",$L$2*IFERROR(Y211/$B$31,0)+$L$3*IF($D$31&gt;0,IFERROR(AC211/$D$31,0),0)+$L$4*IFERROR(AD211,0)-$L$5*IFERROR(AE211,0)-$L$6*MAX(0,IFERROR(AB211,0)-$L$7)+ROW()/1000000)</f>
        <v/>
      </c>
      <c r="AG211">
        <f>IFERROR(INDEX(GERAL[LADO],178),"")</f>
        <v/>
      </c>
    </row>
    <row r="212">
      <c r="X212">
        <f>IFERROR(INDEX(GERAL[PONTO],179),"")</f>
        <v/>
      </c>
      <c r="Y212">
        <f>IF(X212="","",IFERROR(INDEX(GERAL[ACUMULADA],179),0))</f>
        <v/>
      </c>
      <c r="Z212">
        <f>IF(Y212="","",$B$31-Y212)</f>
        <v/>
      </c>
      <c r="AA212">
        <f>IF(Y212="","",IF(Y212*1.15&lt;=30,30,IF(Y212*1.15&lt;=45,45,IF(Y212*1.15&lt;=75,75,IF(Y212*1.15&lt;=112.5,112.5,IF(Y212*1.15&lt;=150,150,IF(Y212*1.15&lt;=225,225,300)))))))</f>
        <v/>
      </c>
      <c r="AB212">
        <f>IF(AA212="","",IFERROR(Y212/AA212,0))</f>
        <v/>
      </c>
      <c r="AC212">
        <f>IF(X212="","",IFERROR(INDEX(DIR_ATUAL[QT %],MATCH(X212,DIR_ATUAL[PONTO],0)),0))</f>
        <v/>
      </c>
      <c r="AD212">
        <f>IF(Y212="","",IFERROR(1-ABS(Y212-Z212)/$B$31,0))</f>
        <v/>
      </c>
      <c r="AE212">
        <f>IF(X212="","",IF($E$9&gt;$E$8,IFERROR((INDEX(GERAL[SNAP],179)-$E$8)/($E$9-$E$8),0),0))</f>
        <v/>
      </c>
      <c r="AF212">
        <f>IF(OR(X212="",AG212&lt;&gt;"DIREITO"),"",$L$2*IFERROR(Y212/$B$31,0)+$L$3*IF($D$31&gt;0,IFERROR(AC212/$D$31,0),0)+$L$4*IFERROR(AD212,0)-$L$5*IFERROR(AE212,0)-$L$6*MAX(0,IFERROR(AB212,0)-$L$7)+ROW()/1000000)</f>
        <v/>
      </c>
      <c r="AG212">
        <f>IFERROR(INDEX(GERAL[LADO],179),"")</f>
        <v/>
      </c>
    </row>
    <row r="213">
      <c r="X213">
        <f>IFERROR(INDEX(GERAL[PONTO],180),"")</f>
        <v/>
      </c>
      <c r="Y213">
        <f>IF(X213="","",IFERROR(INDEX(GERAL[ACUMULADA],180),0))</f>
        <v/>
      </c>
      <c r="Z213">
        <f>IF(Y213="","",$B$31-Y213)</f>
        <v/>
      </c>
      <c r="AA213">
        <f>IF(Y213="","",IF(Y213*1.15&lt;=30,30,IF(Y213*1.15&lt;=45,45,IF(Y213*1.15&lt;=75,75,IF(Y213*1.15&lt;=112.5,112.5,IF(Y213*1.15&lt;=150,150,IF(Y213*1.15&lt;=225,225,300)))))))</f>
        <v/>
      </c>
      <c r="AB213">
        <f>IF(AA213="","",IFERROR(Y213/AA213,0))</f>
        <v/>
      </c>
      <c r="AC213">
        <f>IF(X213="","",IFERROR(INDEX(DIR_ATUAL[QT %],MATCH(X213,DIR_ATUAL[PONTO],0)),0))</f>
        <v/>
      </c>
      <c r="AD213">
        <f>IF(Y213="","",IFERROR(1-ABS(Y213-Z213)/$B$31,0))</f>
        <v/>
      </c>
      <c r="AE213">
        <f>IF(X213="","",IF($E$9&gt;$E$8,IFERROR((INDEX(GERAL[SNAP],180)-$E$8)/($E$9-$E$8),0),0))</f>
        <v/>
      </c>
      <c r="AF213">
        <f>IF(OR(X213="",AG213&lt;&gt;"DIREITO"),"",$L$2*IFERROR(Y213/$B$31,0)+$L$3*IF($D$31&gt;0,IFERROR(AC213/$D$31,0),0)+$L$4*IFERROR(AD213,0)-$L$5*IFERROR(AE213,0)-$L$6*MAX(0,IFERROR(AB213,0)-$L$7)+ROW()/1000000)</f>
        <v/>
      </c>
      <c r="AG213">
        <f>IFERROR(INDEX(GERAL[LADO],180),"")</f>
        <v/>
      </c>
    </row>
    <row r="214">
      <c r="X214">
        <f>IFERROR(INDEX(GERAL[PONTO],181),"")</f>
        <v/>
      </c>
      <c r="Y214">
        <f>IF(X214="","",IFERROR(INDEX(GERAL[ACUMULADA],181),0))</f>
        <v/>
      </c>
      <c r="Z214">
        <f>IF(Y214="","",$B$31-Y214)</f>
        <v/>
      </c>
      <c r="AA214">
        <f>IF(Y214="","",IF(Y214*1.15&lt;=30,30,IF(Y214*1.15&lt;=45,45,IF(Y214*1.15&lt;=75,75,IF(Y214*1.15&lt;=112.5,112.5,IF(Y214*1.15&lt;=150,150,IF(Y214*1.15&lt;=225,225,300)))))))</f>
        <v/>
      </c>
      <c r="AB214">
        <f>IF(AA214="","",IFERROR(Y214/AA214,0))</f>
        <v/>
      </c>
      <c r="AC214">
        <f>IF(X214="","",IFERROR(INDEX(DIR_ATUAL[QT %],MATCH(X214,DIR_ATUAL[PONTO],0)),0))</f>
        <v/>
      </c>
      <c r="AD214">
        <f>IF(Y214="","",IFERROR(1-ABS(Y214-Z214)/$B$31,0))</f>
        <v/>
      </c>
      <c r="AE214">
        <f>IF(X214="","",IF($E$9&gt;$E$8,IFERROR((INDEX(GERAL[SNAP],181)-$E$8)/($E$9-$E$8),0),0))</f>
        <v/>
      </c>
      <c r="AF214">
        <f>IF(OR(X214="",AG214&lt;&gt;"DIREITO"),"",$L$2*IFERROR(Y214/$B$31,0)+$L$3*IF($D$31&gt;0,IFERROR(AC214/$D$31,0),0)+$L$4*IFERROR(AD214,0)-$L$5*IFERROR(AE214,0)-$L$6*MAX(0,IFERROR(AB214,0)-$L$7)+ROW()/1000000)</f>
        <v/>
      </c>
      <c r="AG214">
        <f>IFERROR(INDEX(GERAL[LADO],181),"")</f>
        <v/>
      </c>
    </row>
    <row r="215">
      <c r="X215">
        <f>IFERROR(INDEX(GERAL[PONTO],182),"")</f>
        <v/>
      </c>
      <c r="Y215">
        <f>IF(X215="","",IFERROR(INDEX(GERAL[ACUMULADA],182),0))</f>
        <v/>
      </c>
      <c r="Z215">
        <f>IF(Y215="","",$B$31-Y215)</f>
        <v/>
      </c>
      <c r="AA215">
        <f>IF(Y215="","",IF(Y215*1.15&lt;=30,30,IF(Y215*1.15&lt;=45,45,IF(Y215*1.15&lt;=75,75,IF(Y215*1.15&lt;=112.5,112.5,IF(Y215*1.15&lt;=150,150,IF(Y215*1.15&lt;=225,225,300)))))))</f>
        <v/>
      </c>
      <c r="AB215">
        <f>IF(AA215="","",IFERROR(Y215/AA215,0))</f>
        <v/>
      </c>
      <c r="AC215">
        <f>IF(X215="","",IFERROR(INDEX(DIR_ATUAL[QT %],MATCH(X215,DIR_ATUAL[PONTO],0)),0))</f>
        <v/>
      </c>
      <c r="AD215">
        <f>IF(Y215="","",IFERROR(1-ABS(Y215-Z215)/$B$31,0))</f>
        <v/>
      </c>
      <c r="AE215">
        <f>IF(X215="","",IF($E$9&gt;$E$8,IFERROR((INDEX(GERAL[SNAP],182)-$E$8)/($E$9-$E$8),0),0))</f>
        <v/>
      </c>
      <c r="AF215">
        <f>IF(OR(X215="",AG215&lt;&gt;"DIREITO"),"",$L$2*IFERROR(Y215/$B$31,0)+$L$3*IF($D$31&gt;0,IFERROR(AC215/$D$31,0),0)+$L$4*IFERROR(AD215,0)-$L$5*IFERROR(AE215,0)-$L$6*MAX(0,IFERROR(AB215,0)-$L$7)+ROW()/1000000)</f>
        <v/>
      </c>
      <c r="AG215">
        <f>IFERROR(INDEX(GERAL[LADO],182),"")</f>
        <v/>
      </c>
    </row>
    <row r="216">
      <c r="X216">
        <f>IFERROR(INDEX(GERAL[PONTO],183),"")</f>
        <v/>
      </c>
      <c r="Y216">
        <f>IF(X216="","",IFERROR(INDEX(GERAL[ACUMULADA],183),0))</f>
        <v/>
      </c>
      <c r="Z216">
        <f>IF(Y216="","",$B$31-Y216)</f>
        <v/>
      </c>
      <c r="AA216">
        <f>IF(Y216="","",IF(Y216*1.15&lt;=30,30,IF(Y216*1.15&lt;=45,45,IF(Y216*1.15&lt;=75,75,IF(Y216*1.15&lt;=112.5,112.5,IF(Y216*1.15&lt;=150,150,IF(Y216*1.15&lt;=225,225,300)))))))</f>
        <v/>
      </c>
      <c r="AB216">
        <f>IF(AA216="","",IFERROR(Y216/AA216,0))</f>
        <v/>
      </c>
      <c r="AC216">
        <f>IF(X216="","",IFERROR(INDEX(DIR_ATUAL[QT %],MATCH(X216,DIR_ATUAL[PONTO],0)),0))</f>
        <v/>
      </c>
      <c r="AD216">
        <f>IF(Y216="","",IFERROR(1-ABS(Y216-Z216)/$B$31,0))</f>
        <v/>
      </c>
      <c r="AE216">
        <f>IF(X216="","",IF($E$9&gt;$E$8,IFERROR((INDEX(GERAL[SNAP],183)-$E$8)/($E$9-$E$8),0),0))</f>
        <v/>
      </c>
      <c r="AF216">
        <f>IF(OR(X216="",AG216&lt;&gt;"DIREITO"),"",$L$2*IFERROR(Y216/$B$31,0)+$L$3*IF($D$31&gt;0,IFERROR(AC216/$D$31,0),0)+$L$4*IFERROR(AD216,0)-$L$5*IFERROR(AE216,0)-$L$6*MAX(0,IFERROR(AB216,0)-$L$7)+ROW()/1000000)</f>
        <v/>
      </c>
      <c r="AG216">
        <f>IFERROR(INDEX(GERAL[LADO],183),"")</f>
        <v/>
      </c>
    </row>
    <row r="217">
      <c r="X217">
        <f>IFERROR(INDEX(GERAL[PONTO],184),"")</f>
        <v/>
      </c>
      <c r="Y217">
        <f>IF(X217="","",IFERROR(INDEX(GERAL[ACUMULADA],184),0))</f>
        <v/>
      </c>
      <c r="Z217">
        <f>IF(Y217="","",$B$31-Y217)</f>
        <v/>
      </c>
      <c r="AA217">
        <f>IF(Y217="","",IF(Y217*1.15&lt;=30,30,IF(Y217*1.15&lt;=45,45,IF(Y217*1.15&lt;=75,75,IF(Y217*1.15&lt;=112.5,112.5,IF(Y217*1.15&lt;=150,150,IF(Y217*1.15&lt;=225,225,300)))))))</f>
        <v/>
      </c>
      <c r="AB217">
        <f>IF(AA217="","",IFERROR(Y217/AA217,0))</f>
        <v/>
      </c>
      <c r="AC217">
        <f>IF(X217="","",IFERROR(INDEX(DIR_ATUAL[QT %],MATCH(X217,DIR_ATUAL[PONTO],0)),0))</f>
        <v/>
      </c>
      <c r="AD217">
        <f>IF(Y217="","",IFERROR(1-ABS(Y217-Z217)/$B$31,0))</f>
        <v/>
      </c>
      <c r="AE217">
        <f>IF(X217="","",IF($E$9&gt;$E$8,IFERROR((INDEX(GERAL[SNAP],184)-$E$8)/($E$9-$E$8),0),0))</f>
        <v/>
      </c>
      <c r="AF217">
        <f>IF(OR(X217="",AG217&lt;&gt;"DIREITO"),"",$L$2*IFERROR(Y217/$B$31,0)+$L$3*IF($D$31&gt;0,IFERROR(AC217/$D$31,0),0)+$L$4*IFERROR(AD217,0)-$L$5*IFERROR(AE217,0)-$L$6*MAX(0,IFERROR(AB217,0)-$L$7)+ROW()/1000000)</f>
        <v/>
      </c>
      <c r="AG217">
        <f>IFERROR(INDEX(GERAL[LADO],184),"")</f>
        <v/>
      </c>
    </row>
    <row r="218">
      <c r="X218">
        <f>IFERROR(INDEX(GERAL[PONTO],185),"")</f>
        <v/>
      </c>
      <c r="Y218">
        <f>IF(X218="","",IFERROR(INDEX(GERAL[ACUMULADA],185),0))</f>
        <v/>
      </c>
      <c r="Z218">
        <f>IF(Y218="","",$B$31-Y218)</f>
        <v/>
      </c>
      <c r="AA218">
        <f>IF(Y218="","",IF(Y218*1.15&lt;=30,30,IF(Y218*1.15&lt;=45,45,IF(Y218*1.15&lt;=75,75,IF(Y218*1.15&lt;=112.5,112.5,IF(Y218*1.15&lt;=150,150,IF(Y218*1.15&lt;=225,225,300)))))))</f>
        <v/>
      </c>
      <c r="AB218">
        <f>IF(AA218="","",IFERROR(Y218/AA218,0))</f>
        <v/>
      </c>
      <c r="AC218">
        <f>IF(X218="","",IFERROR(INDEX(DIR_ATUAL[QT %],MATCH(X218,DIR_ATUAL[PONTO],0)),0))</f>
        <v/>
      </c>
      <c r="AD218">
        <f>IF(Y218="","",IFERROR(1-ABS(Y218-Z218)/$B$31,0))</f>
        <v/>
      </c>
      <c r="AE218">
        <f>IF(X218="","",IF($E$9&gt;$E$8,IFERROR((INDEX(GERAL[SNAP],185)-$E$8)/($E$9-$E$8),0),0))</f>
        <v/>
      </c>
      <c r="AF218">
        <f>IF(OR(X218="",AG218&lt;&gt;"DIREITO"),"",$L$2*IFERROR(Y218/$B$31,0)+$L$3*IF($D$31&gt;0,IFERROR(AC218/$D$31,0),0)+$L$4*IFERROR(AD218,0)-$L$5*IFERROR(AE218,0)-$L$6*MAX(0,IFERROR(AB218,0)-$L$7)+ROW()/1000000)</f>
        <v/>
      </c>
      <c r="AG218">
        <f>IFERROR(INDEX(GERAL[LADO],185),"")</f>
        <v/>
      </c>
    </row>
    <row r="219">
      <c r="X219">
        <f>IFERROR(INDEX(GERAL[PONTO],186),"")</f>
        <v/>
      </c>
      <c r="Y219">
        <f>IF(X219="","",IFERROR(INDEX(GERAL[ACUMULADA],186),0))</f>
        <v/>
      </c>
      <c r="Z219">
        <f>IF(Y219="","",$B$31-Y219)</f>
        <v/>
      </c>
      <c r="AA219">
        <f>IF(Y219="","",IF(Y219*1.15&lt;=30,30,IF(Y219*1.15&lt;=45,45,IF(Y219*1.15&lt;=75,75,IF(Y219*1.15&lt;=112.5,112.5,IF(Y219*1.15&lt;=150,150,IF(Y219*1.15&lt;=225,225,300)))))))</f>
        <v/>
      </c>
      <c r="AB219">
        <f>IF(AA219="","",IFERROR(Y219/AA219,0))</f>
        <v/>
      </c>
      <c r="AC219">
        <f>IF(X219="","",IFERROR(INDEX(DIR_ATUAL[QT %],MATCH(X219,DIR_ATUAL[PONTO],0)),0))</f>
        <v/>
      </c>
      <c r="AD219">
        <f>IF(Y219="","",IFERROR(1-ABS(Y219-Z219)/$B$31,0))</f>
        <v/>
      </c>
      <c r="AE219">
        <f>IF(X219="","",IF($E$9&gt;$E$8,IFERROR((INDEX(GERAL[SNAP],186)-$E$8)/($E$9-$E$8),0),0))</f>
        <v/>
      </c>
      <c r="AF219">
        <f>IF(OR(X219="",AG219&lt;&gt;"DIREITO"),"",$L$2*IFERROR(Y219/$B$31,0)+$L$3*IF($D$31&gt;0,IFERROR(AC219/$D$31,0),0)+$L$4*IFERROR(AD219,0)-$L$5*IFERROR(AE219,0)-$L$6*MAX(0,IFERROR(AB219,0)-$L$7)+ROW()/1000000)</f>
        <v/>
      </c>
      <c r="AG219">
        <f>IFERROR(INDEX(GERAL[LADO],186),"")</f>
        <v/>
      </c>
    </row>
    <row r="220">
      <c r="X220">
        <f>IFERROR(INDEX(GERAL[PONTO],187),"")</f>
        <v/>
      </c>
      <c r="Y220">
        <f>IF(X220="","",IFERROR(INDEX(GERAL[ACUMULADA],187),0))</f>
        <v/>
      </c>
      <c r="Z220">
        <f>IF(Y220="","",$B$31-Y220)</f>
        <v/>
      </c>
      <c r="AA220">
        <f>IF(Y220="","",IF(Y220*1.15&lt;=30,30,IF(Y220*1.15&lt;=45,45,IF(Y220*1.15&lt;=75,75,IF(Y220*1.15&lt;=112.5,112.5,IF(Y220*1.15&lt;=150,150,IF(Y220*1.15&lt;=225,225,300)))))))</f>
        <v/>
      </c>
      <c r="AB220">
        <f>IF(AA220="","",IFERROR(Y220/AA220,0))</f>
        <v/>
      </c>
      <c r="AC220">
        <f>IF(X220="","",IFERROR(INDEX(DIR_ATUAL[QT %],MATCH(X220,DIR_ATUAL[PONTO],0)),0))</f>
        <v/>
      </c>
      <c r="AD220">
        <f>IF(Y220="","",IFERROR(1-ABS(Y220-Z220)/$B$31,0))</f>
        <v/>
      </c>
      <c r="AE220">
        <f>IF(X220="","",IF($E$9&gt;$E$8,IFERROR((INDEX(GERAL[SNAP],187)-$E$8)/($E$9-$E$8),0),0))</f>
        <v/>
      </c>
      <c r="AF220">
        <f>IF(OR(X220="",AG220&lt;&gt;"DIREITO"),"",$L$2*IFERROR(Y220/$B$31,0)+$L$3*IF($D$31&gt;0,IFERROR(AC220/$D$31,0),0)+$L$4*IFERROR(AD220,0)-$L$5*IFERROR(AE220,0)-$L$6*MAX(0,IFERROR(AB220,0)-$L$7)+ROW()/1000000)</f>
        <v/>
      </c>
      <c r="AG220">
        <f>IFERROR(INDEX(GERAL[LADO],187),"")</f>
        <v/>
      </c>
    </row>
  </sheetData>
  <conditionalFormatting sqref="J14:J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J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Planilha2">
    <outlinePr summaryBelow="1" summaryRight="1"/>
    <pageSetUpPr/>
  </sheetPr>
  <dimension ref="A1:AF78"/>
  <sheetViews>
    <sheetView tabSelected="1" topLeftCell="A14" zoomScaleNormal="100" workbookViewId="0">
      <selection activeCell="A14" sqref="A1:XFD1048576"/>
    </sheetView>
  </sheetViews>
  <sheetFormatPr baseColWidth="8" defaultColWidth="12.21875" defaultRowHeight="14.4"/>
  <cols>
    <col width="11.88671875" customWidth="1" style="179" min="1" max="1"/>
    <col hidden="1" width="4.5546875" customWidth="1" style="179" min="2" max="9"/>
    <col hidden="1" width="5.5546875" customWidth="1" style="179" min="10" max="11"/>
    <col hidden="1" width="6.44140625" customWidth="1" style="179" min="12" max="12"/>
    <col width="9" customWidth="1" style="179" min="13" max="13"/>
    <col width="11" customWidth="1" style="179" min="14" max="15"/>
    <col width="9" customWidth="1" style="179" min="16" max="16"/>
    <col width="5.5546875" bestFit="1" customWidth="1" style="179" min="17" max="18"/>
    <col width="6.44140625" bestFit="1" customWidth="1" style="179" min="19" max="19"/>
    <col width="7" customWidth="1" style="179" min="20" max="20"/>
    <col width="9" customWidth="1" style="179" min="21" max="21"/>
    <col hidden="1" style="179" min="22" max="22"/>
    <col width="19.109375" customWidth="1" style="179" min="23" max="23"/>
    <col width="12.21875" customWidth="1" style="9" min="24" max="24"/>
    <col width="16" customWidth="1" style="9" min="25" max="25"/>
    <col width="2.44140625" customWidth="1" style="179" min="26" max="26"/>
  </cols>
  <sheetData>
    <row r="1" hidden="1" ht="16.2" customHeight="1" s="179" thickBot="1">
      <c r="A1" s="219" t="inlineStr">
        <is>
          <t>Ampacidade dos Condutores de Ramais de BT (A)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1" t="n"/>
    </row>
    <row r="2" hidden="1" ht="16.2" customHeight="1" s="179" thickBot="1">
      <c r="A2" s="15" t="inlineStr">
        <is>
          <t>Item</t>
        </is>
      </c>
      <c r="B2" s="224" t="inlineStr">
        <is>
          <t>Condutores Fora de Padrão</t>
        </is>
      </c>
      <c r="C2" s="220" t="n"/>
      <c r="D2" s="220" t="n"/>
      <c r="E2" s="220" t="n"/>
      <c r="F2" s="220" t="n"/>
      <c r="G2" s="220" t="n"/>
      <c r="H2" s="220" t="n"/>
      <c r="I2" s="220" t="n"/>
      <c r="J2" s="220" t="n"/>
      <c r="K2" s="220" t="n"/>
      <c r="L2" s="225" t="n"/>
      <c r="M2" s="228" t="inlineStr">
        <is>
          <t>Condutores Padrão</t>
        </is>
      </c>
      <c r="N2" s="220" t="n"/>
      <c r="O2" s="220" t="n"/>
      <c r="P2" s="220" t="n"/>
      <c r="Q2" s="220" t="n"/>
      <c r="R2" s="220" t="n"/>
      <c r="S2" s="220" t="n"/>
      <c r="T2" s="220" t="n"/>
      <c r="U2" s="221" t="n"/>
    </row>
    <row r="3" hidden="1" s="179">
      <c r="A3" s="222" t="inlineStr">
        <is>
          <t>Condutor</t>
        </is>
      </c>
      <c r="B3" s="16" t="n">
        <v>5</v>
      </c>
      <c r="C3" s="17" t="n">
        <v>8</v>
      </c>
      <c r="D3" s="17" t="n">
        <v>13</v>
      </c>
      <c r="E3" s="17" t="n">
        <v>21</v>
      </c>
      <c r="F3" s="17" t="n">
        <v>33</v>
      </c>
      <c r="G3" s="17" t="n">
        <v>53</v>
      </c>
      <c r="H3" s="17" t="n">
        <v>67</v>
      </c>
      <c r="I3" s="17" t="n">
        <v>85</v>
      </c>
      <c r="J3" s="17" t="n">
        <v>107</v>
      </c>
      <c r="K3" s="17" t="n">
        <v>127</v>
      </c>
      <c r="L3" s="18" t="n">
        <v>253</v>
      </c>
      <c r="M3" s="19" t="inlineStr">
        <is>
          <t>13 DX</t>
        </is>
      </c>
      <c r="N3" s="17" t="inlineStr">
        <is>
          <t>13 TX</t>
        </is>
      </c>
      <c r="O3" s="17" t="inlineStr">
        <is>
          <t>13 QX</t>
        </is>
      </c>
      <c r="P3" s="17" t="inlineStr">
        <is>
          <t>21 QX</t>
        </is>
      </c>
      <c r="Q3" s="17" t="inlineStr">
        <is>
          <t>53 QX</t>
        </is>
      </c>
      <c r="R3" s="17" t="inlineStr">
        <is>
          <t>85 QX</t>
        </is>
      </c>
      <c r="S3" s="17" t="inlineStr">
        <is>
          <t>107 QX</t>
        </is>
      </c>
      <c r="T3" s="17" t="n">
        <v>70</v>
      </c>
      <c r="U3" s="18" t="n">
        <v>185</v>
      </c>
    </row>
    <row r="4" hidden="1" s="179">
      <c r="A4" s="223" t="n"/>
      <c r="B4" s="20" t="inlineStr">
        <is>
          <t>CC</t>
        </is>
      </c>
      <c r="C4" s="21" t="inlineStr">
        <is>
          <t>CC</t>
        </is>
      </c>
      <c r="D4" s="21" t="inlineStr">
        <is>
          <t>CC</t>
        </is>
      </c>
      <c r="E4" s="21" t="inlineStr">
        <is>
          <t>CC</t>
        </is>
      </c>
      <c r="F4" s="21" t="inlineStr">
        <is>
          <t>CC</t>
        </is>
      </c>
      <c r="G4" s="21" t="inlineStr">
        <is>
          <t>CC</t>
        </is>
      </c>
      <c r="H4" s="21" t="inlineStr">
        <is>
          <t>CC</t>
        </is>
      </c>
      <c r="I4" s="21" t="inlineStr">
        <is>
          <t>CC</t>
        </is>
      </c>
      <c r="J4" s="21" t="inlineStr">
        <is>
          <t>CC</t>
        </is>
      </c>
      <c r="K4" s="21" t="inlineStr">
        <is>
          <t>CC</t>
        </is>
      </c>
      <c r="L4" s="22" t="inlineStr">
        <is>
          <t>CC</t>
        </is>
      </c>
      <c r="M4" s="23" t="inlineStr">
        <is>
          <t>6 AWG</t>
        </is>
      </c>
      <c r="N4" s="21" t="inlineStr">
        <is>
          <t>6 AWG</t>
        </is>
      </c>
      <c r="O4" s="21" t="inlineStr">
        <is>
          <t>6 AWG</t>
        </is>
      </c>
      <c r="P4" s="21" t="inlineStr">
        <is>
          <t>4 AWG</t>
        </is>
      </c>
      <c r="Q4" s="21" t="inlineStr">
        <is>
          <t>1/0</t>
        </is>
      </c>
      <c r="R4" s="21" t="inlineStr">
        <is>
          <t>3/0</t>
        </is>
      </c>
      <c r="S4" s="21" t="inlineStr">
        <is>
          <t>4/0</t>
        </is>
      </c>
      <c r="T4" s="21" t="inlineStr">
        <is>
          <t>MMX</t>
        </is>
      </c>
      <c r="U4" s="22" t="inlineStr">
        <is>
          <t>MMX</t>
        </is>
      </c>
    </row>
    <row r="5" hidden="1" ht="14.4" customHeight="1" s="179" thickBot="1">
      <c r="A5" s="24" t="inlineStr">
        <is>
          <t>Carregamento</t>
        </is>
      </c>
      <c r="B5" s="25" t="n">
        <v>66</v>
      </c>
      <c r="C5" s="26" t="n">
        <v>88</v>
      </c>
      <c r="D5" s="26" t="n">
        <v>116</v>
      </c>
      <c r="E5" s="26" t="n">
        <v>151</v>
      </c>
      <c r="F5" s="26" t="n">
        <v>205</v>
      </c>
      <c r="G5" s="26" t="n">
        <v>272</v>
      </c>
      <c r="H5" s="26" t="n">
        <v>313</v>
      </c>
      <c r="I5" s="26" t="n">
        <v>366</v>
      </c>
      <c r="J5" s="26" t="n">
        <v>418</v>
      </c>
      <c r="K5" s="26" t="n">
        <v>466</v>
      </c>
      <c r="L5" s="27" t="n">
        <v>710</v>
      </c>
      <c r="M5" s="28" t="n">
        <v>78</v>
      </c>
      <c r="N5" s="26" t="n">
        <v>80</v>
      </c>
      <c r="O5" s="26" t="n">
        <v>72</v>
      </c>
      <c r="P5" s="26" t="n">
        <v>95</v>
      </c>
      <c r="Q5" s="26" t="n">
        <v>165</v>
      </c>
      <c r="R5" s="26" t="n">
        <v>220</v>
      </c>
      <c r="S5" s="26" t="n">
        <v>254</v>
      </c>
      <c r="T5" s="26" t="n">
        <v>227</v>
      </c>
      <c r="U5" s="27" t="n">
        <v>423</v>
      </c>
    </row>
    <row r="6" hidden="1" ht="14.4" customHeight="1" s="179" thickBot="1"/>
    <row r="7" hidden="1" s="179">
      <c r="A7" s="226" t="inlineStr">
        <is>
          <t>Cabo de Rede</t>
        </is>
      </c>
      <c r="B7" s="29" t="n">
        <v>33</v>
      </c>
      <c r="C7" s="29" t="n">
        <v>33</v>
      </c>
      <c r="D7" s="29" t="n">
        <v>53</v>
      </c>
      <c r="E7" s="29" t="n">
        <v>53</v>
      </c>
      <c r="F7" s="29" t="n">
        <v>107</v>
      </c>
      <c r="G7" s="29" t="n">
        <v>107</v>
      </c>
      <c r="H7" s="29" t="n">
        <v>201</v>
      </c>
      <c r="I7" s="29" t="n">
        <v>201</v>
      </c>
      <c r="J7" s="29" t="inlineStr">
        <is>
          <t>53 QX</t>
        </is>
      </c>
      <c r="K7" s="29" t="inlineStr">
        <is>
          <t>85 QX</t>
        </is>
      </c>
      <c r="L7" s="29" t="inlineStr">
        <is>
          <t>107 QX</t>
        </is>
      </c>
      <c r="M7" s="29" t="n">
        <v>70</v>
      </c>
      <c r="N7" s="30" t="n">
        <v>185</v>
      </c>
    </row>
    <row r="8" hidden="1" ht="14.4" customHeight="1" s="179" thickBot="1">
      <c r="A8" s="227" t="n"/>
      <c r="B8" s="31" t="inlineStr">
        <is>
          <t>AA</t>
        </is>
      </c>
      <c r="C8" s="31" t="inlineStr">
        <is>
          <t>AC</t>
        </is>
      </c>
      <c r="D8" s="31" t="inlineStr">
        <is>
          <t>AA</t>
        </is>
      </c>
      <c r="E8" s="31" t="inlineStr">
        <is>
          <t>AC</t>
        </is>
      </c>
      <c r="F8" s="31" t="inlineStr">
        <is>
          <t>A</t>
        </is>
      </c>
      <c r="G8" s="31" t="inlineStr">
        <is>
          <t>AC</t>
        </is>
      </c>
      <c r="H8" s="31" t="inlineStr">
        <is>
          <t>A</t>
        </is>
      </c>
      <c r="I8" s="31" t="inlineStr">
        <is>
          <t>AC</t>
        </is>
      </c>
      <c r="J8" s="31" t="inlineStr">
        <is>
          <t>1/0</t>
        </is>
      </c>
      <c r="K8" s="31" t="inlineStr">
        <is>
          <t>3/0</t>
        </is>
      </c>
      <c r="L8" s="31" t="inlineStr">
        <is>
          <t>4/0</t>
        </is>
      </c>
      <c r="M8" s="31" t="inlineStr">
        <is>
          <t>MMX</t>
        </is>
      </c>
      <c r="N8" s="32" t="inlineStr">
        <is>
          <t>MMX</t>
        </is>
      </c>
    </row>
    <row r="9" hidden="1" s="179">
      <c r="A9" s="20" t="inlineStr">
        <is>
          <t>R (Ohms)</t>
        </is>
      </c>
      <c r="B9" s="33" t="n">
        <v>1.0903</v>
      </c>
      <c r="C9" s="33" t="n">
        <v>1.0254</v>
      </c>
      <c r="D9" s="33" t="n">
        <v>0.7059</v>
      </c>
      <c r="E9" s="33" t="n">
        <v>0.6456</v>
      </c>
      <c r="F9" s="33" t="n">
        <v>0.3225</v>
      </c>
      <c r="G9" s="33" t="n">
        <v>0.3225</v>
      </c>
      <c r="H9" s="33" t="n">
        <v>0.1731</v>
      </c>
      <c r="I9" s="33" t="n">
        <v>0.1731</v>
      </c>
      <c r="J9" s="33" t="n">
        <v>0.6641</v>
      </c>
      <c r="K9" s="33" t="n">
        <v>0.418</v>
      </c>
      <c r="L9" s="33" t="n">
        <v>0.3313</v>
      </c>
      <c r="M9" s="33" t="n">
        <v>0.5697</v>
      </c>
      <c r="N9" s="34" t="n">
        <v>0.2149</v>
      </c>
    </row>
    <row r="10" hidden="1" s="179">
      <c r="A10" s="35" t="inlineStr">
        <is>
          <t>X (Ohms)</t>
        </is>
      </c>
      <c r="B10" s="36" t="n">
        <v>0.4034</v>
      </c>
      <c r="C10" s="36" t="n">
        <v>0.3419</v>
      </c>
      <c r="D10" s="36" t="n">
        <v>0.3705</v>
      </c>
      <c r="E10" s="36" t="n">
        <v>0.3235</v>
      </c>
      <c r="F10" s="36" t="n">
        <v>0.2968</v>
      </c>
      <c r="G10" s="36" t="n">
        <v>0.2968</v>
      </c>
      <c r="H10" s="36" t="n">
        <v>0.2686</v>
      </c>
      <c r="I10" s="36" t="n">
        <v>0.2686</v>
      </c>
      <c r="J10" s="36" t="n">
        <v>0.1311</v>
      </c>
      <c r="K10" s="36" t="n">
        <v>0.1279</v>
      </c>
      <c r="L10" s="36" t="n">
        <v>0.129</v>
      </c>
      <c r="M10" s="36" t="n">
        <v>0.126</v>
      </c>
      <c r="N10" s="37" t="n">
        <v>0.1178</v>
      </c>
    </row>
    <row r="11" hidden="1" s="179">
      <c r="A11" s="35" t="inlineStr">
        <is>
          <t>Comercial</t>
        </is>
      </c>
      <c r="B11" s="36">
        <f>B9*0.85+B10*0.5268</f>
        <v/>
      </c>
      <c r="C11" s="36">
        <f>C9*0.85+C10*0.5268</f>
        <v/>
      </c>
      <c r="D11" s="36">
        <f>D9*0.85+D10*0.5268</f>
        <v/>
      </c>
      <c r="E11" s="36">
        <f>E9*0.85+E10*0.5268</f>
        <v/>
      </c>
      <c r="F11" s="36">
        <f>F9*0.85+F10*0.5268</f>
        <v/>
      </c>
      <c r="G11" s="36">
        <f>G9*0.85+G10*0.5268</f>
        <v/>
      </c>
      <c r="H11" s="36">
        <f>H9*0.85+H10*0.5268</f>
        <v/>
      </c>
      <c r="I11" s="36">
        <f>I9*0.85+I10*0.5268</f>
        <v/>
      </c>
      <c r="J11" s="36">
        <f>J9*0.85+J10*0.5268</f>
        <v/>
      </c>
      <c r="K11" s="36">
        <f>K9*0.85+K10*0.5268</f>
        <v/>
      </c>
      <c r="L11" s="36">
        <f>L9*0.85+L10*0.5268</f>
        <v/>
      </c>
      <c r="M11" s="36">
        <f>M9*0.85+M10*0.5268</f>
        <v/>
      </c>
      <c r="N11" s="37">
        <f>N9*0.85+N10*0.5268</f>
        <v/>
      </c>
    </row>
    <row r="12" hidden="1" s="179">
      <c r="A12" s="35" t="inlineStr">
        <is>
          <t>Residencial</t>
        </is>
      </c>
      <c r="B12" s="36">
        <f>B9*0.95+B10*0.3122</f>
        <v/>
      </c>
      <c r="C12" s="36">
        <f>C9*0.95+C10*0.3122</f>
        <v/>
      </c>
      <c r="D12" s="36">
        <f>D9*0.95+D10*0.3122</f>
        <v/>
      </c>
      <c r="E12" s="36">
        <f>E9*0.95+E10*0.3122</f>
        <v/>
      </c>
      <c r="F12" s="36">
        <f>F9*0.95+F10*0.3122</f>
        <v/>
      </c>
      <c r="G12" s="36">
        <f>G9*0.95+G10*0.3122</f>
        <v/>
      </c>
      <c r="H12" s="36">
        <f>H9*0.95+H10*0.3122</f>
        <v/>
      </c>
      <c r="I12" s="36">
        <f>I9*0.95+I10*0.3122</f>
        <v/>
      </c>
      <c r="J12" s="36">
        <f>J9*0.95+J10*0.3122</f>
        <v/>
      </c>
      <c r="K12" s="36">
        <f>K9*0.95+K10*0.3122</f>
        <v/>
      </c>
      <c r="L12" s="36">
        <f>L9*0.95+L10*0.3122</f>
        <v/>
      </c>
      <c r="M12" s="36">
        <f>M9*0.95+M10*0.3122</f>
        <v/>
      </c>
      <c r="N12" s="37">
        <f>N9*0.95+N10*0.3122</f>
        <v/>
      </c>
    </row>
    <row r="13" hidden="1" ht="14.4" customHeight="1" s="179" thickBot="1">
      <c r="A13" s="38" t="inlineStr">
        <is>
          <t>Misto</t>
        </is>
      </c>
      <c r="B13" s="39">
        <f>B9*0.9+B10*0.4359</f>
        <v/>
      </c>
      <c r="C13" s="39">
        <f>C9*0.9+C10*0.4359</f>
        <v/>
      </c>
      <c r="D13" s="39">
        <f>D9*0.9+D10*0.4359</f>
        <v/>
      </c>
      <c r="E13" s="39">
        <f>E9*0.9+E10*0.4359</f>
        <v/>
      </c>
      <c r="F13" s="39">
        <f>F9*0.9+F10*0.4359</f>
        <v/>
      </c>
      <c r="G13" s="39">
        <f>G9*0.9+G10*0.4359</f>
        <v/>
      </c>
      <c r="H13" s="39">
        <f>H9*0.9+H10*0.4359</f>
        <v/>
      </c>
      <c r="I13" s="39">
        <f>I9*0.9+I10*0.4359</f>
        <v/>
      </c>
      <c r="J13" s="39">
        <f>J9*0.9+J10*0.4359</f>
        <v/>
      </c>
      <c r="K13" s="39">
        <f>K9*0.9+K10*0.4359</f>
        <v/>
      </c>
      <c r="L13" s="39">
        <f>L9*0.9+L10*0.4359</f>
        <v/>
      </c>
      <c r="M13" s="39">
        <f>M9*0.9+M10*0.4359</f>
        <v/>
      </c>
      <c r="N13" s="40">
        <f>N9*0.9+N10*0.4359</f>
        <v/>
      </c>
    </row>
    <row r="14" ht="14.4" customHeight="1" s="179" thickBot="1">
      <c r="M14" s="9" t="inlineStr">
        <is>
          <t>MONO</t>
        </is>
      </c>
      <c r="N14" s="9" t="inlineStr">
        <is>
          <t>BIF</t>
        </is>
      </c>
      <c r="O14" s="9" t="inlineStr">
        <is>
          <t>TRIF</t>
        </is>
      </c>
    </row>
    <row r="15" ht="16.2" customHeight="1" s="179" thickBot="1">
      <c r="A15" s="229" t="inlineStr">
        <is>
          <t>N° de ramais ATUAL</t>
        </is>
      </c>
      <c r="W15" s="161" t="inlineStr">
        <is>
          <t>I / PONTO</t>
        </is>
      </c>
      <c r="X15" s="161" t="inlineStr">
        <is>
          <t>TOTAL</t>
        </is>
      </c>
      <c r="Y15" s="208" t="inlineStr">
        <is>
          <t>KVA CLANDESTINO</t>
        </is>
      </c>
      <c r="AA15" s="210" t="inlineStr">
        <is>
          <t>LEITURA DO TRAFO - ATUAL</t>
        </is>
      </c>
      <c r="AB15" s="207" t="n"/>
      <c r="AC15" s="210" t="inlineStr">
        <is>
          <t>LEITURA DO TRAFO - PROJ</t>
        </is>
      </c>
      <c r="AD15" s="207" t="n"/>
      <c r="AE15" s="210" t="inlineStr">
        <is>
          <t>LEITURA DO TRAFO - PROJ2</t>
        </is>
      </c>
      <c r="AF15" s="207" t="n"/>
    </row>
    <row r="16" ht="14.4" customHeight="1" s="179" thickBot="1">
      <c r="A16" s="155" t="n"/>
      <c r="B16" s="41" t="n">
        <v>5</v>
      </c>
      <c r="C16" s="29" t="n">
        <v>8</v>
      </c>
      <c r="D16" s="29" t="n">
        <v>13</v>
      </c>
      <c r="E16" s="29" t="n">
        <v>21</v>
      </c>
      <c r="F16" s="29" t="n">
        <v>33</v>
      </c>
      <c r="G16" s="29" t="n">
        <v>53</v>
      </c>
      <c r="H16" s="29" t="n">
        <v>67</v>
      </c>
      <c r="I16" s="29" t="n">
        <v>85</v>
      </c>
      <c r="J16" s="29" t="n">
        <v>107</v>
      </c>
      <c r="K16" s="29" t="n">
        <v>127</v>
      </c>
      <c r="L16" s="29" t="n">
        <v>253</v>
      </c>
      <c r="M16" s="29" t="inlineStr">
        <is>
          <t>13 DX</t>
        </is>
      </c>
      <c r="N16" s="29" t="inlineStr">
        <is>
          <t>13 TX</t>
        </is>
      </c>
      <c r="O16" s="29" t="inlineStr">
        <is>
          <t>13 QX</t>
        </is>
      </c>
      <c r="P16" s="29" t="inlineStr">
        <is>
          <t>21 QX</t>
        </is>
      </c>
      <c r="Q16" s="29" t="inlineStr">
        <is>
          <t>53 QX</t>
        </is>
      </c>
      <c r="R16" s="29" t="inlineStr">
        <is>
          <t>85 QX</t>
        </is>
      </c>
      <c r="S16" s="42" t="inlineStr">
        <is>
          <t>107 QX</t>
        </is>
      </c>
      <c r="T16" s="29" t="n">
        <v>70</v>
      </c>
      <c r="U16" s="30" t="n">
        <v>185</v>
      </c>
      <c r="V16" s="44" t="inlineStr">
        <is>
          <t>TOTAL (A)</t>
        </is>
      </c>
      <c r="W16" s="49">
        <f>SUM(V18:V77)</f>
        <v/>
      </c>
      <c r="X16" s="9">
        <f>SUM(X18:X77)</f>
        <v/>
      </c>
      <c r="Y16" s="242" t="n"/>
      <c r="AA16" s="211" t="n"/>
      <c r="AB16" s="212" t="n"/>
      <c r="AC16" s="211" t="n"/>
      <c r="AD16" s="212" t="n"/>
      <c r="AE16" s="211" t="n"/>
      <c r="AF16" s="212" t="n"/>
    </row>
    <row r="17" ht="20.4" customHeight="1" s="179">
      <c r="A17" s="156" t="inlineStr">
        <is>
          <t>N° do Poste</t>
        </is>
      </c>
      <c r="B17" s="46" t="inlineStr">
        <is>
          <t>CC</t>
        </is>
      </c>
      <c r="C17" s="47" t="inlineStr">
        <is>
          <t>CC2</t>
        </is>
      </c>
      <c r="D17" s="47" t="inlineStr">
        <is>
          <t>CC3</t>
        </is>
      </c>
      <c r="E17" s="47" t="inlineStr">
        <is>
          <t>CC4</t>
        </is>
      </c>
      <c r="F17" s="47" t="inlineStr">
        <is>
          <t>CC5</t>
        </is>
      </c>
      <c r="G17" s="47" t="inlineStr">
        <is>
          <t>CC6</t>
        </is>
      </c>
      <c r="H17" s="47" t="inlineStr">
        <is>
          <t>CC7</t>
        </is>
      </c>
      <c r="I17" s="47" t="inlineStr">
        <is>
          <t>CC8</t>
        </is>
      </c>
      <c r="J17" s="47" t="inlineStr">
        <is>
          <t>CC9</t>
        </is>
      </c>
      <c r="K17" s="47" t="inlineStr">
        <is>
          <t>CC10</t>
        </is>
      </c>
      <c r="L17" s="47" t="inlineStr">
        <is>
          <t>CC11</t>
        </is>
      </c>
      <c r="M17" s="47" t="inlineStr">
        <is>
          <t>6 AWG</t>
        </is>
      </c>
      <c r="N17" s="47" t="inlineStr">
        <is>
          <t>6 AWG12</t>
        </is>
      </c>
      <c r="O17" s="47" t="inlineStr">
        <is>
          <t>6 AWG13</t>
        </is>
      </c>
      <c r="P17" s="47" t="inlineStr">
        <is>
          <t>4 AWG</t>
        </is>
      </c>
      <c r="Q17" s="47" t="inlineStr">
        <is>
          <t>1/0</t>
        </is>
      </c>
      <c r="R17" s="47" t="inlineStr">
        <is>
          <t>3/0</t>
        </is>
      </c>
      <c r="S17" s="44" t="inlineStr">
        <is>
          <t>4/0</t>
        </is>
      </c>
      <c r="T17" s="47" t="inlineStr">
        <is>
          <t>MMX</t>
        </is>
      </c>
      <c r="U17" s="48" t="inlineStr">
        <is>
          <t>MMX14</t>
        </is>
      </c>
      <c r="V17" s="44" t="inlineStr">
        <is>
          <t>TOTAL PONTO</t>
        </is>
      </c>
      <c r="W17" s="45" t="inlineStr">
        <is>
          <t>KVA</t>
        </is>
      </c>
      <c r="X17" s="45" t="inlineStr">
        <is>
          <t>CLIENTES</t>
        </is>
      </c>
      <c r="Y17" s="45" t="inlineStr">
        <is>
          <t>KVA2</t>
        </is>
      </c>
      <c r="AA17" s="206" t="inlineStr">
        <is>
          <t>Corrente Máxima</t>
        </is>
      </c>
      <c r="AB17" s="207" t="n"/>
      <c r="AC17" s="206" t="inlineStr">
        <is>
          <t>Corrente Máxima</t>
        </is>
      </c>
      <c r="AD17" s="207" t="n"/>
      <c r="AE17" s="206" t="inlineStr">
        <is>
          <t>Corrente Máxima</t>
        </is>
      </c>
      <c r="AF17" s="207" t="n"/>
    </row>
    <row r="18" ht="14.4" customHeight="1" s="179" thickBot="1">
      <c r="A18" s="157" t="n">
        <v>1</v>
      </c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51" t="n"/>
      <c r="N18" s="51" t="n"/>
      <c r="O18" s="51" t="n">
        <v>0</v>
      </c>
      <c r="P18" s="51" t="n"/>
      <c r="Q18" s="51" t="n"/>
      <c r="R18" s="51" t="n"/>
      <c r="S18" s="51" t="n"/>
      <c r="T18" s="51" t="n"/>
      <c r="U18" s="51" t="n"/>
      <c r="V18" s="49">
        <f>B18*$B$5+C18*$C$5+D18*$D$5+E18*$E$5+F18*$F$5+G18*$G$5+H18*$H$5+I18*$I$5+J18*$J$5+K18*$K$5+L18*$L$5+M18*$M$5+N18*$N$5+O18*$O$5+P18*$P$5+Q18*$Q$5+R18*$R$5+S18*$S$5+T18*$T$5+U18*$U$5</f>
        <v/>
      </c>
      <c r="W18" s="92">
        <f>IFERROR($AA$24*(V18/($W$16)),0)</f>
        <v/>
      </c>
      <c r="X18" s="90">
        <f>SUM(B18:U18)</f>
        <v/>
      </c>
      <c r="Y18" s="92">
        <f>IFERROR(VLOOKUP(X18,AUX_CLAN,4,),0)</f>
        <v/>
      </c>
      <c r="AA18" s="217" t="n">
        <v>459.9999999999998</v>
      </c>
      <c r="AB18" s="203" t="n"/>
      <c r="AC18" s="202">
        <f>AC20/0.375</f>
        <v/>
      </c>
      <c r="AD18" s="203" t="n"/>
      <c r="AE18" s="202">
        <f>AE20/0.375</f>
        <v/>
      </c>
      <c r="AF18" s="203" t="n"/>
    </row>
    <row r="19">
      <c r="A19" s="157" t="n">
        <v>2</v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51" t="n"/>
      <c r="N19" s="51" t="n"/>
      <c r="O19" s="51" t="n">
        <v>0</v>
      </c>
      <c r="P19" s="51" t="n"/>
      <c r="Q19" s="51" t="n"/>
      <c r="R19" s="51" t="n"/>
      <c r="S19" s="51" t="n"/>
      <c r="T19" s="51" t="n"/>
      <c r="U19" s="51" t="n"/>
      <c r="V19" s="49">
        <f>B19*$B$5+C19*$C$5+D19*$D$5+E19*$E$5+F19*$F$5+G19*$G$5+H19*$H$5+I19*$I$5+J19*$J$5+K19*$K$5+L19*$L$5+M19*$M$5+N19*$N$5+O19*$O$5+P19*$P$5+Q19*$Q$5+R19*$R$5+S19*$S$5+T19*$T$5+U19*$U$5</f>
        <v/>
      </c>
      <c r="W19" s="92">
        <f>IFERROR($AA$24*(V19/($W$16)),0)</f>
        <v/>
      </c>
      <c r="X19" s="90">
        <f>SUM(B19:U19)</f>
        <v/>
      </c>
      <c r="Y19" s="92">
        <f>IFERROR(VLOOKUP(X19,AUX_CLAN,4,),0)</f>
        <v/>
      </c>
      <c r="AA19" s="206" t="inlineStr">
        <is>
          <t>Demanda Máxima</t>
        </is>
      </c>
      <c r="AB19" s="207" t="n"/>
      <c r="AC19" s="206" t="inlineStr">
        <is>
          <t>Demanda Máxima</t>
        </is>
      </c>
      <c r="AD19" s="207" t="n"/>
      <c r="AE19" s="215" t="inlineStr">
        <is>
          <t>Demanda Máxima</t>
        </is>
      </c>
      <c r="AF19" s="216" t="n"/>
    </row>
    <row r="20" ht="14.4" customHeight="1" s="179" thickBot="1">
      <c r="A20" s="157" t="n">
        <v>3</v>
      </c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51" t="n"/>
      <c r="N20" s="51" t="n"/>
      <c r="O20" s="51" t="n">
        <v>2</v>
      </c>
      <c r="P20" s="51" t="n"/>
      <c r="Q20" s="51" t="n"/>
      <c r="R20" s="51" t="n"/>
      <c r="S20" s="51" t="n"/>
      <c r="T20" s="51" t="n"/>
      <c r="U20" s="51" t="n"/>
      <c r="V20" s="49">
        <f>B20*$B$5+C20*$C$5+D20*$D$5+E20*$E$5+F20*$F$5+G20*$G$5+H20*$H$5+I20*$I$5+J20*$J$5+K20*$K$5+L20*$L$5+M20*$M$5+N20*$N$5+O20*$O$5+P20*$P$5+Q20*$Q$5+R20*$R$5+S20*$S$5+T20*$T$5+U20*$U$5</f>
        <v/>
      </c>
      <c r="W20" s="92">
        <f>IFERROR($AA$24*(V20/($W$16)),0)</f>
        <v/>
      </c>
      <c r="X20" s="90">
        <f>SUM(B20:U20)</f>
        <v/>
      </c>
      <c r="Y20" s="92">
        <f>IFERROR(VLOOKUP(X20,AUX_CLAN,4,),0)</f>
        <v/>
      </c>
      <c r="AA20" s="204">
        <f>IF(AA18="","",AA18*0.375)</f>
        <v/>
      </c>
      <c r="AB20" s="205" t="n"/>
      <c r="AC20" s="204">
        <f>AC24/AC22</f>
        <v/>
      </c>
      <c r="AD20" s="205" t="n"/>
      <c r="AE20" s="204">
        <f>AE24/AE22</f>
        <v/>
      </c>
      <c r="AF20" s="205" t="n"/>
    </row>
    <row r="21">
      <c r="A21" s="157" t="n">
        <v>4</v>
      </c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51" t="n"/>
      <c r="N21" s="51" t="n"/>
      <c r="O21" s="51" t="n">
        <v>4</v>
      </c>
      <c r="P21" s="51" t="n"/>
      <c r="Q21" s="51" t="n"/>
      <c r="R21" s="51" t="n"/>
      <c r="S21" s="51" t="n"/>
      <c r="T21" s="51" t="n"/>
      <c r="U21" s="51" t="n"/>
      <c r="V21" s="49">
        <f>B21*$B$5+C21*$C$5+D21*$D$5+E21*$E$5+F21*$F$5+G21*$G$5+H21*$H$5+I21*$I$5+J21*$J$5+K21*$K$5+L21*$L$5+M21*$M$5+N21*$N$5+O21*$O$5+P21*$P$5+Q21*$Q$5+R21*$R$5+S21*$S$5+T21*$T$5+U21*$U$5</f>
        <v/>
      </c>
      <c r="W21" s="92">
        <f>IFERROR($AA$24*(V21/($W$16)),0)</f>
        <v/>
      </c>
      <c r="X21" s="90">
        <f>SUM(B21:U21)</f>
        <v/>
      </c>
      <c r="Y21" s="92">
        <f>IFERROR(VLOOKUP(X21,AUX_CLAN,4,),0)</f>
        <v/>
      </c>
      <c r="AA21" s="206" t="inlineStr">
        <is>
          <t>Fator de Temperatura</t>
        </is>
      </c>
      <c r="AB21" s="207" t="n"/>
      <c r="AC21" s="206" t="inlineStr">
        <is>
          <t>Fator de Temperatura</t>
        </is>
      </c>
      <c r="AD21" s="207" t="n"/>
      <c r="AE21" s="206" t="inlineStr">
        <is>
          <t>Fator de Temperatura</t>
        </is>
      </c>
      <c r="AF21" s="207" t="n"/>
    </row>
    <row r="22" ht="14.4" customHeight="1" s="179" thickBot="1">
      <c r="A22" s="157" t="n">
        <v>5</v>
      </c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51" t="n"/>
      <c r="N22" s="51" t="n"/>
      <c r="O22" s="51" t="n">
        <v>3</v>
      </c>
      <c r="P22" s="51" t="n"/>
      <c r="Q22" s="51" t="n"/>
      <c r="R22" s="51" t="n"/>
      <c r="S22" s="51" t="n"/>
      <c r="T22" s="51" t="n"/>
      <c r="U22" s="51" t="n"/>
      <c r="V22" s="49">
        <f>B22*$B$5+C22*$C$5+D22*$D$5+E22*$E$5+F22*$F$5+G22*$G$5+H22*$H$5+I22*$I$5+J22*$J$5+K22*$K$5+L22*$L$5+M22*$M$5+N22*$N$5+O22*$O$5+P22*$P$5+Q22*$Q$5+R22*$R$5+S22*$S$5+T22*$T$5+U22*$U$5</f>
        <v/>
      </c>
      <c r="W22" s="92">
        <f>IFERROR($AA$24*(V22/($W$16)),0)</f>
        <v/>
      </c>
      <c r="X22" s="90">
        <f>SUM(B22:U22)</f>
        <v/>
      </c>
      <c r="Y22" s="92">
        <f>IFERROR(VLOOKUP(X22,AUX_CLAN,4,),0)</f>
        <v/>
      </c>
      <c r="AA22" s="217" t="n">
        <v>1.2</v>
      </c>
      <c r="AB22" s="203" t="n"/>
      <c r="AC22" s="202">
        <f>AA22</f>
        <v/>
      </c>
      <c r="AD22" s="203" t="n"/>
      <c r="AE22" s="202">
        <f>AA22</f>
        <v/>
      </c>
      <c r="AF22" s="203" t="n"/>
    </row>
    <row r="23" ht="14.4" customHeight="1" s="179">
      <c r="A23" s="157" t="n">
        <v>6</v>
      </c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51" t="n"/>
      <c r="N23" s="51" t="n"/>
      <c r="O23" s="51" t="n">
        <v>1</v>
      </c>
      <c r="P23" s="51" t="n"/>
      <c r="Q23" s="51" t="n"/>
      <c r="R23" s="51" t="n"/>
      <c r="S23" s="51" t="n"/>
      <c r="T23" s="51" t="n"/>
      <c r="U23" s="51" t="n"/>
      <c r="V23" s="49">
        <f>B23*$B$5+C23*$C$5+D23*$D$5+E23*$E$5+F23*$F$5+G23*$G$5+H23*$H$5+I23*$I$5+J23*$J$5+K23*$K$5+L23*$L$5+M23*$M$5+N23*$N$5+O23*$O$5+P23*$P$5+Q23*$Q$5+R23*$R$5+S23*$S$5+T23*$T$5+U23*$U$5</f>
        <v/>
      </c>
      <c r="W23" s="92">
        <f>IFERROR($AA$24*(V23/($W$16)),0)</f>
        <v/>
      </c>
      <c r="X23" s="90">
        <f>SUM(B23:U23)</f>
        <v/>
      </c>
      <c r="Y23" s="92">
        <f>IFERROR(VLOOKUP(X23,AUX_CLAN,4,),0)</f>
        <v/>
      </c>
      <c r="AA23" s="206" t="inlineStr">
        <is>
          <t>Demanda Corrigida</t>
        </is>
      </c>
      <c r="AB23" s="207" t="n"/>
      <c r="AC23" s="206" t="inlineStr">
        <is>
          <t>Demanda Corrigida</t>
        </is>
      </c>
      <c r="AD23" s="207" t="n"/>
      <c r="AE23" s="206" t="inlineStr">
        <is>
          <t>Demanda Corrigida</t>
        </is>
      </c>
      <c r="AF23" s="207" t="n"/>
    </row>
    <row r="24" ht="14.4" customHeight="1" s="179" thickBot="1">
      <c r="A24" s="157" t="n">
        <v>7</v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51" t="n"/>
      <c r="N24" s="51" t="n"/>
      <c r="O24" s="51" t="n">
        <v>3</v>
      </c>
      <c r="P24" s="51" t="n"/>
      <c r="Q24" s="51" t="n"/>
      <c r="R24" s="51" t="n"/>
      <c r="S24" s="51" t="n"/>
      <c r="T24" s="51" t="n"/>
      <c r="U24" s="51" t="n"/>
      <c r="V24" s="49">
        <f>B24*$B$5+C24*$C$5+D24*$D$5+E24*$E$5+F24*$F$5+G24*$G$5+H24*$H$5+I24*$I$5+J24*$J$5+K24*$K$5+L24*$L$5+M24*$M$5+N24*$N$5+O24*$O$5+P24*$P$5+Q24*$Q$5+R24*$R$5+S24*$S$5+T24*$T$5+U24*$U$5</f>
        <v/>
      </c>
      <c r="W24" s="92">
        <f>IFERROR($AA$24*(V24/($W$16)),0)</f>
        <v/>
      </c>
      <c r="X24" s="90">
        <f>SUM(B24:U24)</f>
        <v/>
      </c>
      <c r="Y24" s="92">
        <f>IFERROR(VLOOKUP(X24,AUX_CLAN,4,),0)</f>
        <v/>
      </c>
      <c r="AA24" s="204">
        <f>IF($AA$22="","",$AA$22*AA$20)</f>
        <v/>
      </c>
      <c r="AB24" s="205" t="n"/>
      <c r="AC24" s="204">
        <f>'GERAL PROJ'!I9</f>
        <v/>
      </c>
      <c r="AD24" s="205" t="n"/>
      <c r="AE24" s="204">
        <f>'GERAL PROJ2'!$I$9</f>
        <v/>
      </c>
      <c r="AF24" s="205" t="n"/>
    </row>
    <row r="25">
      <c r="A25" s="157" t="n">
        <v>8</v>
      </c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51" t="n"/>
      <c r="N25" s="51" t="n"/>
      <c r="O25" s="51" t="n">
        <v>7</v>
      </c>
      <c r="P25" s="51" t="n"/>
      <c r="Q25" s="51" t="n"/>
      <c r="R25" s="51" t="n"/>
      <c r="S25" s="51" t="n"/>
      <c r="T25" s="51" t="n"/>
      <c r="U25" s="51" t="n"/>
      <c r="V25" s="49">
        <f>B25*$B$5+C25*$C$5+D25*$D$5+E25*$E$5+F25*$F$5+G25*$G$5+H25*$H$5+I25*$I$5+J25*$J$5+K25*$K$5+L25*$L$5+M25*$M$5+N25*$N$5+O25*$O$5+P25*$P$5+Q25*$Q$5+R25*$R$5+S25*$S$5+T25*$T$5+U25*$U$5</f>
        <v/>
      </c>
      <c r="W25" s="92">
        <f>IFERROR($AA$24*(V25/($W$16)),0)</f>
        <v/>
      </c>
      <c r="X25" s="90">
        <f>SUM(B25:U25)</f>
        <v/>
      </c>
      <c r="Y25" s="92">
        <f>IFERROR(VLOOKUP(X25,AUX_CLAN,4,),0)</f>
        <v/>
      </c>
      <c r="AA25" s="206" t="inlineStr">
        <is>
          <t>TRAFO PROJ</t>
        </is>
      </c>
      <c r="AB25" s="207" t="n"/>
      <c r="AC25" s="206" t="inlineStr">
        <is>
          <t>TRAFO PROJ</t>
        </is>
      </c>
      <c r="AD25" s="207" t="n"/>
      <c r="AE25" s="206" t="inlineStr">
        <is>
          <t>TRAFO PROJ</t>
        </is>
      </c>
      <c r="AF25" s="207" t="n"/>
    </row>
    <row r="26" ht="14.4" customHeight="1" s="179" thickBot="1">
      <c r="A26" s="157" t="n">
        <v>9</v>
      </c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51" t="n"/>
      <c r="N26" s="51" t="n"/>
      <c r="O26" s="51" t="n">
        <v>4</v>
      </c>
      <c r="P26" s="51" t="n"/>
      <c r="Q26" s="51" t="n"/>
      <c r="R26" s="51" t="n"/>
      <c r="S26" s="51" t="n"/>
      <c r="T26" s="51" t="n"/>
      <c r="U26" s="51" t="n"/>
      <c r="V26" s="49">
        <f>B26*$B$5+C26*$C$5+D26*$D$5+E26*$E$5+F26*$F$5+G26*$G$5+H26*$H$5+I26*$I$5+J26*$J$5+K26*$K$5+L26*$L$5+M26*$M$5+N26*$N$5+O26*$O$5+P26*$P$5+Q26*$Q$5+R26*$R$5+S26*$S$5+T26*$T$5+U26*$U$5</f>
        <v/>
      </c>
      <c r="W26" s="92">
        <f>IFERROR($AA$24*(V26/($W$16)),0)</f>
        <v/>
      </c>
      <c r="X26" s="90">
        <f>SUM(B26:U26)</f>
        <v/>
      </c>
      <c r="Y26" s="92">
        <f>IFERROR(VLOOKUP(X26,AUX_CLAN,4,),0)</f>
        <v/>
      </c>
      <c r="AA26" s="204">
        <f>GERAL!O3</f>
        <v/>
      </c>
      <c r="AB26" s="205" t="n"/>
      <c r="AC26" s="204">
        <f>'GERAL PROJ'!O3</f>
        <v/>
      </c>
      <c r="AD26" s="205" t="n"/>
      <c r="AE26" s="204">
        <f>'GERAL PROJ2'!O3</f>
        <v/>
      </c>
      <c r="AF26" s="205" t="n"/>
    </row>
    <row r="27">
      <c r="A27" s="157" t="n">
        <v>10</v>
      </c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51" t="n"/>
      <c r="N27" s="51" t="n"/>
      <c r="O27" s="51" t="n">
        <v>4</v>
      </c>
      <c r="P27" s="51" t="n"/>
      <c r="Q27" s="51" t="n"/>
      <c r="R27" s="51" t="n"/>
      <c r="S27" s="51" t="n"/>
      <c r="T27" s="51" t="n"/>
      <c r="U27" s="51" t="n"/>
      <c r="V27" s="49">
        <f>B27*$B$5+C27*$C$5+D27*$D$5+E27*$E$5+F27*$F$5+G27*$G$5+H27*$H$5+I27*$I$5+J27*$J$5+K27*$K$5+L27*$L$5+M27*$M$5+N27*$N$5+O27*$O$5+P27*$P$5+Q27*$Q$5+R27*$R$5+S27*$S$5+T27*$T$5+U27*$U$5</f>
        <v/>
      </c>
      <c r="W27" s="92">
        <f>IFERROR($AA$24*(V27/($W$16)),0)</f>
        <v/>
      </c>
      <c r="X27" s="90">
        <f>SUM(B27:U27)</f>
        <v/>
      </c>
      <c r="Y27" s="92">
        <f>IFERROR(VLOOKUP(X27,AUX_CLAN,4,),0)</f>
        <v/>
      </c>
      <c r="AA27" s="206" t="inlineStr">
        <is>
          <t>CARREGAMENTO ATUAL</t>
        </is>
      </c>
      <c r="AB27" s="207" t="n"/>
      <c r="AC27" s="206" t="inlineStr">
        <is>
          <t>CARREGAMENTO ATUAL</t>
        </is>
      </c>
      <c r="AD27" s="207" t="n"/>
      <c r="AE27" s="206" t="inlineStr">
        <is>
          <t>CARREGAMENTO ATUAL</t>
        </is>
      </c>
      <c r="AF27" s="207" t="n"/>
    </row>
    <row r="28" ht="14.4" customHeight="1" s="179" thickBot="1">
      <c r="A28" s="157" t="n">
        <v>11</v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51" t="n"/>
      <c r="N28" s="51" t="n"/>
      <c r="O28" s="51" t="n">
        <v>6</v>
      </c>
      <c r="P28" s="51" t="n"/>
      <c r="Q28" s="51" t="n"/>
      <c r="R28" s="51" t="n"/>
      <c r="S28" s="51" t="n"/>
      <c r="T28" s="51" t="n"/>
      <c r="U28" s="51" t="n"/>
      <c r="V28" s="49">
        <f>B28*$B$5+C28*$C$5+D28*$D$5+E28*$E$5+F28*$F$5+G28*$G$5+H28*$H$5+I28*$I$5+J28*$J$5+K28*$K$5+L28*$L$5+M28*$M$5+N28*$N$5+O28*$O$5+P28*$P$5+Q28*$Q$5+R28*$R$5+S28*$S$5+T28*$T$5+U28*$U$5</f>
        <v/>
      </c>
      <c r="W28" s="92">
        <f>IFERROR($AA$24*(V28/($W$16)),0)</f>
        <v/>
      </c>
      <c r="X28" s="90">
        <f>SUM(B28:U28)</f>
        <v/>
      </c>
      <c r="Y28" s="92">
        <f>IFERROR(VLOOKUP(X28,AUX_CLAN,4,),0)</f>
        <v/>
      </c>
      <c r="AA28" s="214">
        <f>AA24/AA26</f>
        <v/>
      </c>
      <c r="AB28" s="205" t="n"/>
      <c r="AC28" s="214">
        <f>AC24/AC26</f>
        <v/>
      </c>
      <c r="AD28" s="205" t="n"/>
      <c r="AE28" s="214">
        <f>AE24/AE26</f>
        <v/>
      </c>
      <c r="AF28" s="205" t="n"/>
    </row>
    <row r="29">
      <c r="A29" s="157" t="n">
        <v>12</v>
      </c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51" t="n"/>
      <c r="N29" s="51" t="n"/>
      <c r="O29" s="51" t="n">
        <v>7</v>
      </c>
      <c r="P29" s="51" t="n"/>
      <c r="Q29" s="51" t="n"/>
      <c r="R29" s="51" t="n"/>
      <c r="S29" s="51" t="n"/>
      <c r="T29" s="162" t="n"/>
      <c r="U29" s="163" t="n"/>
      <c r="V29" s="49">
        <f>B29*$B$5+C29*$C$5+D29*$D$5+E29*$E$5+F29*$F$5+G29*$G$5+H29*$H$5+I29*$I$5+J29*$J$5+K29*$K$5+L29*$L$5+M29*$M$5+N29*$N$5+O29*$O$5+P29*$P$5+Q29*$Q$5+R29*$R$5+S29*$S$5+T29*$T$5+U29*$U$5</f>
        <v/>
      </c>
      <c r="W29" s="92">
        <f>IFERROR($AA$24*(V29/($W$16)),0)</f>
        <v/>
      </c>
      <c r="X29" s="90">
        <f>SUM(B29:U29)</f>
        <v/>
      </c>
      <c r="Y29" s="92">
        <f>IFERROR(VLOOKUP(X29,AUX_CLAN,4,),0)</f>
        <v/>
      </c>
      <c r="AA29" s="206" t="inlineStr">
        <is>
          <t>DMDI (RAMAL)</t>
        </is>
      </c>
      <c r="AB29" s="207" t="n"/>
      <c r="AC29" s="206" t="inlineStr">
        <is>
          <t>DMDI (RAMAL)</t>
        </is>
      </c>
      <c r="AD29" s="207" t="n"/>
      <c r="AE29" s="206" t="inlineStr">
        <is>
          <t>DMDI (RAMAL)</t>
        </is>
      </c>
      <c r="AF29" s="207" t="n"/>
    </row>
    <row r="30" ht="14.4" customHeight="1" s="179" thickBot="1">
      <c r="A30" s="157" t="n">
        <v>13</v>
      </c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51" t="n"/>
      <c r="N30" s="51" t="n"/>
      <c r="O30" s="51" t="n">
        <v>3</v>
      </c>
      <c r="P30" s="51" t="n"/>
      <c r="Q30" s="51" t="n"/>
      <c r="R30" s="51" t="n"/>
      <c r="S30" s="51" t="n"/>
      <c r="T30" s="162" t="n"/>
      <c r="U30" s="163" t="n"/>
      <c r="V30" s="49">
        <f>B30*$B$5+C30*$C$5+D30*$D$5+E30*$E$5+F30*$F$5+G30*$G$5+H30*$H$5+I30*$I$5+J30*$J$5+K30*$K$5+L30*$L$5+M30*$M$5+N30*$N$5+O30*$O$5+P30*$P$5+Q30*$Q$5+R30*$R$5+S30*$S$5+T30*$T$5+U30*$U$5</f>
        <v/>
      </c>
      <c r="W30" s="92">
        <f>IFERROR($AA$24*(V30/($W$16)),0)</f>
        <v/>
      </c>
      <c r="X30" s="90">
        <f>SUM(B30:U30)</f>
        <v/>
      </c>
      <c r="Y30" s="92">
        <f>IFERROR(VLOOKUP(X30,AUX_CLAN,4,),0)</f>
        <v/>
      </c>
      <c r="AA30" s="213">
        <f>IF(GERAL!I2="SIM",RAMAL!$AB$35,AA$24/SUM($X$18:$X$77))</f>
        <v/>
      </c>
      <c r="AB30" s="205" t="n"/>
      <c r="AC30" s="213">
        <f>IF(GERAL!K2="SIM",RAMAL!$AB$35,AC$24/'GERAL PROJ'!G9)</f>
        <v/>
      </c>
      <c r="AD30" s="205" t="n"/>
      <c r="AE30" s="213">
        <f>IF(GERAL!M2="SIM",RAMAL!$AB$35,AE$24/'GERAL PROJ2'!G9)</f>
        <v/>
      </c>
      <c r="AF30" s="205" t="n"/>
    </row>
    <row r="31" ht="14.4" customHeight="1" s="179" thickBot="1">
      <c r="A31" s="157" t="n">
        <v>14</v>
      </c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51" t="n"/>
      <c r="N31" s="51" t="n"/>
      <c r="O31" s="51" t="n">
        <v>5</v>
      </c>
      <c r="P31" s="51" t="n"/>
      <c r="Q31" s="51" t="n"/>
      <c r="R31" s="51" t="n"/>
      <c r="S31" s="51" t="n"/>
      <c r="T31" s="162" t="n"/>
      <c r="U31" s="163" t="n"/>
      <c r="V31" s="49">
        <f>B31*$B$5+C31*$C$5+D31*$D$5+E31*$E$5+F31*$F$5+G31*$G$5+H31*$H$5+I31*$I$5+J31*$J$5+K31*$K$5+L31*$L$5+M31*$M$5+N31*$N$5+O31*$O$5+P31*$P$5+Q31*$Q$5+R31*$R$5+S31*$S$5+T31*$T$5+U31*$U$5</f>
        <v/>
      </c>
      <c r="W31" s="92">
        <f>IFERROR($AA$24*(V31/($W$16)),0)</f>
        <v/>
      </c>
      <c r="X31" s="90">
        <f>SUM(B31:U31)</f>
        <v/>
      </c>
      <c r="Y31" s="92">
        <f>IFERROR(VLOOKUP(X31,AUX_CLAN,4,),0)</f>
        <v/>
      </c>
    </row>
    <row r="32" ht="14.4" customHeight="1" s="179" thickBot="1">
      <c r="A32" s="157" t="n">
        <v>15</v>
      </c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51" t="n"/>
      <c r="N32" s="51" t="n"/>
      <c r="O32" s="51" t="n">
        <v>2</v>
      </c>
      <c r="P32" s="51" t="n"/>
      <c r="Q32" s="51" t="n"/>
      <c r="R32" s="51" t="n"/>
      <c r="S32" s="51" t="n"/>
      <c r="T32" s="162" t="n"/>
      <c r="U32" s="163" t="n"/>
      <c r="V32" s="49">
        <f>B32*$B$5+C32*$C$5+D32*$D$5+E32*$E$5+F32*$F$5+G32*$G$5+H32*$H$5+I32*$I$5+J32*$J$5+K32*$K$5+L32*$L$5+M32*$M$5+N32*$N$5+O32*$O$5+P32*$P$5+Q32*$Q$5+R32*$R$5+S32*$S$5+T32*$T$5+U32*$U$5</f>
        <v/>
      </c>
      <c r="W32" s="92">
        <f>IFERROR($AA$24*(V32/($W$16)),0)</f>
        <v/>
      </c>
      <c r="X32" s="90">
        <f>SUM(B32:U32)</f>
        <v/>
      </c>
      <c r="Y32" s="92">
        <f>IFERROR(VLOOKUP(X32,AUX_CLAN,4,),0)</f>
        <v/>
      </c>
      <c r="AA32" s="210" t="inlineStr">
        <is>
          <t>CLANDESTINOS</t>
        </is>
      </c>
      <c r="AB32" s="207" t="n"/>
    </row>
    <row r="33" ht="14.4" customHeight="1" s="179" thickBot="1">
      <c r="A33" s="157" t="n">
        <v>16</v>
      </c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51" t="n"/>
      <c r="N33" s="51" t="n"/>
      <c r="O33" s="51" t="n"/>
      <c r="P33" s="51" t="n"/>
      <c r="Q33" s="51" t="n"/>
      <c r="R33" s="51" t="n"/>
      <c r="S33" s="51" t="n"/>
      <c r="T33" s="162" t="n"/>
      <c r="U33" s="163" t="n"/>
      <c r="V33" s="49">
        <f>B33*$B$5+C33*$C$5+D33*$D$5+E33*$E$5+F33*$F$5+G33*$G$5+H33*$H$5+I33*$I$5+J33*$J$5+K33*$K$5+L33*$L$5+M33*$M$5+N33*$N$5+O33*$O$5+P33*$P$5+Q33*$Q$5+R33*$R$5+S33*$S$5+T33*$T$5+U33*$U$5</f>
        <v/>
      </c>
      <c r="W33" s="92">
        <f>IFERROR($AA$24*(V33/($W$16)),0)</f>
        <v/>
      </c>
      <c r="X33" s="90">
        <f>SUM(B33:U33)</f>
        <v/>
      </c>
      <c r="Y33" s="92">
        <f>IFERROR(VLOOKUP(X33,AUX_CLAN,4,),0)</f>
        <v/>
      </c>
      <c r="AA33" s="211" t="n"/>
      <c r="AB33" s="212" t="n"/>
    </row>
    <row r="34" ht="14.4" customHeight="1" s="179">
      <c r="A34" s="157" t="n">
        <v>17</v>
      </c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51" t="n"/>
      <c r="N34" s="51" t="n"/>
      <c r="O34" s="51" t="n"/>
      <c r="P34" s="51" t="n"/>
      <c r="Q34" s="51" t="n"/>
      <c r="R34" s="51" t="n"/>
      <c r="S34" s="51" t="n"/>
      <c r="T34" s="162" t="n"/>
      <c r="U34" s="163" t="n"/>
      <c r="V34" s="49">
        <f>B34*$B$5+C34*$C$5+D34*$D$5+E34*$E$5+F34*$F$5+G34*$G$5+H34*$H$5+I34*$I$5+J34*$J$5+K34*$K$5+L34*$L$5+M34*$M$5+N34*$N$5+O34*$O$5+P34*$P$5+Q34*$Q$5+R34*$R$5+S34*$S$5+T34*$T$5+U34*$U$5</f>
        <v/>
      </c>
      <c r="W34" s="92">
        <f>IFERROR($AA$24*(V34/($W$16)),0)</f>
        <v/>
      </c>
      <c r="X34" s="90">
        <f>SUM(B34:U34)</f>
        <v/>
      </c>
      <c r="Y34" s="92">
        <f>IFERROR(VLOOKUP(X34,AUX_CLAN,4,),0)</f>
        <v/>
      </c>
      <c r="AA34" s="44" t="inlineStr">
        <is>
          <t xml:space="preserve">Área (m²) </t>
        </is>
      </c>
      <c r="AB34" s="79">
        <f>GERAL!L2</f>
        <v/>
      </c>
    </row>
    <row r="35">
      <c r="A35" s="157" t="n">
        <v>18</v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51" t="n"/>
      <c r="N35" s="51" t="n"/>
      <c r="O35" s="51" t="n"/>
      <c r="P35" s="51" t="n"/>
      <c r="Q35" s="51" t="n"/>
      <c r="R35" s="51" t="n"/>
      <c r="S35" s="51" t="n"/>
      <c r="T35" s="162" t="n"/>
      <c r="U35" s="163" t="n"/>
      <c r="V35" s="49">
        <f>B35*$B$5+C35*$C$5+D35*$D$5+E35*$E$5+F35*$F$5+G35*$G$5+H35*$H$5+I35*$I$5+J35*$J$5+K35*$K$5+L35*$L$5+M35*$M$5+N35*$N$5+O35*$O$5+P35*$P$5+Q35*$Q$5+R35*$R$5+S35*$S$5+T35*$T$5+U35*$U$5</f>
        <v/>
      </c>
      <c r="W35" s="92">
        <f>IFERROR($AA$24*(V35/($W$16)),0)</f>
        <v/>
      </c>
      <c r="X35" s="90">
        <f>SUM(B35:U35)</f>
        <v/>
      </c>
      <c r="Y35" s="92">
        <f>IFERROR(VLOOKUP(X35,AUX_CLAN,4,),0)</f>
        <v/>
      </c>
      <c r="AA35" s="44" t="inlineStr">
        <is>
          <t>DMDI</t>
        </is>
      </c>
      <c r="AB35" s="9">
        <f>VLOOKUP(AB34,TAB_CLAN_DMDI,2,0)</f>
        <v/>
      </c>
    </row>
    <row r="36">
      <c r="A36" s="157" t="n">
        <v>19</v>
      </c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51" t="n"/>
      <c r="N36" s="51" t="n"/>
      <c r="O36" s="51" t="n"/>
      <c r="P36" s="51" t="n"/>
      <c r="Q36" s="51" t="n"/>
      <c r="R36" s="51" t="n"/>
      <c r="S36" s="51" t="n"/>
      <c r="T36" s="162" t="n"/>
      <c r="U36" s="163" t="n"/>
      <c r="V36" s="49">
        <f>B36*$B$5+C36*$C$5+D36*$D$5+E36*$E$5+F36*$F$5+G36*$G$5+H36*$H$5+I36*$I$5+J36*$J$5+K36*$K$5+L36*$L$5+M36*$M$5+N36*$N$5+O36*$O$5+P36*$P$5+Q36*$Q$5+R36*$R$5+S36*$S$5+T36*$T$5+U36*$U$5</f>
        <v/>
      </c>
      <c r="W36" s="92">
        <f>IFERROR($AA$24*(V36/($W$16)),0)</f>
        <v/>
      </c>
      <c r="X36" s="90">
        <f>SUM(B36:U36)</f>
        <v/>
      </c>
      <c r="Y36" s="92">
        <f>IFERROR(VLOOKUP(X36,AUX_CLAN,4,),0)</f>
        <v/>
      </c>
      <c r="AA36" s="44" t="inlineStr">
        <is>
          <t>QTD CASAS</t>
        </is>
      </c>
      <c r="AB36" s="9">
        <f>X16</f>
        <v/>
      </c>
    </row>
    <row r="37">
      <c r="A37" s="157" t="n">
        <v>20</v>
      </c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51" t="n"/>
      <c r="N37" s="51" t="n"/>
      <c r="O37" s="51" t="n"/>
      <c r="P37" s="51" t="n"/>
      <c r="Q37" s="51" t="n"/>
      <c r="R37" s="51" t="n"/>
      <c r="S37" s="51" t="n"/>
      <c r="T37" s="162" t="n"/>
      <c r="U37" s="163" t="n"/>
      <c r="V37" s="49">
        <f>B37*$B$5+C37*$C$5+D37*$D$5+E37*$E$5+F37*$F$5+G37*$G$5+H37*$H$5+I37*$I$5+J37*$J$5+K37*$K$5+L37*$L$5+M37*$M$5+N37*$N$5+O37*$O$5+P37*$P$5+Q37*$Q$5+R37*$R$5+S37*$S$5+T37*$T$5+U37*$U$5</f>
        <v/>
      </c>
      <c r="W37" s="92">
        <f>IFERROR($AA$24*(V37/($W$16)),0)</f>
        <v/>
      </c>
      <c r="X37" s="90">
        <f>SUM(B37:U37)</f>
        <v/>
      </c>
      <c r="Y37" s="92">
        <f>IFERROR(VLOOKUP(X37,AUX_CLAN,4,),0)</f>
        <v/>
      </c>
      <c r="AA37" s="45" t="inlineStr">
        <is>
          <t>Dem. Prevista</t>
        </is>
      </c>
      <c r="AB37" s="93">
        <f>IFERROR(VLOOKUP(AB36,AUX_CLAN,4,0),0)</f>
        <v/>
      </c>
      <c r="AC37" s="59">
        <f>AB37/0.85</f>
        <v/>
      </c>
      <c r="AD37" s="115">
        <f>AC37/AA26</f>
        <v/>
      </c>
    </row>
    <row r="38">
      <c r="A38" s="157" t="n">
        <v>21</v>
      </c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51" t="n"/>
      <c r="N38" s="51" t="n"/>
      <c r="O38" s="51" t="n"/>
      <c r="P38" s="51" t="n"/>
      <c r="Q38" s="51" t="n"/>
      <c r="R38" s="51" t="n"/>
      <c r="S38" s="51" t="n"/>
      <c r="T38" s="162" t="n"/>
      <c r="U38" s="163" t="n"/>
      <c r="V38" s="49">
        <f>B38*$B$5+C38*$C$5+D38*$D$5+E38*$E$5+F38*$F$5+G38*$G$5+H38*$H$5+I38*$I$5+J38*$J$5+K38*$K$5+L38*$L$5+M38*$M$5+N38*$N$5+O38*$O$5+P38*$P$5+Q38*$Q$5+R38*$R$5+S38*$S$5+T38*$T$5+U38*$U$5</f>
        <v/>
      </c>
      <c r="W38" s="92">
        <f>IFERROR($AA$24*(V38/($W$16)),0)</f>
        <v/>
      </c>
      <c r="X38" s="90">
        <f>SUM(B38:U38)</f>
        <v/>
      </c>
      <c r="Y38" s="92">
        <f>IFERROR(VLOOKUP(X38,AUX_CLAN,4,),0)</f>
        <v/>
      </c>
    </row>
    <row r="39" ht="14.4" customHeight="1" s="179">
      <c r="A39" s="157" t="n">
        <v>22</v>
      </c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51" t="n"/>
      <c r="N39" s="51" t="n"/>
      <c r="O39" s="51" t="n"/>
      <c r="P39" s="51" t="n"/>
      <c r="Q39" s="51" t="n"/>
      <c r="R39" s="51" t="n"/>
      <c r="S39" s="51" t="n"/>
      <c r="T39" s="162" t="n"/>
      <c r="U39" s="163" t="n"/>
      <c r="V39" s="49">
        <f>B39*$B$5+C39*$C$5+D39*$D$5+E39*$E$5+F39*$F$5+G39*$G$5+H39*$H$5+I39*$I$5+J39*$J$5+K39*$K$5+L39*$L$5+M39*$M$5+N39*$N$5+O39*$O$5+P39*$P$5+Q39*$Q$5+R39*$R$5+S39*$S$5+T39*$T$5+U39*$U$5</f>
        <v/>
      </c>
      <c r="W39" s="92">
        <f>IFERROR($AA$24*(V39/($W$16)),0)</f>
        <v/>
      </c>
      <c r="X39" s="90">
        <f>SUM(B39:U39)</f>
        <v/>
      </c>
      <c r="Y39" s="92">
        <f>IFERROR(VLOOKUP(X39,AUX_CLAN,4,),0)</f>
        <v/>
      </c>
    </row>
    <row r="40">
      <c r="A40" s="157" t="n">
        <v>23</v>
      </c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51" t="n"/>
      <c r="N40" s="51" t="n"/>
      <c r="O40" s="51" t="n"/>
      <c r="P40" s="51" t="n"/>
      <c r="Q40" s="51" t="n"/>
      <c r="R40" s="51" t="n"/>
      <c r="S40" s="51" t="n"/>
      <c r="T40" s="162" t="n"/>
      <c r="U40" s="163" t="n"/>
      <c r="V40" s="49">
        <f>B40*$B$5+C40*$C$5+D40*$D$5+E40*$E$5+F40*$F$5+G40*$G$5+H40*$H$5+I40*$I$5+J40*$J$5+K40*$K$5+L40*$L$5+M40*$M$5+N40*$N$5+O40*$O$5+P40*$P$5+Q40*$Q$5+R40*$R$5+S40*$S$5+T40*$T$5+U40*$U$5</f>
        <v/>
      </c>
      <c r="W40" s="92">
        <f>IFERROR($AA$24*(V40/($W$16)),0)</f>
        <v/>
      </c>
      <c r="X40" s="90">
        <f>SUM(B40:U40)</f>
        <v/>
      </c>
      <c r="Y40" s="92">
        <f>IFERROR(VLOOKUP(X40,AUX_CLAN,4,),0)</f>
        <v/>
      </c>
    </row>
    <row r="41">
      <c r="A41" s="157" t="n">
        <v>24</v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51" t="n"/>
      <c r="N41" s="51" t="n"/>
      <c r="O41" s="51" t="n"/>
      <c r="P41" s="51" t="n"/>
      <c r="Q41" s="51" t="n"/>
      <c r="R41" s="51" t="n"/>
      <c r="S41" s="51" t="n"/>
      <c r="T41" s="162" t="n"/>
      <c r="U41" s="163" t="n"/>
      <c r="V41" s="49">
        <f>B41*$B$5+C41*$C$5+D41*$D$5+E41*$E$5+F41*$F$5+G41*$G$5+H41*$H$5+I41*$I$5+J41*$J$5+K41*$K$5+L41*$L$5+M41*$M$5+N41*$N$5+O41*$O$5+P41*$P$5+Q41*$Q$5+R41*$R$5+S41*$S$5+T41*$T$5+U41*$U$5</f>
        <v/>
      </c>
      <c r="W41" s="92">
        <f>IFERROR($AA$24*(V41/($W$16)),0)</f>
        <v/>
      </c>
      <c r="X41" s="90">
        <f>SUM(B41:U41)</f>
        <v/>
      </c>
      <c r="Y41" s="92">
        <f>IFERROR(VLOOKUP(X41,AUX_CLAN,4,),0)</f>
        <v/>
      </c>
    </row>
    <row r="42">
      <c r="A42" s="157" t="n">
        <v>25</v>
      </c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51" t="n"/>
      <c r="N42" s="51" t="n"/>
      <c r="O42" s="51" t="n"/>
      <c r="P42" s="51" t="n"/>
      <c r="Q42" s="51" t="n"/>
      <c r="R42" s="51" t="n"/>
      <c r="S42" s="51" t="n"/>
      <c r="T42" s="162" t="n"/>
      <c r="U42" s="163" t="n"/>
      <c r="V42" s="49">
        <f>B42*$B$5+C42*$C$5+D42*$D$5+E42*$E$5+F42*$F$5+G42*$G$5+H42*$H$5+I42*$I$5+J42*$J$5+K42*$K$5+L42*$L$5+M42*$M$5+N42*$N$5+O42*$O$5+P42*$P$5+Q42*$Q$5+R42*$R$5+S42*$S$5+T42*$T$5+U42*$U$5</f>
        <v/>
      </c>
      <c r="W42" s="92">
        <f>IFERROR($AA$24*(V42/($W$16)),0)</f>
        <v/>
      </c>
      <c r="X42" s="90">
        <f>SUM(B42:U42)</f>
        <v/>
      </c>
      <c r="Y42" s="92">
        <f>IFERROR(VLOOKUP(X42,AUX_CLAN,4,),0)</f>
        <v/>
      </c>
    </row>
    <row r="43">
      <c r="A43" s="157" t="n">
        <v>26</v>
      </c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51" t="n"/>
      <c r="N43" s="51" t="n"/>
      <c r="O43" s="51" t="n"/>
      <c r="P43" s="51" t="n"/>
      <c r="Q43" s="51" t="n"/>
      <c r="R43" s="51" t="n"/>
      <c r="S43" s="51" t="n"/>
      <c r="T43" s="162" t="n"/>
      <c r="U43" s="163" t="n"/>
      <c r="V43" s="49">
        <f>B43*$B$5+C43*$C$5+D43*$D$5+E43*$E$5+F43*$F$5+G43*$G$5+H43*$H$5+I43*$I$5+J43*$J$5+K43*$K$5+L43*$L$5+M43*$M$5+N43*$N$5+O43*$O$5+P43*$P$5+Q43*$Q$5+R43*$R$5+S43*$S$5+T43*$T$5+U43*$U$5</f>
        <v/>
      </c>
      <c r="W43" s="92">
        <f>IFERROR($AA$24*(V43/($W$16)),0)</f>
        <v/>
      </c>
      <c r="X43" s="90">
        <f>SUM(B43:U43)</f>
        <v/>
      </c>
      <c r="Y43" s="92">
        <f>IFERROR(VLOOKUP(X43,AUX_CLAN,4,),0)</f>
        <v/>
      </c>
    </row>
    <row r="44">
      <c r="A44" s="157" t="n">
        <v>27</v>
      </c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51" t="n"/>
      <c r="N44" s="51" t="n"/>
      <c r="O44" s="51" t="n"/>
      <c r="P44" s="51" t="n"/>
      <c r="Q44" s="51" t="n"/>
      <c r="R44" s="51" t="n"/>
      <c r="S44" s="51" t="n"/>
      <c r="T44" s="162" t="n"/>
      <c r="U44" s="163" t="n"/>
      <c r="V44" s="49">
        <f>B44*$B$5+C44*$C$5+D44*$D$5+E44*$E$5+F44*$F$5+G44*$G$5+H44*$H$5+I44*$I$5+J44*$J$5+K44*$K$5+L44*$L$5+M44*$M$5+N44*$N$5+O44*$O$5+P44*$P$5+Q44*$Q$5+R44*$R$5+S44*$S$5+T44*$T$5+U44*$U$5</f>
        <v/>
      </c>
      <c r="W44" s="92">
        <f>IFERROR($AA$24*(V44/($W$16)),0)</f>
        <v/>
      </c>
      <c r="X44" s="90">
        <f>SUM(B44:U44)</f>
        <v/>
      </c>
      <c r="Y44" s="92">
        <f>IFERROR(VLOOKUP(X44,AUX_CLAN,4,),0)</f>
        <v/>
      </c>
    </row>
    <row r="45" ht="14.4" customHeight="1" s="179">
      <c r="A45" s="157" t="n">
        <v>28</v>
      </c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51" t="n"/>
      <c r="N45" s="51" t="n"/>
      <c r="O45" s="51" t="n"/>
      <c r="P45" s="51" t="n"/>
      <c r="Q45" s="51" t="n"/>
      <c r="R45" s="51" t="n"/>
      <c r="S45" s="51" t="n"/>
      <c r="T45" s="162" t="n"/>
      <c r="U45" s="163" t="n"/>
      <c r="V45" s="49">
        <f>B45*$B$5+C45*$C$5+D45*$D$5+E45*$E$5+F45*$F$5+G45*$G$5+H45*$H$5+I45*$I$5+J45*$J$5+K45*$K$5+L45*$L$5+M45*$M$5+N45*$N$5+O45*$O$5+P45*$P$5+Q45*$Q$5+R45*$R$5+S45*$S$5+T45*$T$5+U45*$U$5</f>
        <v/>
      </c>
      <c r="W45" s="92">
        <f>IFERROR($AA$24*(V45/($W$16)),0)</f>
        <v/>
      </c>
      <c r="X45" s="90">
        <f>SUM(B45:U45)</f>
        <v/>
      </c>
      <c r="Y45" s="92">
        <f>IFERROR(VLOOKUP(X45,AUX_CLAN,4,),0)</f>
        <v/>
      </c>
    </row>
    <row r="46">
      <c r="A46" s="157" t="n">
        <v>29</v>
      </c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51" t="n"/>
      <c r="N46" s="51" t="n"/>
      <c r="O46" s="51" t="n"/>
      <c r="P46" s="51" t="n"/>
      <c r="Q46" s="51" t="n"/>
      <c r="R46" s="51" t="n"/>
      <c r="S46" s="51" t="n"/>
      <c r="T46" s="162" t="n"/>
      <c r="U46" s="163" t="n"/>
      <c r="V46" s="49">
        <f>B46*$B$5+C46*$C$5+D46*$D$5+E46*$E$5+F46*$F$5+G46*$G$5+H46*$H$5+I46*$I$5+J46*$J$5+K46*$K$5+L46*$L$5+M46*$M$5+N46*$N$5+O46*$O$5+P46*$P$5+Q46*$Q$5+R46*$R$5+S46*$S$5+T46*$T$5+U46*$U$5</f>
        <v/>
      </c>
      <c r="W46" s="92">
        <f>IFERROR($AA$24*(V46/($W$16)),0)</f>
        <v/>
      </c>
      <c r="X46" s="90">
        <f>SUM(B46:U46)</f>
        <v/>
      </c>
      <c r="Y46" s="92">
        <f>IFERROR(VLOOKUP(X46,AUX_CLAN,4,),0)</f>
        <v/>
      </c>
    </row>
    <row r="47">
      <c r="A47" s="157" t="n">
        <v>30</v>
      </c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51" t="n"/>
      <c r="N47" s="51" t="n"/>
      <c r="O47" s="51" t="n"/>
      <c r="P47" s="51" t="n"/>
      <c r="Q47" s="51" t="n"/>
      <c r="R47" s="51" t="n"/>
      <c r="S47" s="51" t="n"/>
      <c r="T47" s="162" t="n"/>
      <c r="U47" s="163" t="n"/>
      <c r="V47" s="49">
        <f>B47*$B$5+C47*$C$5+D47*$D$5+E47*$E$5+F47*$F$5+G47*$G$5+H47*$H$5+I47*$I$5+J47*$J$5+K47*$K$5+L47*$L$5+M47*$M$5+N47*$N$5+O47*$O$5+P47*$P$5+Q47*$Q$5+R47*$R$5+S47*$S$5+T47*$T$5+U47*$U$5</f>
        <v/>
      </c>
      <c r="W47" s="92">
        <f>IFERROR($AA$24*(V47/($W$16)),0)</f>
        <v/>
      </c>
      <c r="X47" s="90">
        <f>SUM(B47:U47)</f>
        <v/>
      </c>
      <c r="Y47" s="92">
        <f>IFERROR(VLOOKUP(X47,AUX_CLAN,4,),0)</f>
        <v/>
      </c>
    </row>
    <row r="48">
      <c r="A48" s="157" t="n">
        <v>31</v>
      </c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51" t="n"/>
      <c r="N48" s="51" t="n"/>
      <c r="O48" s="51" t="n"/>
      <c r="P48" s="51" t="n"/>
      <c r="Q48" s="51" t="n"/>
      <c r="R48" s="51" t="n"/>
      <c r="S48" s="51" t="n"/>
      <c r="T48" s="162" t="n"/>
      <c r="U48" s="163" t="n"/>
      <c r="V48" s="49">
        <f>B48*$B$5+C48*$C$5+D48*$D$5+E48*$E$5+F48*$F$5+G48*$G$5+H48*$H$5+I48*$I$5+J48*$J$5+K48*$K$5+L48*$L$5+M48*$M$5+N48*$N$5+O48*$O$5+P48*$P$5+Q48*$Q$5+R48*$R$5+S48*$S$5+T48*$T$5+U48*$U$5</f>
        <v/>
      </c>
      <c r="W48" s="92">
        <f>IFERROR($AA$24*(V48/($W$16)),0)</f>
        <v/>
      </c>
      <c r="X48" s="90">
        <f>SUM(B48:U48)</f>
        <v/>
      </c>
      <c r="Y48" s="92">
        <f>IFERROR(VLOOKUP(X48,AUX_CLAN,4,),0)</f>
        <v/>
      </c>
    </row>
    <row r="49">
      <c r="A49" s="157" t="n">
        <v>32</v>
      </c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51" t="n"/>
      <c r="N49" s="51" t="n"/>
      <c r="O49" s="51" t="n"/>
      <c r="P49" s="51" t="n"/>
      <c r="Q49" s="51" t="n"/>
      <c r="R49" s="51" t="n"/>
      <c r="S49" s="51" t="n"/>
      <c r="T49" s="162" t="n"/>
      <c r="U49" s="163" t="n"/>
      <c r="V49" s="49">
        <f>B49*$B$5+C49*$C$5+D49*$D$5+E49*$E$5+F49*$F$5+G49*$G$5+H49*$H$5+I49*$I$5+J49*$J$5+K49*$K$5+L49*$L$5+M49*$M$5+N49*$N$5+O49*$O$5+P49*$P$5+Q49*$Q$5+R49*$R$5+S49*$S$5+T49*$T$5+U49*$U$5</f>
        <v/>
      </c>
      <c r="W49" s="92">
        <f>IFERROR($AA$24*(V49/($W$16)),0)</f>
        <v/>
      </c>
      <c r="X49" s="90">
        <f>SUM(B49:U49)</f>
        <v/>
      </c>
      <c r="Y49" s="92">
        <f>IFERROR(VLOOKUP(X49,AUX_CLAN,4,),0)</f>
        <v/>
      </c>
    </row>
    <row r="50" ht="14.4" customHeight="1" s="179">
      <c r="A50" s="157" t="n">
        <v>33</v>
      </c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51" t="n"/>
      <c r="N50" s="51" t="n"/>
      <c r="O50" s="51" t="n"/>
      <c r="P50" s="51" t="n"/>
      <c r="Q50" s="51" t="n"/>
      <c r="R50" s="51" t="n"/>
      <c r="S50" s="51" t="n"/>
      <c r="T50" s="162" t="n"/>
      <c r="U50" s="163" t="n"/>
      <c r="V50" s="49">
        <f>B50*$B$5+C50*$C$5+D50*$D$5+E50*$E$5+F50*$F$5+G50*$G$5+H50*$H$5+I50*$I$5+J50*$J$5+K50*$K$5+L50*$L$5+M50*$M$5+N50*$N$5+O50*$O$5+P50*$P$5+Q50*$Q$5+R50*$R$5+S50*$S$5+T50*$T$5+U50*$U$5</f>
        <v/>
      </c>
      <c r="W50" s="92">
        <f>IFERROR($AA$24*(V50/($W$16)),0)</f>
        <v/>
      </c>
      <c r="X50" s="90">
        <f>SUM(B50:U50)</f>
        <v/>
      </c>
      <c r="Y50" s="92">
        <f>IFERROR(VLOOKUP(X50,AUX_CLAN,4,),0)</f>
        <v/>
      </c>
    </row>
    <row r="51">
      <c r="A51" s="157" t="n">
        <v>34</v>
      </c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51" t="n"/>
      <c r="N51" s="51" t="n"/>
      <c r="O51" s="51" t="n"/>
      <c r="P51" s="51" t="n"/>
      <c r="Q51" s="51" t="n"/>
      <c r="R51" s="51" t="n"/>
      <c r="S51" s="51" t="n"/>
      <c r="T51" s="162" t="n"/>
      <c r="U51" s="163" t="n"/>
      <c r="V51" s="49">
        <f>B51*$B$5+C51*$C$5+D51*$D$5+E51*$E$5+F51*$F$5+G51*$G$5+H51*$H$5+I51*$I$5+J51*$J$5+K51*$K$5+L51*$L$5+M51*$M$5+N51*$N$5+O51*$O$5+P51*$P$5+Q51*$Q$5+R51*$R$5+S51*$S$5+T51*$T$5+U51*$U$5</f>
        <v/>
      </c>
      <c r="W51" s="92">
        <f>IFERROR($AA$24*(V51/($W$16)),0)</f>
        <v/>
      </c>
      <c r="X51" s="90">
        <f>SUM(B51:U51)</f>
        <v/>
      </c>
      <c r="Y51" s="92">
        <f>IFERROR(VLOOKUP(X51,AUX_CLAN,4,),0)</f>
        <v/>
      </c>
    </row>
    <row r="52">
      <c r="A52" s="157" t="n">
        <v>35</v>
      </c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51" t="n"/>
      <c r="N52" s="51" t="n"/>
      <c r="O52" s="51" t="n"/>
      <c r="P52" s="51" t="n"/>
      <c r="Q52" s="51" t="n"/>
      <c r="R52" s="51" t="n"/>
      <c r="S52" s="51" t="n"/>
      <c r="T52" s="162" t="n"/>
      <c r="U52" s="163" t="n"/>
      <c r="V52" s="49">
        <f>B52*$B$5+C52*$C$5+D52*$D$5+E52*$E$5+F52*$F$5+G52*$G$5+H52*$H$5+I52*$I$5+J52*$J$5+K52*$K$5+L52*$L$5+M52*$M$5+N52*$N$5+O52*$O$5+P52*$P$5+Q52*$Q$5+R52*$R$5+S52*$S$5+T52*$T$5+U52*$U$5</f>
        <v/>
      </c>
      <c r="W52" s="92">
        <f>IFERROR($AA$24*(V52/($W$16)),0)</f>
        <v/>
      </c>
      <c r="X52" s="90">
        <f>SUM(B52:U52)</f>
        <v/>
      </c>
      <c r="Y52" s="92">
        <f>IFERROR(VLOOKUP(X52,AUX_CLAN,4,),0)</f>
        <v/>
      </c>
    </row>
    <row r="53">
      <c r="A53" s="157" t="n">
        <v>36</v>
      </c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51" t="n"/>
      <c r="N53" s="51" t="n"/>
      <c r="O53" s="51" t="n"/>
      <c r="P53" s="51" t="n"/>
      <c r="Q53" s="51" t="n"/>
      <c r="R53" s="51" t="n"/>
      <c r="S53" s="51" t="n"/>
      <c r="T53" s="162" t="n"/>
      <c r="U53" s="163" t="n"/>
      <c r="V53" s="49">
        <f>B53*$B$5+C53*$C$5+D53*$D$5+E53*$E$5+F53*$F$5+G53*$G$5+H53*$H$5+I53*$I$5+J53*$J$5+K53*$K$5+L53*$L$5+M53*$M$5+N53*$N$5+O53*$O$5+P53*$P$5+Q53*$Q$5+R53*$R$5+S53*$S$5+T53*$T$5+U53*$U$5</f>
        <v/>
      </c>
      <c r="W53" s="92">
        <f>IFERROR($AA$24*(V53/($W$16)),0)</f>
        <v/>
      </c>
      <c r="X53" s="90">
        <f>SUM(B53:U53)</f>
        <v/>
      </c>
      <c r="Y53" s="92">
        <f>IFERROR(VLOOKUP(X53,AUX_CLAN,4,),0)</f>
        <v/>
      </c>
    </row>
    <row r="54">
      <c r="A54" s="157" t="n">
        <v>37</v>
      </c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51" t="n"/>
      <c r="N54" s="51" t="n"/>
      <c r="O54" s="51" t="n"/>
      <c r="P54" s="51" t="n"/>
      <c r="Q54" s="51" t="n"/>
      <c r="R54" s="51" t="n"/>
      <c r="S54" s="51" t="n"/>
      <c r="T54" s="162" t="n"/>
      <c r="U54" s="163" t="n"/>
      <c r="V54" s="49">
        <f>B54*$B$5+C54*$C$5+D54*$D$5+E54*$E$5+F54*$F$5+G54*$G$5+H54*$H$5+I54*$I$5+J54*$J$5+K54*$K$5+L54*$L$5+M54*$M$5+N54*$N$5+O54*$O$5+P54*$P$5+Q54*$Q$5+R54*$R$5+S54*$S$5+T54*$T$5+U54*$U$5</f>
        <v/>
      </c>
      <c r="W54" s="92">
        <f>IFERROR($AA$24*(V54/($W$16)),0)</f>
        <v/>
      </c>
      <c r="X54" s="90">
        <f>SUM(B54:U54)</f>
        <v/>
      </c>
      <c r="Y54" s="92">
        <f>IFERROR(VLOOKUP(X54,AUX_CLAN,4,),0)</f>
        <v/>
      </c>
    </row>
    <row r="55">
      <c r="A55" s="157" t="n">
        <v>38</v>
      </c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51" t="n"/>
      <c r="N55" s="51" t="n"/>
      <c r="O55" s="51" t="n"/>
      <c r="P55" s="51" t="n"/>
      <c r="Q55" s="51" t="n"/>
      <c r="R55" s="51" t="n"/>
      <c r="S55" s="51" t="n"/>
      <c r="T55" s="162" t="n"/>
      <c r="U55" s="163" t="n"/>
      <c r="V55" s="49">
        <f>B55*$B$5+C55*$C$5+D55*$D$5+E55*$E$5+F55*$F$5+G55*$G$5+H55*$H$5+I55*$I$5+J55*$J$5+K55*$K$5+L55*$L$5+M55*$M$5+N55*$N$5+O55*$O$5+P55*$P$5+Q55*$Q$5+R55*$R$5+S55*$S$5+T55*$T$5+U55*$U$5</f>
        <v/>
      </c>
      <c r="W55" s="92">
        <f>IFERROR($AA$24*(V55/($W$16)),0)</f>
        <v/>
      </c>
      <c r="X55" s="90">
        <f>SUM(B55:U55)</f>
        <v/>
      </c>
      <c r="Y55" s="92">
        <f>IFERROR(VLOOKUP(X55,AUX_CLAN,4,),0)</f>
        <v/>
      </c>
    </row>
    <row r="56" ht="14.4" customHeight="1" s="179">
      <c r="A56" s="157" t="n">
        <v>39</v>
      </c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51" t="n"/>
      <c r="N56" s="51" t="n"/>
      <c r="O56" s="51" t="n"/>
      <c r="P56" s="51" t="n"/>
      <c r="Q56" s="51" t="n"/>
      <c r="R56" s="51" t="n"/>
      <c r="S56" s="51" t="n"/>
      <c r="T56" s="162" t="n"/>
      <c r="U56" s="163" t="n"/>
      <c r="V56" s="49">
        <f>B56*$B$5+C56*$C$5+D56*$D$5+E56*$E$5+F56*$F$5+G56*$G$5+H56*$H$5+I56*$I$5+J56*$J$5+K56*$K$5+L56*$L$5+M56*$M$5+N56*$N$5+O56*$O$5+P56*$P$5+Q56*$Q$5+R56*$R$5+S56*$S$5+T56*$T$5+U56*$U$5</f>
        <v/>
      </c>
      <c r="W56" s="92">
        <f>IFERROR($AA$24*(V56/($W$16)),0)</f>
        <v/>
      </c>
      <c r="X56" s="90">
        <f>SUM(B56:U56)</f>
        <v/>
      </c>
      <c r="Y56" s="92">
        <f>IFERROR(VLOOKUP(X56,AUX_CLAN,4,),0)</f>
        <v/>
      </c>
    </row>
    <row r="57">
      <c r="A57" s="157" t="n">
        <v>40</v>
      </c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51" t="n"/>
      <c r="N57" s="51" t="n"/>
      <c r="O57" s="51" t="n"/>
      <c r="P57" s="51" t="n"/>
      <c r="Q57" s="51" t="n"/>
      <c r="R57" s="51" t="n"/>
      <c r="S57" s="51" t="n"/>
      <c r="T57" s="162" t="n"/>
      <c r="U57" s="163" t="n"/>
      <c r="V57" s="49">
        <f>B57*$B$5+C57*$C$5+D57*$D$5+E57*$E$5+F57*$F$5+G57*$G$5+H57*$H$5+I57*$I$5+J57*$J$5+K57*$K$5+L57*$L$5+M57*$M$5+N57*$N$5+O57*$O$5+P57*$P$5+Q57*$Q$5+R57*$R$5+S57*$S$5+T57*$T$5+U57*$U$5</f>
        <v/>
      </c>
      <c r="W57" s="92">
        <f>IFERROR($AA$24*(V57/($W$16)),0)</f>
        <v/>
      </c>
      <c r="X57" s="90">
        <f>SUM(B57:U57)</f>
        <v/>
      </c>
      <c r="Y57" s="92">
        <f>IFERROR(VLOOKUP(X57,AUX_CLAN,4,),0)</f>
        <v/>
      </c>
    </row>
    <row r="58">
      <c r="A58" s="157" t="n">
        <v>41</v>
      </c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51" t="n"/>
      <c r="N58" s="51" t="n"/>
      <c r="O58" s="51" t="n"/>
      <c r="P58" s="51" t="n"/>
      <c r="Q58" s="51" t="n"/>
      <c r="R58" s="51" t="n"/>
      <c r="S58" s="51" t="n"/>
      <c r="T58" s="162" t="n"/>
      <c r="U58" s="163" t="n"/>
      <c r="V58" s="49">
        <f>B58*$B$5+C58*$C$5+D58*$D$5+E58*$E$5+F58*$F$5+G58*$G$5+H58*$H$5+I58*$I$5+J58*$J$5+K58*$K$5+L58*$L$5+M58*$M$5+N58*$N$5+O58*$O$5+P58*$P$5+Q58*$Q$5+R58*$R$5+S58*$S$5+T58*$T$5+U58*$U$5</f>
        <v/>
      </c>
      <c r="W58" s="92">
        <f>IFERROR($AA$24*(V58/($W$16)),0)</f>
        <v/>
      </c>
      <c r="X58" s="90">
        <f>SUM(B58:U58)</f>
        <v/>
      </c>
      <c r="Y58" s="92">
        <f>IFERROR(VLOOKUP(X58,AUX_CLAN,4,),0)</f>
        <v/>
      </c>
    </row>
    <row r="59">
      <c r="A59" s="157" t="n">
        <v>42</v>
      </c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51" t="n"/>
      <c r="N59" s="51" t="n"/>
      <c r="O59" s="51" t="n"/>
      <c r="P59" s="51" t="n"/>
      <c r="Q59" s="51" t="n"/>
      <c r="R59" s="51" t="n"/>
      <c r="S59" s="51" t="n"/>
      <c r="T59" s="162" t="n"/>
      <c r="U59" s="163" t="n"/>
      <c r="V59" s="49">
        <f>B59*$B$5+C59*$C$5+D59*$D$5+E59*$E$5+F59*$F$5+G59*$G$5+H59*$H$5+I59*$I$5+J59*$J$5+K59*$K$5+L59*$L$5+M59*$M$5+N59*$N$5+O59*$O$5+P59*$P$5+Q59*$Q$5+R59*$R$5+S59*$S$5+T59*$T$5+U59*$U$5</f>
        <v/>
      </c>
      <c r="W59" s="92">
        <f>IFERROR($AA$24*(V59/($W$16)),0)</f>
        <v/>
      </c>
      <c r="X59" s="90">
        <f>SUM(B59:U59)</f>
        <v/>
      </c>
      <c r="Y59" s="92">
        <f>IFERROR(VLOOKUP(X59,AUX_CLAN,4,),0)</f>
        <v/>
      </c>
    </row>
    <row r="60">
      <c r="A60" s="157" t="n">
        <v>43</v>
      </c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51" t="n"/>
      <c r="N60" s="51" t="n"/>
      <c r="O60" s="51" t="n"/>
      <c r="P60" s="51" t="n"/>
      <c r="Q60" s="51" t="n"/>
      <c r="R60" s="51" t="n"/>
      <c r="S60" s="51" t="n"/>
      <c r="T60" s="162" t="n"/>
      <c r="U60" s="163" t="n"/>
      <c r="V60" s="49">
        <f>B60*$B$5+C60*$C$5+D60*$D$5+E60*$E$5+F60*$F$5+G60*$G$5+H60*$H$5+I60*$I$5+J60*$J$5+K60*$K$5+L60*$L$5+M60*$M$5+N60*$N$5+O60*$O$5+P60*$P$5+Q60*$Q$5+R60*$R$5+S60*$S$5+T60*$T$5+U60*$U$5</f>
        <v/>
      </c>
      <c r="W60" s="92">
        <f>IFERROR($AA$24*(V60/($W$16)),0)</f>
        <v/>
      </c>
      <c r="X60" s="90">
        <f>SUM(B60:U60)</f>
        <v/>
      </c>
      <c r="Y60" s="92">
        <f>IFERROR(VLOOKUP(X60,AUX_CLAN,4,),0)</f>
        <v/>
      </c>
    </row>
    <row r="61" ht="14.4" customHeight="1" s="179">
      <c r="A61" s="157" t="n">
        <v>44</v>
      </c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51" t="n"/>
      <c r="N61" s="51" t="n"/>
      <c r="O61" s="51" t="n"/>
      <c r="P61" s="51" t="n"/>
      <c r="Q61" s="51" t="n"/>
      <c r="R61" s="51" t="n"/>
      <c r="S61" s="51" t="n"/>
      <c r="T61" s="162" t="n"/>
      <c r="U61" s="163" t="n"/>
      <c r="V61" s="49">
        <f>B61*$B$5+C61*$C$5+D61*$D$5+E61*$E$5+F61*$F$5+G61*$G$5+H61*$H$5+I61*$I$5+J61*$J$5+K61*$K$5+L61*$L$5+M61*$M$5+N61*$N$5+O61*$O$5+P61*$P$5+Q61*$Q$5+R61*$R$5+S61*$S$5+T61*$T$5+U61*$U$5</f>
        <v/>
      </c>
      <c r="W61" s="92">
        <f>IFERROR($AA$24*(V61/($W$16)),0)</f>
        <v/>
      </c>
      <c r="X61" s="90">
        <f>SUM(B61:U61)</f>
        <v/>
      </c>
      <c r="Y61" s="92">
        <f>IFERROR(VLOOKUP(X61,AUX_CLAN,4,),0)</f>
        <v/>
      </c>
    </row>
    <row r="62">
      <c r="A62" s="157" t="n">
        <v>45</v>
      </c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51" t="n"/>
      <c r="N62" s="51" t="n"/>
      <c r="O62" s="51" t="n"/>
      <c r="P62" s="51" t="n"/>
      <c r="Q62" s="51" t="n"/>
      <c r="R62" s="51" t="n"/>
      <c r="S62" s="51" t="n"/>
      <c r="T62" s="162" t="n"/>
      <c r="U62" s="163" t="n"/>
      <c r="V62" s="49">
        <f>B62*$B$5+C62*$C$5+D62*$D$5+E62*$E$5+F62*$F$5+G62*$G$5+H62*$H$5+I62*$I$5+J62*$J$5+K62*$K$5+L62*$L$5+M62*$M$5+N62*$N$5+O62*$O$5+P62*$P$5+Q62*$Q$5+R62*$R$5+S62*$S$5+T62*$T$5+U62*$U$5</f>
        <v/>
      </c>
      <c r="W62" s="92">
        <f>IFERROR($AA$24*(V62/($W$16)),0)</f>
        <v/>
      </c>
      <c r="X62" s="90">
        <f>SUM(B62:U62)</f>
        <v/>
      </c>
      <c r="Y62" s="92">
        <f>IFERROR(VLOOKUP(X62,AUX_CLAN,4,),0)</f>
        <v/>
      </c>
    </row>
    <row r="63">
      <c r="A63" s="157" t="n">
        <v>46</v>
      </c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51" t="n"/>
      <c r="N63" s="51" t="n"/>
      <c r="O63" s="51" t="n"/>
      <c r="P63" s="51" t="n"/>
      <c r="Q63" s="51" t="n"/>
      <c r="R63" s="51" t="n"/>
      <c r="S63" s="51" t="n"/>
      <c r="T63" s="162" t="n"/>
      <c r="U63" s="163" t="n"/>
      <c r="V63" s="49">
        <f>B63*$B$5+C63*$C$5+D63*$D$5+E63*$E$5+F63*$F$5+G63*$G$5+H63*$H$5+I63*$I$5+J63*$J$5+K63*$K$5+L63*$L$5+M63*$M$5+N63*$N$5+O63*$O$5+P63*$P$5+Q63*$Q$5+R63*$R$5+S63*$S$5+T63*$T$5+U63*$U$5</f>
        <v/>
      </c>
      <c r="W63" s="92">
        <f>IFERROR($AA$24*(V63/($W$16)),0)</f>
        <v/>
      </c>
      <c r="X63" s="90">
        <f>SUM(B63:U63)</f>
        <v/>
      </c>
      <c r="Y63" s="92">
        <f>IFERROR(VLOOKUP(X63,AUX_CLAN,4,),0)</f>
        <v/>
      </c>
    </row>
    <row r="64" customFormat="1" s="104">
      <c r="A64" s="158" t="n">
        <v>47</v>
      </c>
      <c r="B64" s="101" t="n"/>
      <c r="C64" s="101" t="n"/>
      <c r="D64" s="101" t="n"/>
      <c r="E64" s="101" t="n"/>
      <c r="F64" s="101" t="n"/>
      <c r="G64" s="101" t="n"/>
      <c r="H64" s="101" t="n"/>
      <c r="I64" s="101" t="n"/>
      <c r="J64" s="101" t="n"/>
      <c r="K64" s="101" t="n"/>
      <c r="L64" s="101" t="n"/>
      <c r="M64" s="102" t="n"/>
      <c r="N64" s="102" t="n"/>
      <c r="O64" s="102" t="n"/>
      <c r="P64" s="102" t="n"/>
      <c r="Q64" s="102" t="n"/>
      <c r="R64" s="102" t="n"/>
      <c r="S64" s="102" t="n"/>
      <c r="T64" s="164" t="n"/>
      <c r="U64" s="165" t="n"/>
      <c r="V64" s="103">
        <f>B64*$B$5+C64*$C$5+D64*$D$5+E64*$E$5+F64*$F$5+G64*$G$5+H64*$H$5+I64*$I$5+J64*$J$5+K64*$K$5+L64*$L$5+M64*$M$5+N64*$N$5+O64*$O$5+P64*$P$5+Q64*$Q$5+R64*$R$5+S64*$S$5+T64*$T$5+U64*$U$5</f>
        <v/>
      </c>
      <c r="W64" s="159">
        <f>IFERROR($AA$24*(V64/($W$16)),0)</f>
        <v/>
      </c>
      <c r="X64" s="160">
        <f>SUM(B64:U64)</f>
        <v/>
      </c>
      <c r="Y64" s="159">
        <f>IFERROR(VLOOKUP(X64,AUX_CLAN,4,),0)</f>
        <v/>
      </c>
    </row>
    <row r="65">
      <c r="A65" s="157" t="n">
        <v>48</v>
      </c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51" t="n"/>
      <c r="N65" s="51" t="n"/>
      <c r="O65" s="51" t="n"/>
      <c r="P65" s="51" t="n"/>
      <c r="Q65" s="51" t="n"/>
      <c r="R65" s="51" t="n"/>
      <c r="S65" s="51" t="n"/>
      <c r="T65" s="162" t="n"/>
      <c r="U65" s="163" t="n"/>
      <c r="V65" s="49">
        <f>B65*$B$5+C65*$C$5+D65*$D$5+E65*$E$5+F65*$F$5+G65*$G$5+H65*$H$5+I65*$I$5+J65*$J$5+K65*$K$5+L65*$L$5+M65*$M$5+N65*$N$5+O65*$O$5+P65*$P$5+Q65*$Q$5+R65*$R$5+S65*$S$5+T65*$T$5+U65*$U$5</f>
        <v/>
      </c>
      <c r="W65" s="92">
        <f>IFERROR($AA$24*(V65/($W$16)),0)</f>
        <v/>
      </c>
      <c r="X65" s="90">
        <f>SUM(B65:U65)</f>
        <v/>
      </c>
      <c r="Y65" s="92">
        <f>IFERROR(VLOOKUP(X65,AUX_CLAN,4,),0)</f>
        <v/>
      </c>
    </row>
    <row r="66">
      <c r="A66" s="157" t="n">
        <v>49</v>
      </c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51" t="n"/>
      <c r="N66" s="51" t="n"/>
      <c r="O66" s="51" t="n"/>
      <c r="P66" s="51" t="n"/>
      <c r="Q66" s="51" t="n"/>
      <c r="R66" s="51" t="n"/>
      <c r="S66" s="51" t="n"/>
      <c r="T66" s="162" t="n"/>
      <c r="U66" s="163" t="n"/>
      <c r="V66" s="49">
        <f>B66*$B$5+C66*$C$5+D66*$D$5+E66*$E$5+F66*$F$5+G66*$G$5+H66*$H$5+I66*$I$5+J66*$J$5+K66*$K$5+L66*$L$5+M66*$M$5+N66*$N$5+O66*$O$5+P66*$P$5+Q66*$Q$5+R66*$R$5+S66*$S$5+T66*$T$5+U66*$U$5</f>
        <v/>
      </c>
      <c r="W66" s="92">
        <f>IFERROR($AA$24*(V66/($W$16)),0)</f>
        <v/>
      </c>
      <c r="X66" s="90">
        <f>SUM(B66:U66)</f>
        <v/>
      </c>
      <c r="Y66" s="92">
        <f>IFERROR(VLOOKUP(X66,AUX_CLAN,4,),0)</f>
        <v/>
      </c>
    </row>
    <row r="67" ht="14.4" customHeight="1" s="179">
      <c r="A67" s="157" t="n">
        <v>50</v>
      </c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51" t="n"/>
      <c r="N67" s="51" t="n"/>
      <c r="O67" s="51" t="n"/>
      <c r="P67" s="51" t="n"/>
      <c r="Q67" s="51" t="n"/>
      <c r="R67" s="51" t="n"/>
      <c r="S67" s="51" t="n"/>
      <c r="T67" s="162" t="n"/>
      <c r="U67" s="163" t="n"/>
      <c r="V67" s="49">
        <f>B67*$B$5+C67*$C$5+D67*$D$5+E67*$E$5+F67*$F$5+G67*$G$5+H67*$H$5+I67*$I$5+J67*$J$5+K67*$K$5+L67*$L$5+M67*$M$5+N67*$N$5+O67*$O$5+P67*$P$5+Q67*$Q$5+R67*$R$5+S67*$S$5+T67*$T$5+U67*$U$5</f>
        <v/>
      </c>
      <c r="W67" s="92">
        <f>IFERROR($AA$24*(V67/($W$16)),0)</f>
        <v/>
      </c>
      <c r="X67" s="90">
        <f>SUM(B67:U67)</f>
        <v/>
      </c>
      <c r="Y67" s="92">
        <f>IFERROR(VLOOKUP(X67,AUX_CLAN,4,),0)</f>
        <v/>
      </c>
    </row>
    <row r="68">
      <c r="A68" s="157" t="n">
        <v>51</v>
      </c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51" t="n"/>
      <c r="N68" s="51" t="n"/>
      <c r="O68" s="51" t="n"/>
      <c r="P68" s="51" t="n"/>
      <c r="Q68" s="51" t="n"/>
      <c r="R68" s="51" t="n"/>
      <c r="S68" s="51" t="n"/>
      <c r="T68" s="162" t="n"/>
      <c r="U68" s="163" t="n"/>
      <c r="V68" s="49">
        <f>B68*$B$5+C68*$C$5+D68*$D$5+E68*$E$5+F68*$F$5+G68*$G$5+H68*$H$5+I68*$I$5+J68*$J$5+K68*$K$5+L68*$L$5+M68*$M$5+N68*$N$5+O68*$O$5+P68*$P$5+Q68*$Q$5+R68*$R$5+S68*$S$5+T68*$T$5+U68*$U$5</f>
        <v/>
      </c>
      <c r="W68" s="92">
        <f>IFERROR($AA$24*(V68/($W$16)),0)</f>
        <v/>
      </c>
      <c r="X68" s="90">
        <f>SUM(B68:U68)</f>
        <v/>
      </c>
      <c r="Y68" s="92">
        <f>IFERROR(VLOOKUP(X68,AUX_CLAN,4,),0)</f>
        <v/>
      </c>
    </row>
    <row r="69">
      <c r="A69" s="157" t="n">
        <v>52</v>
      </c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51" t="n"/>
      <c r="N69" s="51" t="n"/>
      <c r="O69" s="51" t="n"/>
      <c r="P69" s="51" t="n"/>
      <c r="Q69" s="51" t="n"/>
      <c r="R69" s="51" t="n"/>
      <c r="S69" s="51" t="n"/>
      <c r="T69" s="162" t="n"/>
      <c r="U69" s="163" t="n"/>
      <c r="V69" s="49">
        <f>B69*$B$5+C69*$C$5+D69*$D$5+E69*$E$5+F69*$F$5+G69*$G$5+H69*$H$5+I69*$I$5+J69*$J$5+K69*$K$5+L69*$L$5+M69*$M$5+N69*$N$5+O69*$O$5+P69*$P$5+Q69*$Q$5+R69*$R$5+S69*$S$5+T69*$T$5+U69*$U$5</f>
        <v/>
      </c>
      <c r="W69" s="92">
        <f>IFERROR($AA$24*(V69/($W$16)),0)</f>
        <v/>
      </c>
      <c r="X69" s="90">
        <f>SUM(B69:U69)</f>
        <v/>
      </c>
      <c r="Y69" s="92">
        <f>IFERROR(VLOOKUP(X69,AUX_CLAN,4,),0)</f>
        <v/>
      </c>
    </row>
    <row r="70">
      <c r="A70" s="157" t="n">
        <v>53</v>
      </c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51" t="n"/>
      <c r="N70" s="51" t="n"/>
      <c r="O70" s="51" t="n"/>
      <c r="P70" s="51" t="n"/>
      <c r="Q70" s="51" t="n"/>
      <c r="R70" s="51" t="n"/>
      <c r="S70" s="51" t="n"/>
      <c r="T70" s="162" t="n"/>
      <c r="U70" s="163" t="n"/>
      <c r="V70" s="49">
        <f>B70*$B$5+C70*$C$5+D70*$D$5+E70*$E$5+F70*$F$5+G70*$G$5+H70*$H$5+I70*$I$5+J70*$J$5+K70*$K$5+L70*$L$5+M70*$M$5+N70*$N$5+O70*$O$5+P70*$P$5+Q70*$Q$5+R70*$R$5+S70*$S$5+T70*$T$5+U70*$U$5</f>
        <v/>
      </c>
      <c r="W70" s="92">
        <f>IFERROR($AA$24*(V70/($W$16)),0)</f>
        <v/>
      </c>
      <c r="X70" s="90">
        <f>SUM(B70:U70)</f>
        <v/>
      </c>
      <c r="Y70" s="92">
        <f>IFERROR(VLOOKUP(X70,AUX_CLAN,4,),0)</f>
        <v/>
      </c>
    </row>
    <row r="71">
      <c r="A71" s="157" t="n">
        <v>54</v>
      </c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51" t="n"/>
      <c r="N71" s="51" t="n"/>
      <c r="O71" s="51" t="n"/>
      <c r="P71" s="51" t="n"/>
      <c r="Q71" s="51" t="n"/>
      <c r="R71" s="51" t="n"/>
      <c r="S71" s="51" t="n"/>
      <c r="T71" s="162" t="n"/>
      <c r="U71" s="163" t="n"/>
      <c r="V71" s="49">
        <f>B71*$B$5+C71*$C$5+D71*$D$5+E71*$E$5+F71*$F$5+G71*$G$5+H71*$H$5+I71*$I$5+J71*$J$5+K71*$K$5+L71*$L$5+M71*$M$5+N71*$N$5+O71*$O$5+P71*$P$5+Q71*$Q$5+R71*$R$5+S71*$S$5+T71*$T$5+U71*$U$5</f>
        <v/>
      </c>
      <c r="W71" s="92">
        <f>IFERROR($AA$24*(V71/($W$16)),0)</f>
        <v/>
      </c>
      <c r="X71" s="90">
        <f>SUM(B71:U71)</f>
        <v/>
      </c>
      <c r="Y71" s="92">
        <f>IFERROR(VLOOKUP(X71,AUX_CLAN,4,),0)</f>
        <v/>
      </c>
    </row>
    <row r="72" ht="14.4" customHeight="1" s="179">
      <c r="A72" s="157" t="n">
        <v>55</v>
      </c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51" t="n"/>
      <c r="N72" s="51" t="n"/>
      <c r="O72" s="51" t="n"/>
      <c r="P72" s="51" t="n"/>
      <c r="Q72" s="51" t="n"/>
      <c r="R72" s="51" t="n"/>
      <c r="S72" s="51" t="n"/>
      <c r="T72" s="162" t="n"/>
      <c r="U72" s="163" t="n"/>
      <c r="V72" s="49">
        <f>B72*$B$5+C72*$C$5+D72*$D$5+E72*$E$5+F72*$F$5+G72*$G$5+H72*$H$5+I72*$I$5+J72*$J$5+K72*$K$5+L72*$L$5+M72*$M$5+N72*$N$5+O72*$O$5+P72*$P$5+Q72*$Q$5+R72*$R$5+S72*$S$5+T72*$T$5+U72*$U$5</f>
        <v/>
      </c>
      <c r="W72" s="92">
        <f>IFERROR($AA$24*(V72/($W$16)),0)</f>
        <v/>
      </c>
      <c r="X72" s="90">
        <f>SUM(B72:U72)</f>
        <v/>
      </c>
      <c r="Y72" s="92">
        <f>IFERROR(VLOOKUP(X72,AUX_CLAN,4,),0)</f>
        <v/>
      </c>
    </row>
    <row r="73">
      <c r="A73" s="157" t="n">
        <v>56</v>
      </c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51" t="n"/>
      <c r="N73" s="51" t="n"/>
      <c r="O73" s="51" t="n"/>
      <c r="P73" s="51" t="n"/>
      <c r="Q73" s="51" t="n"/>
      <c r="R73" s="51" t="n"/>
      <c r="S73" s="51" t="n"/>
      <c r="T73" s="162" t="n"/>
      <c r="U73" s="163" t="n"/>
      <c r="V73" s="49">
        <f>B73*$B$5+C73*$C$5+D73*$D$5+E73*$E$5+F73*$F$5+G73*$G$5+H73*$H$5+I73*$I$5+J73*$J$5+K73*$K$5+L73*$L$5+M73*$M$5+N73*$N$5+O73*$O$5+P73*$P$5+Q73*$Q$5+R73*$R$5+S73*$S$5+T73*$T$5+U73*$U$5</f>
        <v/>
      </c>
      <c r="W73" s="92">
        <f>IFERROR($AA$24*(V73/($W$16)),0)</f>
        <v/>
      </c>
      <c r="X73" s="90">
        <f>SUM(B73:U73)</f>
        <v/>
      </c>
      <c r="Y73" s="92">
        <f>IFERROR(VLOOKUP(X73,AUX_CLAN,4,),0)</f>
        <v/>
      </c>
    </row>
    <row r="74">
      <c r="A74" s="157" t="n">
        <v>57</v>
      </c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51" t="n"/>
      <c r="N74" s="51" t="n"/>
      <c r="O74" s="51" t="n"/>
      <c r="P74" s="51" t="n"/>
      <c r="Q74" s="51" t="n"/>
      <c r="R74" s="51" t="n"/>
      <c r="S74" s="51" t="n"/>
      <c r="T74" s="162" t="n"/>
      <c r="U74" s="163" t="n"/>
      <c r="V74" s="49">
        <f>B74*$B$5+C74*$C$5+D74*$D$5+E74*$E$5+F74*$F$5+G74*$G$5+H74*$H$5+I74*$I$5+J74*$J$5+K74*$K$5+L74*$L$5+M74*$M$5+N74*$N$5+O74*$O$5+P74*$P$5+Q74*$Q$5+R74*$R$5+S74*$S$5+T74*$T$5+U74*$U$5</f>
        <v/>
      </c>
      <c r="W74" s="92">
        <f>IFERROR($AA$24*(V74/($W$16)),0)</f>
        <v/>
      </c>
      <c r="X74" s="90">
        <f>SUM(B74:U74)</f>
        <v/>
      </c>
      <c r="Y74" s="92">
        <f>IFERROR(VLOOKUP(X74,AUX_CLAN,4,),0)</f>
        <v/>
      </c>
    </row>
    <row r="75">
      <c r="A75" s="157" t="n">
        <v>58</v>
      </c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51" t="n"/>
      <c r="N75" s="51" t="n"/>
      <c r="O75" s="51" t="n"/>
      <c r="P75" s="51" t="n"/>
      <c r="Q75" s="51" t="n"/>
      <c r="R75" s="51" t="n"/>
      <c r="S75" s="51" t="n"/>
      <c r="T75" s="162" t="n"/>
      <c r="U75" s="163" t="n"/>
      <c r="V75" s="49">
        <f>B75*$B$5+C75*$C$5+D75*$D$5+E75*$E$5+F75*$F$5+G75*$G$5+H75*$H$5+I75*$I$5+J75*$J$5+K75*$K$5+L75*$L$5+M75*$M$5+N75*$N$5+O75*$O$5+P75*$P$5+Q75*$Q$5+R75*$R$5+S75*$S$5+T75*$T$5+U75*$U$5</f>
        <v/>
      </c>
      <c r="W75" s="92">
        <f>IFERROR($AA$24*(V75/($W$16)),0)</f>
        <v/>
      </c>
      <c r="X75" s="90">
        <f>SUM(B75:U75)</f>
        <v/>
      </c>
      <c r="Y75" s="92">
        <f>IFERROR(VLOOKUP(X75,AUX_CLAN,4,),0)</f>
        <v/>
      </c>
    </row>
    <row r="76">
      <c r="A76" s="157" t="n">
        <v>59</v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51" t="n"/>
      <c r="N76" s="51" t="n"/>
      <c r="O76" s="51" t="n"/>
      <c r="P76" s="51" t="n"/>
      <c r="Q76" s="51" t="n"/>
      <c r="R76" s="51" t="n"/>
      <c r="S76" s="51" t="n"/>
      <c r="T76" s="162" t="n"/>
      <c r="U76" s="163" t="n"/>
      <c r="V76" s="49">
        <f>B76*$B$5+C76*$C$5+D76*$D$5+E76*$E$5+F76*$F$5+G76*$G$5+H76*$H$5+I76*$I$5+J76*$J$5+K76*$K$5+L76*$L$5+M76*$M$5+N76*$N$5+O76*$O$5+P76*$P$5+Q76*$Q$5+R76*$R$5+S76*$S$5+T76*$T$5+U76*$U$5</f>
        <v/>
      </c>
      <c r="W76" s="92">
        <f>IFERROR($AA$24*(V76/($W$16)),0)</f>
        <v/>
      </c>
      <c r="X76" s="90">
        <f>SUM(B76:U76)</f>
        <v/>
      </c>
      <c r="Y76" s="92">
        <f>IFERROR(VLOOKUP(X76,AUX_CLAN,4,),0)</f>
        <v/>
      </c>
    </row>
    <row r="77" ht="14.4" customHeight="1" s="179">
      <c r="A77" s="157" t="n">
        <v>60</v>
      </c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51" t="n"/>
      <c r="N77" s="51" t="n"/>
      <c r="O77" s="51" t="n"/>
      <c r="P77" s="51" t="n"/>
      <c r="Q77" s="51" t="n"/>
      <c r="R77" s="51" t="n"/>
      <c r="S77" s="51" t="n"/>
      <c r="T77" s="162" t="n"/>
      <c r="U77" s="163" t="n"/>
      <c r="V77" s="49">
        <f>B77*$B$5+C77*$C$5+D77*$D$5+E77*$E$5+F77*$F$5+G77*$G$5+H77*$H$5+I77*$I$5+J77*$J$5+K77*$K$5+L77*$L$5+M77*$M$5+N77*$N$5+O77*$O$5+P77*$P$5+Q77*$Q$5+R77*$R$5+S77*$S$5+T77*$T$5+U77*$U$5</f>
        <v/>
      </c>
      <c r="W77" s="92">
        <f>IFERROR($AA$24*(V77/($W$16)),0)</f>
        <v/>
      </c>
      <c r="X77" s="90">
        <f>SUM(B77:U77)</f>
        <v/>
      </c>
      <c r="Y77" s="92">
        <f>IFERROR(VLOOKUP(X77,AUX_CLAN,4,),0)</f>
        <v/>
      </c>
    </row>
    <row r="78">
      <c r="W78" s="9" t="n"/>
    </row>
  </sheetData>
  <scenarios current="0">
    <scenario name="TESTES" locked="1" hidden="0" user="Jonatas Lampa" comment="Criado por Jonatas Lampa em 03/04/2026" count="1">
      <inputCells r="AA18" deleted="0" undone="0" val="183,6" numFmtId="2"/>
    </scenario>
  </scenarios>
  <mergeCells count="53">
    <mergeCell ref="AE26:AF26"/>
    <mergeCell ref="AC17:AD17"/>
    <mergeCell ref="Y15:Y16"/>
    <mergeCell ref="M2:U2"/>
    <mergeCell ref="AA29:AB29"/>
    <mergeCell ref="AE20:AF20"/>
    <mergeCell ref="AE25:AF25"/>
    <mergeCell ref="AA28:AB28"/>
    <mergeCell ref="A7:A8"/>
    <mergeCell ref="AC28:AD28"/>
    <mergeCell ref="AA19:AB19"/>
    <mergeCell ref="AE22:AF22"/>
    <mergeCell ref="AA27:AB27"/>
    <mergeCell ref="AC18:AD18"/>
    <mergeCell ref="AE18:AF18"/>
    <mergeCell ref="AA30:AB30"/>
    <mergeCell ref="AE21:AF21"/>
    <mergeCell ref="AC30:AD30"/>
    <mergeCell ref="AA24:AB24"/>
    <mergeCell ref="AE15:AF16"/>
    <mergeCell ref="A3:A4"/>
    <mergeCell ref="AC24:AD24"/>
    <mergeCell ref="B2:L2"/>
    <mergeCell ref="AC23:AD23"/>
    <mergeCell ref="AE23:AF23"/>
    <mergeCell ref="AA32:AB33"/>
    <mergeCell ref="AA26:AB26"/>
    <mergeCell ref="AA23:AB23"/>
    <mergeCell ref="AE17:AF17"/>
    <mergeCell ref="AC26:AD26"/>
    <mergeCell ref="AC29:AD29"/>
    <mergeCell ref="AA20:AB20"/>
    <mergeCell ref="AE29:AF29"/>
    <mergeCell ref="AC20:AD20"/>
    <mergeCell ref="AA25:AB25"/>
    <mergeCell ref="AE28:AF28"/>
    <mergeCell ref="AC25:AD25"/>
    <mergeCell ref="AC19:AD19"/>
    <mergeCell ref="AE19:AF19"/>
    <mergeCell ref="AC22:AD22"/>
    <mergeCell ref="AA18:AB18"/>
    <mergeCell ref="AA21:AB21"/>
    <mergeCell ref="AE30:AF30"/>
    <mergeCell ref="AC21:AD21"/>
    <mergeCell ref="A15:U15"/>
    <mergeCell ref="AA15:AB16"/>
    <mergeCell ref="AE24:AF24"/>
    <mergeCell ref="AC15:AD16"/>
    <mergeCell ref="AC27:AD27"/>
    <mergeCell ref="AE27:AF27"/>
    <mergeCell ref="A1:U1"/>
    <mergeCell ref="AA22:AB22"/>
    <mergeCell ref="AA17:AB17"/>
  </mergeCells>
  <dataValidations disablePrompts="1" count="1">
    <dataValidation sqref="A18:T77" showDropDown="0" showInputMessage="1" showErrorMessage="1" allowBlank="1" errorTitle="Valor invalido" error="Use apenas inteiros maiores ou iguais a zero na grade de ramais." promptTitle="Entrada de ramal" prompt="Informe quantidade inteira maior ou igual a zero." type="whole">
      <formula1>0</formula1>
      <formula2>10000</formula2>
    </dataValidation>
  </dataValidation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Planilha3">
    <outlinePr summaryBelow="1" summaryRight="1"/>
    <pageSetUpPr/>
  </sheetPr>
  <dimension ref="A2:Q454"/>
  <sheetViews>
    <sheetView showGridLines="0" zoomScale="85" zoomScaleNormal="85" workbookViewId="0">
      <pane ySplit="8" topLeftCell="A9" activePane="bottomLeft" state="frozen"/>
      <selection activeCell="A9" sqref="A9:A21"/>
      <selection pane="bottomLeft" activeCell="I9" sqref="A9:M9"/>
    </sheetView>
  </sheetViews>
  <sheetFormatPr baseColWidth="8" defaultColWidth="14.77734375" defaultRowHeight="14.4"/>
  <cols>
    <col width="8.77734375" customWidth="1" style="184" min="1" max="1"/>
    <col width="11" customWidth="1" style="184" min="2" max="2"/>
    <col width="13.77734375" customWidth="1" style="184" min="3" max="3"/>
    <col width="11" customWidth="1" style="184" min="4" max="4"/>
    <col width="12.21875" bestFit="1" customWidth="1" style="184" min="5" max="5"/>
    <col width="7.88671875" customWidth="1" style="184" min="6" max="6"/>
    <col width="9.88671875" customWidth="1" style="184" min="7" max="7"/>
    <col width="16.77734375" customWidth="1" style="187" min="8" max="8"/>
    <col width="14" customWidth="1" style="187" min="9" max="9"/>
    <col hidden="1" width="14.77734375" customWidth="1" style="187" min="10" max="10"/>
    <col width="14" customWidth="1" style="179" min="11" max="11"/>
    <col width="13.33203125" customWidth="1" style="179" min="12" max="12"/>
    <col width="15" bestFit="1" customWidth="1" style="179" min="13" max="13"/>
    <col width="5" customWidth="1" style="179" min="14" max="14"/>
  </cols>
  <sheetData>
    <row r="2">
      <c r="A2" s="183" t="inlineStr">
        <is>
          <t>ZNA 30460 - RUA JDÉCIO MUNIZ DA SILVA FILHO (ANTIGA 16 DE ABRIL) - CHAPERÓ - ITAGUAÍ RJ</t>
        </is>
      </c>
      <c r="H2" s="178" t="inlineStr">
        <is>
          <t>CLANDESTINO?</t>
        </is>
      </c>
      <c r="I2" s="185" t="inlineStr">
        <is>
          <t>SIM</t>
        </is>
      </c>
      <c r="K2" s="178" t="inlineStr">
        <is>
          <t>CONSIDERA CASAS COM:</t>
        </is>
      </c>
      <c r="L2" s="194" t="n">
        <v>79</v>
      </c>
      <c r="M2" s="178" t="inlineStr">
        <is>
          <t>RAMAL ESQ</t>
        </is>
      </c>
      <c r="O2" s="178" t="inlineStr">
        <is>
          <t>TRAFO</t>
        </is>
      </c>
      <c r="P2" s="201">
        <f>IF(OR(I9="",I9=0),"VAZIO",IF(I9&gt;O3,"SOBRECARGA",""))</f>
        <v/>
      </c>
      <c r="Q2" s="178" t="inlineStr">
        <is>
          <t>CABO BT</t>
        </is>
      </c>
    </row>
    <row r="3">
      <c r="M3" s="243">
        <f>P31</f>
        <v/>
      </c>
      <c r="O3" s="172" t="n">
        <v>225</v>
      </c>
      <c r="Q3" s="128" t="inlineStr">
        <is>
          <t>70 Al - MX</t>
        </is>
      </c>
    </row>
    <row r="4">
      <c r="A4" s="3" t="n"/>
      <c r="B4" s="3" t="n"/>
      <c r="C4" s="3" t="n"/>
      <c r="D4" s="4" t="n"/>
      <c r="E4" s="3" t="n"/>
      <c r="F4" s="3" t="n"/>
      <c r="G4" s="3" t="n"/>
      <c r="J4" s="10" t="n"/>
      <c r="M4" s="178" t="inlineStr">
        <is>
          <t>RAMAL DIR</t>
        </is>
      </c>
      <c r="O4" s="178" t="inlineStr">
        <is>
          <t>DEMANDA</t>
        </is>
      </c>
      <c r="Q4" s="128" t="inlineStr">
        <is>
          <t>185 Al - MX</t>
        </is>
      </c>
    </row>
    <row r="5">
      <c r="A5" s="100" t="inlineStr">
        <is>
          <t>LEV 27/03/2026</t>
        </is>
      </c>
      <c r="B5" s="3" t="n"/>
      <c r="C5" s="3" t="inlineStr">
        <is>
          <t>EST 31/03/2026</t>
        </is>
      </c>
      <c r="D5" s="4" t="n"/>
      <c r="E5" s="3" t="n"/>
      <c r="F5" s="3" t="n"/>
      <c r="G5" s="3" t="n"/>
      <c r="J5" s="10" t="n"/>
      <c r="M5" s="243">
        <f>P32</f>
        <v/>
      </c>
      <c r="O5" s="93">
        <f>I9</f>
        <v/>
      </c>
      <c r="P5" s="141">
        <f>IFERROR(O5/0.85,"")</f>
        <v/>
      </c>
      <c r="Q5" s="128" t="inlineStr">
        <is>
          <t>240 Al - MX</t>
        </is>
      </c>
    </row>
    <row r="6" ht="13.8" customFormat="1" customHeight="1" s="177">
      <c r="A6" s="180" t="inlineStr">
        <is>
          <t>PONTO</t>
        </is>
      </c>
      <c r="B6" s="180" t="inlineStr">
        <is>
          <t>TRECHO</t>
        </is>
      </c>
      <c r="C6" s="180" t="inlineStr">
        <is>
          <t>COMPRIMENTO</t>
        </is>
      </c>
      <c r="D6" s="181" t="inlineStr">
        <is>
          <t>COORDENADAS UTM</t>
        </is>
      </c>
      <c r="E6" s="182" t="n"/>
      <c r="F6" s="180" t="n"/>
      <c r="G6" s="180" t="n"/>
      <c r="H6" s="176" t="inlineStr">
        <is>
          <t>CARGA PONTO</t>
        </is>
      </c>
      <c r="I6" s="176" t="inlineStr">
        <is>
          <t>ACUMULADA</t>
        </is>
      </c>
      <c r="J6" s="176" t="inlineStr">
        <is>
          <t>DIST ATÉ O CENTRO DE CARGA</t>
        </is>
      </c>
      <c r="K6" s="176" t="n"/>
      <c r="L6" s="178" t="n"/>
      <c r="M6" s="178" t="n"/>
      <c r="O6" s="117">
        <f>IFERROR(O5/O3,"")</f>
        <v/>
      </c>
      <c r="P6" s="64" t="n"/>
      <c r="Q6" s="128" t="inlineStr">
        <is>
          <t>53 Al - QX</t>
        </is>
      </c>
    </row>
    <row r="7" ht="13.8" customFormat="1" customHeight="1" s="177">
      <c r="B7" s="178" t="inlineStr">
        <is>
          <t>MONTATE</t>
        </is>
      </c>
      <c r="C7" s="178" t="inlineStr">
        <is>
          <t>metros</t>
        </is>
      </c>
      <c r="D7" s="180" t="inlineStr">
        <is>
          <t>LONG</t>
        </is>
      </c>
      <c r="E7" s="180" t="inlineStr">
        <is>
          <t>LAT</t>
        </is>
      </c>
      <c r="F7" s="78" t="n"/>
      <c r="G7" s="78" t="n"/>
      <c r="L7" s="178" t="n"/>
      <c r="M7" s="178" t="n"/>
    </row>
    <row r="8" ht="21.6" customFormat="1" customHeight="1" s="5">
      <c r="A8" s="97" t="inlineStr">
        <is>
          <t>PONTO</t>
        </is>
      </c>
      <c r="B8" s="98" t="inlineStr">
        <is>
          <t>TRECHO</t>
        </is>
      </c>
      <c r="C8" s="98" t="inlineStr">
        <is>
          <t>M</t>
        </is>
      </c>
      <c r="D8" s="97" t="inlineStr">
        <is>
          <t>X</t>
        </is>
      </c>
      <c r="E8" s="97" t="inlineStr">
        <is>
          <t>Y</t>
        </is>
      </c>
      <c r="F8" s="96" t="inlineStr">
        <is>
          <t>CLIENTES</t>
        </is>
      </c>
      <c r="G8" s="96" t="inlineStr">
        <is>
          <t>CLT ACUMULADO</t>
        </is>
      </c>
      <c r="H8" s="96" t="inlineStr">
        <is>
          <t>TOTAL DO TRECHO</t>
        </is>
      </c>
      <c r="I8" s="98" t="inlineStr">
        <is>
          <t>ACUMULADA</t>
        </is>
      </c>
      <c r="J8" s="98" t="inlineStr">
        <is>
          <t>SNAP</t>
        </is>
      </c>
      <c r="K8" s="96" t="inlineStr">
        <is>
          <t>LADO</t>
        </is>
      </c>
      <c r="L8" s="96" t="inlineStr">
        <is>
          <t>CONDUTOR</t>
        </is>
      </c>
      <c r="M8" s="96" t="inlineStr">
        <is>
          <t>CQT NO PONTO</t>
        </is>
      </c>
    </row>
    <row r="9" customFormat="1" s="6">
      <c r="A9" s="168" t="n">
        <v>11</v>
      </c>
      <c r="B9" s="168" t="n">
        <v>0</v>
      </c>
      <c r="C9" s="168" t="n">
        <v>4</v>
      </c>
      <c r="D9" s="125">
        <f>IFERROR(VLOOKUP(GERAL[[#This Row],[PONTO]],COORD,2,0),"")</f>
        <v/>
      </c>
      <c r="E9" s="125">
        <f>IFERROR(VLOOKUP(GERAL[[#This Row],[PONTO]],COORD,3,0),"")</f>
        <v/>
      </c>
      <c r="F9" s="126">
        <f>IFERROR(VLOOKUP(GERAL[[#This Row],[PONTO]],RAMAIS_ATUAL,24,0),"")</f>
        <v/>
      </c>
      <c r="G9" s="126">
        <f>IFERROR(SUMIF(GERAL[TRECHO],GERAL[[#This Row],[PONTO]],GERAL[CLT ACUMULADO])+GERAL[[#This Row],[CLIENTES]],"")</f>
        <v/>
      </c>
      <c r="H9" s="127">
        <f>IFERROR(VLOOKUP(GERAL[[#This Row],[PONTO]],RAMAIS_ATUAL,IF($I$2="SIM",25,23),0),"")</f>
        <v/>
      </c>
      <c r="I9" s="127">
        <f>IFERROR(IF($I$2="SIM",VLOOKUP(GERAL[[#This Row],[CLT ACUMULADO]],AUX_CLAN,4,0),SUMIF(GERAL[TRECHO],GERAL[[#This Row],[PONTO]],GERAL[ACUMULADA])+GERAL[[#This Row],[TOTAL DO TRECHO]]),"")</f>
        <v/>
      </c>
      <c r="J9" s="127">
        <f>IFERROR(SQRT((GERAL[[#This Row],[X]]-$P$11)^2+(GERAL[[#This Row],[Y]]-$P$12)^2),"")</f>
        <v/>
      </c>
      <c r="K9" s="168" t="inlineStr">
        <is>
          <t>TRAFO</t>
        </is>
      </c>
      <c r="L9" s="170" t="inlineStr">
        <is>
          <t>240 Al</t>
        </is>
      </c>
      <c r="M9" s="125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9" s="190" t="inlineStr">
        <is>
          <t>CENTRO DE CARGA</t>
        </is>
      </c>
      <c r="P9" s="191" t="n"/>
    </row>
    <row r="10">
      <c r="A10" s="169" t="n">
        <v>12</v>
      </c>
      <c r="B10" s="169" t="n">
        <v>11</v>
      </c>
      <c r="C10" s="169" t="n">
        <v>30</v>
      </c>
      <c r="D10" s="128">
        <f>IFERROR(VLOOKUP(GERAL[[#This Row],[PONTO]],COORD,2,0),"")</f>
        <v/>
      </c>
      <c r="E10" s="128">
        <f>IFERROR(VLOOKUP(GERAL[[#This Row],[PONTO]],COORD,3,0),"")</f>
        <v/>
      </c>
      <c r="F10" s="129">
        <f>IFERROR(VLOOKUP(GERAL[[#This Row],[PONTO]],RAMAIS_ATUAL,24,0),"")</f>
        <v/>
      </c>
      <c r="G10" s="129">
        <f>IFERROR(SUMIF(GERAL[TRECHO],GERAL[[#This Row],[PONTO]],GERAL[CLT ACUMULADO])+GERAL[[#This Row],[CLIENTES]],"")</f>
        <v/>
      </c>
      <c r="H10" s="55">
        <f>IFERROR(VLOOKUP(GERAL[[#This Row],[PONTO]],RAMAIS_ATUAL,IF($I$2="SIM",25,23),0),"")</f>
        <v/>
      </c>
      <c r="I10" s="55">
        <f>IFERROR(IF($I$2="SIM",VLOOKUP(GERAL[[#This Row],[CLT ACUMULADO]],AUX_CLAN,4,0),SUMIF(GERAL[TRECHO],GERAL[[#This Row],[PONTO]],GERAL[ACUMULADA])+GERAL[[#This Row],[TOTAL DO TRECHO]]),"")</f>
        <v/>
      </c>
      <c r="J10" s="55">
        <f>IFERROR(SQRT((GERAL[[#This Row],[X]]-$P$11)^2+(GERAL[[#This Row],[Y]]-$P$12)^2),"")</f>
        <v/>
      </c>
      <c r="K10" s="169" t="inlineStr">
        <is>
          <t>ESQUERDO</t>
        </is>
      </c>
      <c r="L10" s="171" t="inlineStr">
        <is>
          <t>185 Al - MX</t>
        </is>
      </c>
      <c r="M10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10" s="192" t="n"/>
      <c r="P10" s="192" t="n"/>
    </row>
    <row r="11" customFormat="1" s="6">
      <c r="A11" s="169" t="n">
        <v>13</v>
      </c>
      <c r="B11" s="169" t="n">
        <v>12</v>
      </c>
      <c r="C11" s="169" t="n">
        <v>36</v>
      </c>
      <c r="D11" s="128">
        <f>IFERROR(VLOOKUP(GERAL[[#This Row],[PONTO]],COORD,2,0),"")</f>
        <v/>
      </c>
      <c r="E11" s="128">
        <f>IFERROR(VLOOKUP(GERAL[[#This Row],[PONTO]],COORD,3,0),"")</f>
        <v/>
      </c>
      <c r="F11" s="129">
        <f>IFERROR(VLOOKUP(GERAL[[#This Row],[PONTO]],RAMAIS_ATUAL,24,0),"")</f>
        <v/>
      </c>
      <c r="G11" s="129">
        <f>IFERROR(SUMIF(GERAL[TRECHO],GERAL[[#This Row],[PONTO]],GERAL[CLT ACUMULADO])+GERAL[[#This Row],[CLIENTES]],"")</f>
        <v/>
      </c>
      <c r="H11" s="55">
        <f>IFERROR(VLOOKUP(GERAL[[#This Row],[PONTO]],RAMAIS_ATUAL,IF($I$2="SIM",25,23),0),"")</f>
        <v/>
      </c>
      <c r="I11" s="55">
        <f>IFERROR(IF($I$2="SIM",VLOOKUP(GERAL[[#This Row],[CLT ACUMULADO]],AUX_CLAN,4,0),SUMIF(GERAL[TRECHO],GERAL[[#This Row],[PONTO]],GERAL[ACUMULADA])+GERAL[[#This Row],[TOTAL DO TRECHO]]),"")</f>
        <v/>
      </c>
      <c r="J11" s="55">
        <f>IFERROR(SQRT((GERAL[[#This Row],[X]]-$P$11)^2+(GERAL[[#This Row],[Y]]-$P$12)^2),"")</f>
        <v/>
      </c>
      <c r="K11" s="169" t="inlineStr">
        <is>
          <t>ESQUERDO</t>
        </is>
      </c>
      <c r="L11" s="171" t="inlineStr">
        <is>
          <t>70 Al - MX</t>
        </is>
      </c>
      <c r="M11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11" s="196" t="inlineStr">
        <is>
          <t>X</t>
        </is>
      </c>
      <c r="P11" s="188">
        <f>IFERROR(SUMPRODUCT(GERAL[TOTAL DO TRECHO],GERAL[X])/SUM(GERAL[TOTAL DO TRECHO]),"INSERIR DADOS")</f>
        <v/>
      </c>
    </row>
    <row r="12">
      <c r="A12" s="169" t="n">
        <v>14</v>
      </c>
      <c r="B12" s="169" t="n">
        <v>13</v>
      </c>
      <c r="C12" s="169" t="n">
        <v>36</v>
      </c>
      <c r="D12" s="128">
        <f>IFERROR(VLOOKUP(GERAL[[#This Row],[PONTO]],COORD,2,0),"")</f>
        <v/>
      </c>
      <c r="E12" s="128">
        <f>IFERROR(VLOOKUP(GERAL[[#This Row],[PONTO]],COORD,3,0),"")</f>
        <v/>
      </c>
      <c r="F12" s="129">
        <f>IFERROR(VLOOKUP(GERAL[[#This Row],[PONTO]],RAMAIS_ATUAL,24,0),"")</f>
        <v/>
      </c>
      <c r="G12" s="129">
        <f>IFERROR(SUMIF(GERAL[TRECHO],GERAL[[#This Row],[PONTO]],GERAL[CLT ACUMULADO])+GERAL[[#This Row],[CLIENTES]],"")</f>
        <v/>
      </c>
      <c r="H12" s="55">
        <f>IFERROR(VLOOKUP(GERAL[[#This Row],[PONTO]],RAMAIS_ATUAL,IF($I$2="SIM",25,23),0),"")</f>
        <v/>
      </c>
      <c r="I12" s="55">
        <f>IFERROR(IF($I$2="SIM",VLOOKUP(GERAL[[#This Row],[CLT ACUMULADO]],AUX_CLAN,4,0),SUMIF(GERAL[TRECHO],GERAL[[#This Row],[PONTO]],GERAL[ACUMULADA])+GERAL[[#This Row],[TOTAL DO TRECHO]]),"")</f>
        <v/>
      </c>
      <c r="J12" s="55">
        <f>IFERROR(SQRT((GERAL[[#This Row],[X]]-$P$11)^2+(GERAL[[#This Row],[Y]]-$P$12)^2),"")</f>
        <v/>
      </c>
      <c r="K12" s="169" t="inlineStr">
        <is>
          <t>ESQUERDO</t>
        </is>
      </c>
      <c r="L12" s="171" t="inlineStr">
        <is>
          <t>70 Al - MX</t>
        </is>
      </c>
      <c r="M12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12" s="12" t="inlineStr">
        <is>
          <t>Y</t>
        </is>
      </c>
      <c r="P12" s="188">
        <f>IFERROR(SUMPRODUCT(GERAL[TOTAL DO TRECHO],GERAL[Y])/SUM(GERAL[TOTAL DO TRECHO]),"INSERIR DADOS")</f>
        <v/>
      </c>
    </row>
    <row r="13" customFormat="1" s="6">
      <c r="A13" s="169" t="n">
        <v>15</v>
      </c>
      <c r="B13" s="169" t="n">
        <v>14</v>
      </c>
      <c r="C13" s="169" t="n">
        <v>38</v>
      </c>
      <c r="D13" s="128">
        <f>IFERROR(VLOOKUP(GERAL[[#This Row],[PONTO]],COORD,2,0),"")</f>
        <v/>
      </c>
      <c r="E13" s="128">
        <f>IFERROR(VLOOKUP(GERAL[[#This Row],[PONTO]],COORD,3,0),"")</f>
        <v/>
      </c>
      <c r="F13" s="129">
        <f>IFERROR(VLOOKUP(GERAL[[#This Row],[PONTO]],RAMAIS_ATUAL,24,0),"")</f>
        <v/>
      </c>
      <c r="G13" s="129">
        <f>IFERROR(SUMIF(GERAL[TRECHO],GERAL[[#This Row],[PONTO]],GERAL[CLT ACUMULADO])+GERAL[[#This Row],[CLIENTES]],"")</f>
        <v/>
      </c>
      <c r="H13" s="55">
        <f>IFERROR(VLOOKUP(GERAL[[#This Row],[PONTO]],RAMAIS_ATUAL,IF($I$2="SIM",25,23),0),"")</f>
        <v/>
      </c>
      <c r="I13" s="55">
        <f>IFERROR(IF($I$2="SIM",VLOOKUP(GERAL[[#This Row],[CLT ACUMULADO]],AUX_CLAN,4,0),SUMIF(GERAL[TRECHO],GERAL[[#This Row],[PONTO]],GERAL[ACUMULADA])+GERAL[[#This Row],[TOTAL DO TRECHO]]),"")</f>
        <v/>
      </c>
      <c r="J13" s="55">
        <f>IFERROR(SQRT((GERAL[[#This Row],[X]]-$P$11)^2+(GERAL[[#This Row],[Y]]-$P$12)^2),"")</f>
        <v/>
      </c>
      <c r="K13" s="169" t="inlineStr">
        <is>
          <t>ESQUERDO</t>
        </is>
      </c>
      <c r="L13" s="171" t="inlineStr">
        <is>
          <t>70 Al - MX</t>
        </is>
      </c>
      <c r="M13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14">
      <c r="A14" s="169" t="n">
        <v>10</v>
      </c>
      <c r="B14" s="169" t="n">
        <v>11</v>
      </c>
      <c r="C14" s="169" t="n">
        <v>36</v>
      </c>
      <c r="D14" s="128">
        <f>IFERROR(VLOOKUP(GERAL[[#This Row],[PONTO]],COORD,2,0),"")</f>
        <v/>
      </c>
      <c r="E14" s="128">
        <f>IFERROR(VLOOKUP(GERAL[[#This Row],[PONTO]],COORD,3,0),"")</f>
        <v/>
      </c>
      <c r="F14" s="129">
        <f>IFERROR(VLOOKUP(GERAL[[#This Row],[PONTO]],RAMAIS_ATUAL,24,0),"")</f>
        <v/>
      </c>
      <c r="G14" s="129">
        <f>IFERROR(SUMIF(GERAL[TRECHO],GERAL[[#This Row],[PONTO]],GERAL[CLT ACUMULADO])+GERAL[[#This Row],[CLIENTES]],"")</f>
        <v/>
      </c>
      <c r="H14" s="55">
        <f>IFERROR(VLOOKUP(GERAL[[#This Row],[PONTO]],RAMAIS_ATUAL,IF($I$2="SIM",25,23),0),"")</f>
        <v/>
      </c>
      <c r="I14" s="55">
        <f>IFERROR(IF($I$2="SIM",VLOOKUP(GERAL[[#This Row],[CLT ACUMULADO]],AUX_CLAN,4,0),SUMIF(GERAL[TRECHO],GERAL[[#This Row],[PONTO]],GERAL[ACUMULADA])+GERAL[[#This Row],[TOTAL DO TRECHO]]),"")</f>
        <v/>
      </c>
      <c r="J14" s="55">
        <f>IFERROR(SQRT((GERAL[[#This Row],[X]]-$P$11)^2+(GERAL[[#This Row],[Y]]-$P$12)^2),"")</f>
        <v/>
      </c>
      <c r="K14" s="169" t="inlineStr">
        <is>
          <t>DIREITO</t>
        </is>
      </c>
      <c r="L14" s="171" t="inlineStr">
        <is>
          <t>185 Al - MX</t>
        </is>
      </c>
      <c r="M14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14" s="190" t="inlineStr">
        <is>
          <t>POSTE IDEAL</t>
        </is>
      </c>
      <c r="P14" s="191" t="n"/>
    </row>
    <row r="15" customFormat="1" s="6">
      <c r="A15" s="169" t="n">
        <v>4</v>
      </c>
      <c r="B15" s="169" t="n">
        <v>10</v>
      </c>
      <c r="C15" s="169" t="n">
        <v>34</v>
      </c>
      <c r="D15" s="128">
        <f>IFERROR(VLOOKUP(GERAL[[#This Row],[PONTO]],COORD,2,0),"")</f>
        <v/>
      </c>
      <c r="E15" s="128">
        <f>IFERROR(VLOOKUP(GERAL[[#This Row],[PONTO]],COORD,3,0),"")</f>
        <v/>
      </c>
      <c r="F15" s="129">
        <f>IFERROR(VLOOKUP(GERAL[[#This Row],[PONTO]],RAMAIS_ATUAL,24,0),"")</f>
        <v/>
      </c>
      <c r="G15" s="129">
        <f>IFERROR(SUMIF(GERAL[TRECHO],GERAL[[#This Row],[PONTO]],GERAL[CLT ACUMULADO])+GERAL[[#This Row],[CLIENTES]],"")</f>
        <v/>
      </c>
      <c r="H15" s="55">
        <f>IFERROR(VLOOKUP(GERAL[[#This Row],[PONTO]],RAMAIS_ATUAL,IF($I$2="SIM",25,23),0),"")</f>
        <v/>
      </c>
      <c r="I15" s="55">
        <f>IFERROR(IF($I$2="SIM",VLOOKUP(GERAL[[#This Row],[CLT ACUMULADO]],AUX_CLAN,4,0),SUMIF(GERAL[TRECHO],GERAL[[#This Row],[PONTO]],GERAL[ACUMULADA])+GERAL[[#This Row],[TOTAL DO TRECHO]]),"")</f>
        <v/>
      </c>
      <c r="J15" s="55">
        <f>IFERROR(SQRT((GERAL[[#This Row],[X]]-$P$11)^2+(GERAL[[#This Row],[Y]]-$P$12)^2),"")</f>
        <v/>
      </c>
      <c r="K15" s="169" t="inlineStr">
        <is>
          <t>DIREITO</t>
        </is>
      </c>
      <c r="L15" s="171" t="inlineStr">
        <is>
          <t>185 Al - MX</t>
        </is>
      </c>
      <c r="M15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15" s="192" t="n"/>
      <c r="P15" s="192" t="n"/>
    </row>
    <row r="16">
      <c r="A16" s="169" t="n">
        <v>5</v>
      </c>
      <c r="B16" s="169" t="n">
        <v>4</v>
      </c>
      <c r="C16" s="169" t="n">
        <v>23</v>
      </c>
      <c r="D16" s="128">
        <f>IFERROR(VLOOKUP(GERAL[[#This Row],[PONTO]],COORD,2,0),"")</f>
        <v/>
      </c>
      <c r="E16" s="128">
        <f>IFERROR(VLOOKUP(GERAL[[#This Row],[PONTO]],COORD,3,0),"")</f>
        <v/>
      </c>
      <c r="F16" s="129">
        <f>IFERROR(VLOOKUP(GERAL[[#This Row],[PONTO]],RAMAIS_ATUAL,24,0),"")</f>
        <v/>
      </c>
      <c r="G16" s="129">
        <f>IFERROR(SUMIF(GERAL[TRECHO],GERAL[[#This Row],[PONTO]],GERAL[CLT ACUMULADO])+GERAL[[#This Row],[CLIENTES]],"")</f>
        <v/>
      </c>
      <c r="H16" s="55">
        <f>IFERROR(VLOOKUP(GERAL[[#This Row],[PONTO]],RAMAIS_ATUAL,IF($I$2="SIM",25,23),0),"")</f>
        <v/>
      </c>
      <c r="I16" s="55">
        <f>IFERROR(IF($I$2="SIM",VLOOKUP(GERAL[[#This Row],[CLT ACUMULADO]],AUX_CLAN,4,0),SUMIF(GERAL[TRECHO],GERAL[[#This Row],[PONTO]],GERAL[ACUMULADA])+GERAL[[#This Row],[TOTAL DO TRECHO]]),"")</f>
        <v/>
      </c>
      <c r="J16" s="55">
        <f>IFERROR(SQRT((GERAL[[#This Row],[X]]-$P$11)^2+(GERAL[[#This Row],[Y]]-$P$12)^2),"")</f>
        <v/>
      </c>
      <c r="K16" s="169" t="inlineStr">
        <is>
          <t>DIREITO</t>
        </is>
      </c>
      <c r="L16" s="171" t="inlineStr">
        <is>
          <t>185 Al - MX</t>
        </is>
      </c>
      <c r="M16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16" s="196">
        <f>INDEX(GERAL[PONTO],MATCH(MIN(GERAL[SNAP]),GERAL[SNAP],0))</f>
        <v/>
      </c>
      <c r="P16" s="189" t="n"/>
    </row>
    <row r="17" customFormat="1" s="6">
      <c r="A17" s="169" t="n">
        <v>3</v>
      </c>
      <c r="B17" s="169" t="n">
        <v>4</v>
      </c>
      <c r="C17" s="169" t="n">
        <v>34</v>
      </c>
      <c r="D17" s="128">
        <f>IFERROR(VLOOKUP(GERAL[[#This Row],[PONTO]],COORD,2,0),"")</f>
        <v/>
      </c>
      <c r="E17" s="128">
        <f>IFERROR(VLOOKUP(GERAL[[#This Row],[PONTO]],COORD,3,0),"")</f>
        <v/>
      </c>
      <c r="F17" s="129">
        <f>IFERROR(VLOOKUP(GERAL[[#This Row],[PONTO]],RAMAIS_ATUAL,24,0),"")</f>
        <v/>
      </c>
      <c r="G17" s="129">
        <f>IFERROR(SUMIF(GERAL[TRECHO],GERAL[[#This Row],[PONTO]],GERAL[CLT ACUMULADO])+GERAL[[#This Row],[CLIENTES]],"")</f>
        <v/>
      </c>
      <c r="H17" s="55">
        <f>IFERROR(VLOOKUP(GERAL[[#This Row],[PONTO]],RAMAIS_ATUAL,IF($I$2="SIM",25,23),0),"")</f>
        <v/>
      </c>
      <c r="I17" s="55">
        <f>IFERROR(IF($I$2="SIM",VLOOKUP(GERAL[[#This Row],[CLT ACUMULADO]],AUX_CLAN,4,0),SUMIF(GERAL[TRECHO],GERAL[[#This Row],[PONTO]],GERAL[ACUMULADA])+GERAL[[#This Row],[TOTAL DO TRECHO]]),"")</f>
        <v/>
      </c>
      <c r="J17" s="55">
        <f>IFERROR(SQRT((GERAL[[#This Row],[X]]-$P$11)^2+(GERAL[[#This Row],[Y]]-$P$12)^2),"")</f>
        <v/>
      </c>
      <c r="K17" s="169" t="inlineStr">
        <is>
          <t>DIREITO</t>
        </is>
      </c>
      <c r="L17" s="171" t="inlineStr">
        <is>
          <t>70 Al - MX</t>
        </is>
      </c>
      <c r="M17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18">
      <c r="A18" s="169" t="n">
        <v>6</v>
      </c>
      <c r="B18" s="169" t="n">
        <v>5</v>
      </c>
      <c r="C18" s="169" t="n">
        <v>21</v>
      </c>
      <c r="D18" s="128">
        <f>IFERROR(VLOOKUP(GERAL[[#This Row],[PONTO]],COORD,2,0),"")</f>
        <v/>
      </c>
      <c r="E18" s="128">
        <f>IFERROR(VLOOKUP(GERAL[[#This Row],[PONTO]],COORD,3,0),"")</f>
        <v/>
      </c>
      <c r="F18" s="129">
        <f>IFERROR(VLOOKUP(GERAL[[#This Row],[PONTO]],RAMAIS_ATUAL,24,0),"")</f>
        <v/>
      </c>
      <c r="G18" s="129">
        <f>IFERROR(SUMIF(GERAL[TRECHO],GERAL[[#This Row],[PONTO]],GERAL[CLT ACUMULADO])+GERAL[[#This Row],[CLIENTES]],"")</f>
        <v/>
      </c>
      <c r="H18" s="55">
        <f>IFERROR(VLOOKUP(GERAL[[#This Row],[PONTO]],RAMAIS_ATUAL,IF($I$2="SIM",25,23),0),"")</f>
        <v/>
      </c>
      <c r="I18" s="55">
        <f>IFERROR(IF($I$2="SIM",VLOOKUP(GERAL[[#This Row],[CLT ACUMULADO]],AUX_CLAN,4,0),SUMIF(GERAL[TRECHO],GERAL[[#This Row],[PONTO]],GERAL[ACUMULADA])+GERAL[[#This Row],[TOTAL DO TRECHO]]),"")</f>
        <v/>
      </c>
      <c r="J18" s="55">
        <f>IFERROR(SQRT((GERAL[[#This Row],[X]]-$P$11)^2+(GERAL[[#This Row],[Y]]-$P$12)^2),"")</f>
        <v/>
      </c>
      <c r="K18" s="169" t="inlineStr">
        <is>
          <t>DIREITO</t>
        </is>
      </c>
      <c r="L18" s="171" t="inlineStr">
        <is>
          <t>185 Al - MX</t>
        </is>
      </c>
      <c r="M18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18" s="200" t="inlineStr">
        <is>
          <t>SUB-CIRCUITOS SUGERIDOS</t>
        </is>
      </c>
      <c r="P18" s="191" t="n"/>
    </row>
    <row r="19" customFormat="1" s="6">
      <c r="A19" s="169" t="n">
        <v>7</v>
      </c>
      <c r="B19" s="169" t="n">
        <v>6</v>
      </c>
      <c r="C19" s="169" t="n">
        <v>25</v>
      </c>
      <c r="D19" s="128">
        <f>IFERROR(VLOOKUP(GERAL[[#This Row],[PONTO]],COORD,2,0),"")</f>
        <v/>
      </c>
      <c r="E19" s="128">
        <f>IFERROR(VLOOKUP(GERAL[[#This Row],[PONTO]],COORD,3,0),"")</f>
        <v/>
      </c>
      <c r="F19" s="129">
        <f>IFERROR(VLOOKUP(GERAL[[#This Row],[PONTO]],RAMAIS_ATUAL,24,0),"")</f>
        <v/>
      </c>
      <c r="G19" s="129">
        <f>IFERROR(SUMIF(GERAL[TRECHO],GERAL[[#This Row],[PONTO]],GERAL[CLT ACUMULADO])+GERAL[[#This Row],[CLIENTES]],"")</f>
        <v/>
      </c>
      <c r="H19" s="55">
        <f>IFERROR(VLOOKUP(GERAL[[#This Row],[PONTO]],RAMAIS_ATUAL,IF($I$2="SIM",25,23),0),"")</f>
        <v/>
      </c>
      <c r="I19" s="55">
        <f>IFERROR(IF($I$2="SIM",VLOOKUP(GERAL[[#This Row],[CLT ACUMULADO]],AUX_CLAN,4,0),SUMIF(GERAL[TRECHO],GERAL[[#This Row],[PONTO]],GERAL[ACUMULADA])+GERAL[[#This Row],[TOTAL DO TRECHO]]),"")</f>
        <v/>
      </c>
      <c r="J19" s="55">
        <f>IFERROR(SQRT((GERAL[[#This Row],[X]]-$P$11)^2+(GERAL[[#This Row],[Y]]-$P$12)^2),"")</f>
        <v/>
      </c>
      <c r="K19" s="169" t="inlineStr">
        <is>
          <t>DIREITO</t>
        </is>
      </c>
      <c r="L19" s="171" t="inlineStr">
        <is>
          <t>185 Al - MX</t>
        </is>
      </c>
      <c r="M19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19" s="192" t="n"/>
      <c r="P19" s="192" t="n"/>
    </row>
    <row r="20">
      <c r="A20" s="169" t="n">
        <v>8</v>
      </c>
      <c r="B20" s="169" t="n">
        <v>7</v>
      </c>
      <c r="C20" s="169" t="n">
        <v>32</v>
      </c>
      <c r="D20" s="128">
        <f>IFERROR(VLOOKUP(GERAL[[#This Row],[PONTO]],COORD,2,0),"")</f>
        <v/>
      </c>
      <c r="E20" s="128">
        <f>IFERROR(VLOOKUP(GERAL[[#This Row],[PONTO]],COORD,3,0),"")</f>
        <v/>
      </c>
      <c r="F20" s="129">
        <f>IFERROR(VLOOKUP(GERAL[[#This Row],[PONTO]],RAMAIS_ATUAL,24,0),"")</f>
        <v/>
      </c>
      <c r="G20" s="129">
        <f>IFERROR(SUMIF(GERAL[TRECHO],GERAL[[#This Row],[PONTO]],GERAL[CLT ACUMULADO])+GERAL[[#This Row],[CLIENTES]],"")</f>
        <v/>
      </c>
      <c r="H20" s="55">
        <f>IFERROR(VLOOKUP(GERAL[[#This Row],[PONTO]],RAMAIS_ATUAL,IF($I$2="SIM",25,23),0),"")</f>
        <v/>
      </c>
      <c r="I20" s="55">
        <f>IFERROR(IF($I$2="SIM",VLOOKUP(GERAL[[#This Row],[CLT ACUMULADO]],AUX_CLAN,4,0),SUMIF(GERAL[TRECHO],GERAL[[#This Row],[PONTO]],GERAL[ACUMULADA])+GERAL[[#This Row],[TOTAL DO TRECHO]]),"")</f>
        <v/>
      </c>
      <c r="J20" s="55">
        <f>IFERROR(SQRT((GERAL[[#This Row],[X]]-$P$11)^2+(GERAL[[#This Row],[Y]]-$P$12)^2),"")</f>
        <v/>
      </c>
      <c r="K20" s="169" t="inlineStr">
        <is>
          <t>DIREITO</t>
        </is>
      </c>
      <c r="L20" s="171" t="inlineStr">
        <is>
          <t>185 Al - MX</t>
        </is>
      </c>
      <c r="M20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20" s="193">
        <f>O25/400</f>
        <v/>
      </c>
      <c r="P20" s="189" t="n"/>
    </row>
    <row r="21" customFormat="1" s="6">
      <c r="A21" s="169" t="n">
        <v>9</v>
      </c>
      <c r="B21" s="169" t="n">
        <v>8</v>
      </c>
      <c r="C21" s="169" t="n">
        <v>39</v>
      </c>
      <c r="D21" s="128">
        <f>IFERROR(VLOOKUP(GERAL[[#This Row],[PONTO]],COORD,2,0),"")</f>
        <v/>
      </c>
      <c r="E21" s="128">
        <f>IFERROR(VLOOKUP(GERAL[[#This Row],[PONTO]],COORD,3,0),"")</f>
        <v/>
      </c>
      <c r="F21" s="129">
        <f>IFERROR(VLOOKUP(GERAL[[#This Row],[PONTO]],RAMAIS_ATUAL,24,0),"")</f>
        <v/>
      </c>
      <c r="G21" s="129">
        <f>IFERROR(SUMIF(GERAL[TRECHO],GERAL[[#This Row],[PONTO]],GERAL[CLT ACUMULADO])+GERAL[[#This Row],[CLIENTES]],"")</f>
        <v/>
      </c>
      <c r="H21" s="55">
        <f>IFERROR(VLOOKUP(GERAL[[#This Row],[PONTO]],RAMAIS_ATUAL,IF($I$2="SIM",25,23),0),"")</f>
        <v/>
      </c>
      <c r="I21" s="55">
        <f>IFERROR(IF($I$2="SIM",VLOOKUP(GERAL[[#This Row],[CLT ACUMULADO]],AUX_CLAN,4,0),SUMIF(GERAL[TRECHO],GERAL[[#This Row],[PONTO]],GERAL[ACUMULADA])+GERAL[[#This Row],[TOTAL DO TRECHO]]),"")</f>
        <v/>
      </c>
      <c r="J21" s="55">
        <f>IFERROR(SQRT((GERAL[[#This Row],[X]]-$P$11)^2+(GERAL[[#This Row],[Y]]-$P$12)^2),"")</f>
        <v/>
      </c>
      <c r="K21" s="169" t="inlineStr">
        <is>
          <t>DIREITO</t>
        </is>
      </c>
      <c r="L21" s="171" t="inlineStr">
        <is>
          <t>185 Al - MX</t>
        </is>
      </c>
      <c r="M21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21" s="198" t="inlineStr">
        <is>
          <t>ATENTAR-SE PARA CQT</t>
        </is>
      </c>
      <c r="P21" s="199" t="n"/>
    </row>
    <row r="22">
      <c r="A22" s="169" t="n"/>
      <c r="B22" s="169" t="n"/>
      <c r="C22" s="169" t="n"/>
      <c r="D22" s="128">
        <f>IFERROR(VLOOKUP(GERAL[[#This Row],[PONTO]],COORD,2,0),"")</f>
        <v/>
      </c>
      <c r="E22" s="128">
        <f>IFERROR(VLOOKUP(GERAL[[#This Row],[PONTO]],COORD,3,0),"")</f>
        <v/>
      </c>
      <c r="F22" s="129">
        <f>IFERROR(VLOOKUP(GERAL[[#This Row],[PONTO]],RAMAIS_ATUAL,24,0),"")</f>
        <v/>
      </c>
      <c r="G22" s="129">
        <f>IFERROR(SUMIF(GERAL[TRECHO],GERAL[[#This Row],[PONTO]],GERAL[CLT ACUMULADO])+GERAL[[#This Row],[CLIENTES]],"")</f>
        <v/>
      </c>
      <c r="H22" s="55">
        <f>IFERROR(VLOOKUP(GERAL[[#This Row],[PONTO]],RAMAIS_ATUAL,IF($I$2="SIM",25,23),0),"")</f>
        <v/>
      </c>
      <c r="I22" s="55">
        <f>IFERROR(IF($I$2="SIM",VLOOKUP(GERAL[[#This Row],[CLT ACUMULADO]],AUX_CLAN,4,0),SUMIF(GERAL[TRECHO],GERAL[[#This Row],[PONTO]],GERAL[ACUMULADA])+GERAL[[#This Row],[TOTAL DO TRECHO]]),"")</f>
        <v/>
      </c>
      <c r="J22" s="55">
        <f>IFERROR(SQRT((GERAL[[#This Row],[X]]-$P$11)^2+(GERAL[[#This Row],[Y]]-$P$12)^2),"")</f>
        <v/>
      </c>
      <c r="K22" s="169" t="n"/>
      <c r="L22" s="171" t="n"/>
      <c r="M22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23" customFormat="1" s="6">
      <c r="A23" s="169" t="n"/>
      <c r="B23" s="169" t="n"/>
      <c r="C23" s="169" t="n"/>
      <c r="D23" s="128">
        <f>IFERROR(VLOOKUP(GERAL[[#This Row],[PONTO]],COORD,2,0),"")</f>
        <v/>
      </c>
      <c r="E23" s="128">
        <f>IFERROR(VLOOKUP(GERAL[[#This Row],[PONTO]],COORD,3,0),"")</f>
        <v/>
      </c>
      <c r="F23" s="129">
        <f>IFERROR(VLOOKUP(GERAL[[#This Row],[PONTO]],RAMAIS_ATUAL,24,0),"")</f>
        <v/>
      </c>
      <c r="G23" s="129">
        <f>IFERROR(SUMIF(GERAL[TRECHO],GERAL[[#This Row],[PONTO]],GERAL[CLT ACUMULADO])+GERAL[[#This Row],[CLIENTES]],"")</f>
        <v/>
      </c>
      <c r="H23" s="55">
        <f>IFERROR(VLOOKUP(GERAL[[#This Row],[PONTO]],RAMAIS_ATUAL,IF($I$2="SIM",25,23),0),"")</f>
        <v/>
      </c>
      <c r="I23" s="55">
        <f>IFERROR(IF($I$2="SIM",VLOOKUP(GERAL[[#This Row],[CLT ACUMULADO]],AUX_CLAN,4,0),SUMIF(GERAL[TRECHO],GERAL[[#This Row],[PONTO]],GERAL[ACUMULADA])+GERAL[[#This Row],[TOTAL DO TRECHO]]),"")</f>
        <v/>
      </c>
      <c r="J23" s="55">
        <f>IFERROR(SQRT((GERAL[[#This Row],[X]]-$P$11)^2+(GERAL[[#This Row],[Y]]-$P$12)^2),"")</f>
        <v/>
      </c>
      <c r="K23" s="169" t="n"/>
      <c r="L23" s="171" t="n"/>
      <c r="M23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23" s="190" t="inlineStr">
        <is>
          <t>METROS REDE TOTAL</t>
        </is>
      </c>
      <c r="P23" s="191" t="n"/>
    </row>
    <row r="24">
      <c r="A24" s="169" t="n"/>
      <c r="B24" s="169" t="n"/>
      <c r="C24" s="169" t="n"/>
      <c r="D24" s="128">
        <f>IFERROR(VLOOKUP(GERAL[[#This Row],[PONTO]],COORD,2,0),"")</f>
        <v/>
      </c>
      <c r="E24" s="128">
        <f>IFERROR(VLOOKUP(GERAL[[#This Row],[PONTO]],COORD,3,0),"")</f>
        <v/>
      </c>
      <c r="F24" s="129">
        <f>IFERROR(VLOOKUP(GERAL[[#This Row],[PONTO]],RAMAIS_ATUAL,24,0),"")</f>
        <v/>
      </c>
      <c r="G24" s="129">
        <f>IFERROR(SUMIF(GERAL[TRECHO],GERAL[[#This Row],[PONTO]],GERAL[CLT ACUMULADO])+GERAL[[#This Row],[CLIENTES]],"")</f>
        <v/>
      </c>
      <c r="H24" s="55">
        <f>IFERROR(VLOOKUP(GERAL[[#This Row],[PONTO]],RAMAIS_ATUAL,IF($I$2="SIM",25,23),0),"")</f>
        <v/>
      </c>
      <c r="I24" s="55">
        <f>IFERROR(IF($I$2="SIM",VLOOKUP(GERAL[[#This Row],[CLT ACUMULADO]],AUX_CLAN,4,0),SUMIF(GERAL[TRECHO],GERAL[[#This Row],[PONTO]],GERAL[ACUMULADA])+GERAL[[#This Row],[TOTAL DO TRECHO]]),"")</f>
        <v/>
      </c>
      <c r="J24" s="55">
        <f>IFERROR(SQRT((GERAL[[#This Row],[X]]-$P$11)^2+(GERAL[[#This Row],[Y]]-$P$12)^2),"")</f>
        <v/>
      </c>
      <c r="K24" s="169" t="n"/>
      <c r="L24" s="171" t="n"/>
      <c r="M24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24" s="192" t="n"/>
      <c r="P24" s="192" t="n"/>
    </row>
    <row r="25">
      <c r="A25" s="169" t="n"/>
      <c r="B25" s="169" t="n"/>
      <c r="C25" s="169" t="n"/>
      <c r="D25" s="128">
        <f>IFERROR(VLOOKUP(GERAL[[#This Row],[PONTO]],COORD,2,0),"")</f>
        <v/>
      </c>
      <c r="E25" s="128">
        <f>IFERROR(VLOOKUP(GERAL[[#This Row],[PONTO]],COORD,3,0),"")</f>
        <v/>
      </c>
      <c r="F25" s="129">
        <f>IFERROR(VLOOKUP(GERAL[[#This Row],[PONTO]],RAMAIS_ATUAL,24,0),"")</f>
        <v/>
      </c>
      <c r="G25" s="129">
        <f>IFERROR(SUMIF(GERAL[TRECHO],GERAL[[#This Row],[PONTO]],GERAL[CLT ACUMULADO])+GERAL[[#This Row],[CLIENTES]],"")</f>
        <v/>
      </c>
      <c r="H25" s="55">
        <f>IFERROR(VLOOKUP(GERAL[[#This Row],[PONTO]],RAMAIS_ATUAL,IF($I$2="SIM",25,23),0),"")</f>
        <v/>
      </c>
      <c r="I25" s="55">
        <f>IFERROR(IF($I$2="SIM",VLOOKUP(GERAL[[#This Row],[CLT ACUMULADO]],AUX_CLAN,4,0),SUMIF(GERAL[TRECHO],GERAL[[#This Row],[PONTO]],GERAL[ACUMULADA])+GERAL[[#This Row],[TOTAL DO TRECHO]]),"")</f>
        <v/>
      </c>
      <c r="J25" s="55">
        <f>IFERROR(SQRT((GERAL[[#This Row],[X]]-$P$11)^2+(GERAL[[#This Row],[Y]]-$P$12)^2),"")</f>
        <v/>
      </c>
      <c r="K25" s="169" t="n"/>
      <c r="L25" s="171" t="n"/>
      <c r="M25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25" s="244">
        <f>SUM(GERAL[M])</f>
        <v/>
      </c>
      <c r="P25" s="189" t="n"/>
    </row>
    <row r="26">
      <c r="A26" s="169" t="n"/>
      <c r="B26" s="169" t="n"/>
      <c r="C26" s="169" t="n"/>
      <c r="D26" s="128">
        <f>IFERROR(VLOOKUP(GERAL[[#This Row],[PONTO]],COORD,2,0),"")</f>
        <v/>
      </c>
      <c r="E26" s="128">
        <f>IFERROR(VLOOKUP(GERAL[[#This Row],[PONTO]],COORD,3,0),"")</f>
        <v/>
      </c>
      <c r="F26" s="129">
        <f>IFERROR(VLOOKUP(GERAL[[#This Row],[PONTO]],RAMAIS_ATUAL,24,0),"")</f>
        <v/>
      </c>
      <c r="G26" s="129">
        <f>IFERROR(SUMIF(GERAL[TRECHO],GERAL[[#This Row],[PONTO]],GERAL[CLT ACUMULADO])+GERAL[[#This Row],[CLIENTES]],"")</f>
        <v/>
      </c>
      <c r="H26" s="55">
        <f>IFERROR(VLOOKUP(GERAL[[#This Row],[PONTO]],RAMAIS_ATUAL,IF($I$2="SIM",25,23),0),"")</f>
        <v/>
      </c>
      <c r="I26" s="55">
        <f>IFERROR(IF($I$2="SIM",VLOOKUP(GERAL[[#This Row],[CLT ACUMULADO]],AUX_CLAN,4,0),SUMIF(GERAL[TRECHO],GERAL[[#This Row],[PONTO]],GERAL[ACUMULADA])+GERAL[[#This Row],[TOTAL DO TRECHO]]),"")</f>
        <v/>
      </c>
      <c r="J26" s="55">
        <f>IFERROR(SQRT((GERAL[[#This Row],[X]]-$P$11)^2+(GERAL[[#This Row],[Y]]-$P$12)^2),"")</f>
        <v/>
      </c>
      <c r="K26" s="169" t="n"/>
      <c r="L26" s="171" t="n"/>
      <c r="M26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27">
      <c r="A27" s="169" t="n"/>
      <c r="B27" s="169" t="n"/>
      <c r="C27" s="169" t="n"/>
      <c r="D27" s="128">
        <f>IFERROR(VLOOKUP(GERAL[[#This Row],[PONTO]],COORD,2,0),"")</f>
        <v/>
      </c>
      <c r="E27" s="128">
        <f>IFERROR(VLOOKUP(GERAL[[#This Row],[PONTO]],COORD,3,0),"")</f>
        <v/>
      </c>
      <c r="F27" s="129">
        <f>IFERROR(VLOOKUP(GERAL[[#This Row],[PONTO]],RAMAIS_ATUAL,24,0),"")</f>
        <v/>
      </c>
      <c r="G27" s="129">
        <f>IFERROR(SUMIF(GERAL[TRECHO],GERAL[[#This Row],[PONTO]],GERAL[CLT ACUMULADO])+GERAL[[#This Row],[CLIENTES]],"")</f>
        <v/>
      </c>
      <c r="H27" s="55">
        <f>IFERROR(VLOOKUP(GERAL[[#This Row],[PONTO]],RAMAIS_ATUAL,IF($I$2="SIM",25,23),0),"")</f>
        <v/>
      </c>
      <c r="I27" s="55">
        <f>IFERROR(IF($I$2="SIM",VLOOKUP(GERAL[[#This Row],[CLT ACUMULADO]],AUX_CLAN,4,0),SUMIF(GERAL[TRECHO],GERAL[[#This Row],[PONTO]],GERAL[ACUMULADA])+GERAL[[#This Row],[TOTAL DO TRECHO]]),"")</f>
        <v/>
      </c>
      <c r="J27" s="55">
        <f>IFERROR(SQRT((GERAL[[#This Row],[X]]-$P$11)^2+(GERAL[[#This Row],[Y]]-$P$12)^2),"")</f>
        <v/>
      </c>
      <c r="K27" s="169" t="n"/>
      <c r="L27" s="171" t="n"/>
      <c r="M27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27" s="190" t="inlineStr">
        <is>
          <t>RAMAL (DMDI)</t>
        </is>
      </c>
      <c r="P27" s="191" t="n"/>
    </row>
    <row r="28">
      <c r="A28" s="169" t="n"/>
      <c r="B28" s="169" t="n"/>
      <c r="C28" s="169" t="n"/>
      <c r="D28" s="128">
        <f>IFERROR(VLOOKUP(GERAL[[#This Row],[PONTO]],COORD,2,0),"")</f>
        <v/>
      </c>
      <c r="E28" s="128">
        <f>IFERROR(VLOOKUP(GERAL[[#This Row],[PONTO]],COORD,3,0),"")</f>
        <v/>
      </c>
      <c r="F28" s="129">
        <f>IFERROR(VLOOKUP(GERAL[[#This Row],[PONTO]],RAMAIS_ATUAL,24,0),"")</f>
        <v/>
      </c>
      <c r="G28" s="129">
        <f>IFERROR(SUMIF(GERAL[TRECHO],GERAL[[#This Row],[PONTO]],GERAL[CLT ACUMULADO])+GERAL[[#This Row],[CLIENTES]],"")</f>
        <v/>
      </c>
      <c r="H28" s="55">
        <f>IFERROR(VLOOKUP(GERAL[[#This Row],[PONTO]],RAMAIS_ATUAL,IF($I$2="SIM",25,23),0),"")</f>
        <v/>
      </c>
      <c r="I28" s="55">
        <f>IFERROR(IF($I$2="SIM",VLOOKUP(GERAL[[#This Row],[CLT ACUMULADO]],AUX_CLAN,4,0),SUMIF(GERAL[TRECHO],GERAL[[#This Row],[PONTO]],GERAL[ACUMULADA])+GERAL[[#This Row],[TOTAL DO TRECHO]]),"")</f>
        <v/>
      </c>
      <c r="J28" s="55">
        <f>IFERROR(SQRT((GERAL[[#This Row],[X]]-$P$11)^2+(GERAL[[#This Row],[Y]]-$P$12)^2),"")</f>
        <v/>
      </c>
      <c r="K28" s="169" t="n"/>
      <c r="L28" s="171" t="n"/>
      <c r="M28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28" s="192" t="n"/>
      <c r="P28" s="192" t="n"/>
    </row>
    <row r="29">
      <c r="A29" s="169" t="n"/>
      <c r="B29" s="169" t="n"/>
      <c r="C29" s="169" t="n"/>
      <c r="D29" s="128">
        <f>IFERROR(VLOOKUP(GERAL[[#This Row],[PONTO]],COORD,2,0),"")</f>
        <v/>
      </c>
      <c r="E29" s="128">
        <f>IFERROR(VLOOKUP(GERAL[[#This Row],[PONTO]],COORD,3,0),"")</f>
        <v/>
      </c>
      <c r="F29" s="129">
        <f>IFERROR(VLOOKUP(GERAL[[#This Row],[PONTO]],RAMAIS_ATUAL,24,0),"")</f>
        <v/>
      </c>
      <c r="G29" s="129">
        <f>IFERROR(SUMIF(GERAL[TRECHO],GERAL[[#This Row],[PONTO]],GERAL[CLT ACUMULADO])+GERAL[[#This Row],[CLIENTES]],"")</f>
        <v/>
      </c>
      <c r="H29" s="55">
        <f>IFERROR(VLOOKUP(GERAL[[#This Row],[PONTO]],RAMAIS_ATUAL,IF($I$2="SIM",25,23),0),"")</f>
        <v/>
      </c>
      <c r="I29" s="55">
        <f>IFERROR(IF($I$2="SIM",VLOOKUP(GERAL[[#This Row],[CLT ACUMULADO]],AUX_CLAN,4,0),SUMIF(GERAL[TRECHO],GERAL[[#This Row],[PONTO]],GERAL[ACUMULADA])+GERAL[[#This Row],[TOTAL DO TRECHO]]),"")</f>
        <v/>
      </c>
      <c r="J29" s="55">
        <f>IFERROR(SQRT((GERAL[[#This Row],[X]]-$P$11)^2+(GERAL[[#This Row],[Y]]-$P$12)^2),"")</f>
        <v/>
      </c>
      <c r="K29" s="169" t="n"/>
      <c r="L29" s="171" t="n"/>
      <c r="M29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29" s="188">
        <f>DMDI</f>
        <v/>
      </c>
      <c r="P29" s="189" t="n"/>
    </row>
    <row r="30">
      <c r="A30" s="169" t="n"/>
      <c r="B30" s="169" t="n"/>
      <c r="C30" s="169" t="n"/>
      <c r="D30" s="128">
        <f>IFERROR(VLOOKUP(GERAL[[#This Row],[PONTO]],COORD,2,0),"")</f>
        <v/>
      </c>
      <c r="E30" s="128">
        <f>IFERROR(VLOOKUP(GERAL[[#This Row],[PONTO]],COORD,3,0),"")</f>
        <v/>
      </c>
      <c r="F30" s="129">
        <f>IFERROR(VLOOKUP(GERAL[[#This Row],[PONTO]],RAMAIS_ATUAL,24,0),"")</f>
        <v/>
      </c>
      <c r="G30" s="129">
        <f>IFERROR(SUMIF(GERAL[TRECHO],GERAL[[#This Row],[PONTO]],GERAL[CLT ACUMULADO])+GERAL[[#This Row],[CLIENTES]],"")</f>
        <v/>
      </c>
      <c r="H30" s="55">
        <f>IFERROR(VLOOKUP(GERAL[[#This Row],[PONTO]],RAMAIS_ATUAL,IF($I$2="SIM",25,23),0),"")</f>
        <v/>
      </c>
      <c r="I30" s="55">
        <f>IFERROR(IF($I$2="SIM",VLOOKUP(GERAL[[#This Row],[CLT ACUMULADO]],AUX_CLAN,4,0),SUMIF(GERAL[TRECHO],GERAL[[#This Row],[PONTO]],GERAL[ACUMULADA])+GERAL[[#This Row],[TOTAL DO TRECHO]]),"")</f>
        <v/>
      </c>
      <c r="J30" s="55">
        <f>IFERROR(SQRT((GERAL[[#This Row],[X]]-$P$11)^2+(GERAL[[#This Row],[Y]]-$P$12)^2),"")</f>
        <v/>
      </c>
      <c r="K30" s="169" t="n"/>
      <c r="L30" s="171" t="n"/>
      <c r="M30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31">
      <c r="A31" s="169" t="n"/>
      <c r="B31" s="169" t="n"/>
      <c r="C31" s="169" t="n"/>
      <c r="D31" s="128">
        <f>IFERROR(VLOOKUP(GERAL[[#This Row],[PONTO]],COORD,2,0),"")</f>
        <v/>
      </c>
      <c r="E31" s="128">
        <f>IFERROR(VLOOKUP(GERAL[[#This Row],[PONTO]],COORD,3,0),"")</f>
        <v/>
      </c>
      <c r="F31" s="129">
        <f>IFERROR(VLOOKUP(GERAL[[#This Row],[PONTO]],RAMAIS_ATUAL,24,0),"")</f>
        <v/>
      </c>
      <c r="G31" s="129">
        <f>IFERROR(SUMIF(GERAL[TRECHO],GERAL[[#This Row],[PONTO]],GERAL[CLT ACUMULADO])+GERAL[[#This Row],[CLIENTES]],"")</f>
        <v/>
      </c>
      <c r="H31" s="55">
        <f>IFERROR(VLOOKUP(GERAL[[#This Row],[PONTO]],RAMAIS_ATUAL,IF($I$2="SIM",25,23),0),"")</f>
        <v/>
      </c>
      <c r="I31" s="55">
        <f>IFERROR(IF($I$2="SIM",VLOOKUP(GERAL[[#This Row],[CLT ACUMULADO]],AUX_CLAN,4,0),SUMIF(GERAL[TRECHO],GERAL[[#This Row],[PONTO]],GERAL[ACUMULADA])+GERAL[[#This Row],[TOTAL DO TRECHO]]),"")</f>
        <v/>
      </c>
      <c r="J31" s="55">
        <f>IFERROR(SQRT((GERAL[[#This Row],[X]]-$P$11)^2+(GERAL[[#This Row],[Y]]-$P$12)^2),"")</f>
        <v/>
      </c>
      <c r="K31" s="169" t="n"/>
      <c r="L31" s="171" t="n"/>
      <c r="M31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31" s="178" t="inlineStr">
        <is>
          <t>RAMAL ESQ</t>
        </is>
      </c>
      <c r="P31" s="245">
        <f>VLOOKUP("RAMAL",Tabela7[[PONTO]:[METODO_INST]],15,0)</f>
        <v/>
      </c>
    </row>
    <row r="32">
      <c r="A32" s="169" t="n"/>
      <c r="B32" s="169" t="n"/>
      <c r="C32" s="169" t="n"/>
      <c r="D32" s="128">
        <f>IFERROR(VLOOKUP(GERAL[[#This Row],[PONTO]],COORD,2,0),"")</f>
        <v/>
      </c>
      <c r="E32" s="128">
        <f>IFERROR(VLOOKUP(GERAL[[#This Row],[PONTO]],COORD,3,0),"")</f>
        <v/>
      </c>
      <c r="F32" s="129">
        <f>IFERROR(VLOOKUP(GERAL[[#This Row],[PONTO]],RAMAIS_ATUAL,24,0),"")</f>
        <v/>
      </c>
      <c r="G32" s="129">
        <f>IFERROR(SUMIF(GERAL[TRECHO],GERAL[[#This Row],[PONTO]],GERAL[CLT ACUMULADO])+GERAL[[#This Row],[CLIENTES]],"")</f>
        <v/>
      </c>
      <c r="H32" s="55">
        <f>IFERROR(VLOOKUP(GERAL[[#This Row],[PONTO]],RAMAIS_ATUAL,IF($I$2="SIM",25,23),0),"")</f>
        <v/>
      </c>
      <c r="I32" s="55">
        <f>IFERROR(IF($I$2="SIM",VLOOKUP(GERAL[[#This Row],[CLT ACUMULADO]],AUX_CLAN,4,0),SUMIF(GERAL[TRECHO],GERAL[[#This Row],[PONTO]],GERAL[ACUMULADA])+GERAL[[#This Row],[TOTAL DO TRECHO]]),"")</f>
        <v/>
      </c>
      <c r="J32" s="55">
        <f>IFERROR(SQRT((GERAL[[#This Row],[X]]-$P$11)^2+(GERAL[[#This Row],[Y]]-$P$12)^2),"")</f>
        <v/>
      </c>
      <c r="K32" s="169" t="n"/>
      <c r="L32" s="171" t="n"/>
      <c r="M32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  <c r="O32" s="178" t="inlineStr">
        <is>
          <t>RAMAL DIR</t>
        </is>
      </c>
      <c r="P32" s="245">
        <f>VLOOKUP("RAMAL",DIR_ATUAL[[PONTO]:[ETA]],15,0)</f>
        <v/>
      </c>
    </row>
    <row r="33">
      <c r="A33" s="169" t="n"/>
      <c r="B33" s="169" t="n"/>
      <c r="C33" s="169" t="n"/>
      <c r="D33" s="128">
        <f>IFERROR(VLOOKUP(GERAL[[#This Row],[PONTO]],COORD,2,0),"")</f>
        <v/>
      </c>
      <c r="E33" s="128">
        <f>IFERROR(VLOOKUP(GERAL[[#This Row],[PONTO]],COORD,3,0),"")</f>
        <v/>
      </c>
      <c r="F33" s="129">
        <f>IFERROR(VLOOKUP(GERAL[[#This Row],[PONTO]],RAMAIS_ATUAL,24,0),"")</f>
        <v/>
      </c>
      <c r="G33" s="129">
        <f>IFERROR(SUMIF(GERAL[TRECHO],GERAL[[#This Row],[PONTO]],GERAL[CLT ACUMULADO])+GERAL[[#This Row],[CLIENTES]],"")</f>
        <v/>
      </c>
      <c r="H33" s="55">
        <f>IFERROR(VLOOKUP(GERAL[[#This Row],[PONTO]],RAMAIS_ATUAL,IF($I$2="SIM",25,23),0),"")</f>
        <v/>
      </c>
      <c r="I33" s="55">
        <f>IFERROR(IF($I$2="SIM",VLOOKUP(GERAL[[#This Row],[CLT ACUMULADO]],AUX_CLAN,4,0),SUMIF(GERAL[TRECHO],GERAL[[#This Row],[PONTO]],GERAL[ACUMULADA])+GERAL[[#This Row],[TOTAL DO TRECHO]]),"")</f>
        <v/>
      </c>
      <c r="J33" s="55">
        <f>IFERROR(SQRT((GERAL[[#This Row],[X]]-$P$11)^2+(GERAL[[#This Row],[Y]]-$P$12)^2),"")</f>
        <v/>
      </c>
      <c r="K33" s="169" t="n"/>
      <c r="L33" s="171" t="n"/>
      <c r="M33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34">
      <c r="A34" s="169" t="n"/>
      <c r="B34" s="169" t="n"/>
      <c r="C34" s="169" t="n"/>
      <c r="D34" s="128">
        <f>IFERROR(VLOOKUP(GERAL[[#This Row],[PONTO]],COORD,2,0),"")</f>
        <v/>
      </c>
      <c r="E34" s="128">
        <f>IFERROR(VLOOKUP(GERAL[[#This Row],[PONTO]],COORD,3,0),"")</f>
        <v/>
      </c>
      <c r="F34" s="129">
        <f>IFERROR(VLOOKUP(GERAL[[#This Row],[PONTO]],RAMAIS_ATUAL,24,0),"")</f>
        <v/>
      </c>
      <c r="G34" s="129">
        <f>IFERROR(SUMIF(GERAL[TRECHO],GERAL[[#This Row],[PONTO]],GERAL[CLT ACUMULADO])+GERAL[[#This Row],[CLIENTES]],"")</f>
        <v/>
      </c>
      <c r="H34" s="55">
        <f>IFERROR(VLOOKUP(GERAL[[#This Row],[PONTO]],RAMAIS_ATUAL,IF($I$2="SIM",25,23),0),"")</f>
        <v/>
      </c>
      <c r="I34" s="55">
        <f>IFERROR(IF($I$2="SIM",VLOOKUP(GERAL[[#This Row],[CLT ACUMULADO]],AUX_CLAN,4,0),SUMIF(GERAL[TRECHO],GERAL[[#This Row],[PONTO]],GERAL[ACUMULADA])+GERAL[[#This Row],[TOTAL DO TRECHO]]),"")</f>
        <v/>
      </c>
      <c r="J34" s="55">
        <f>IFERROR(SQRT((GERAL[[#This Row],[X]]-$P$11)^2+(GERAL[[#This Row],[Y]]-$P$12)^2),"")</f>
        <v/>
      </c>
      <c r="K34" s="169" t="n"/>
      <c r="L34" s="171" t="n"/>
      <c r="M34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35">
      <c r="A35" s="169" t="n"/>
      <c r="B35" s="169" t="n"/>
      <c r="C35" s="169" t="n"/>
      <c r="D35" s="128">
        <f>IFERROR(VLOOKUP(GERAL[[#This Row],[PONTO]],COORD,2,0),"")</f>
        <v/>
      </c>
      <c r="E35" s="128">
        <f>IFERROR(VLOOKUP(GERAL[[#This Row],[PONTO]],COORD,3,0),"")</f>
        <v/>
      </c>
      <c r="F35" s="129">
        <f>IFERROR(VLOOKUP(GERAL[[#This Row],[PONTO]],RAMAIS_ATUAL,24,0),"")</f>
        <v/>
      </c>
      <c r="G35" s="129">
        <f>IFERROR(SUMIF(GERAL[TRECHO],GERAL[[#This Row],[PONTO]],GERAL[CLT ACUMULADO])+GERAL[[#This Row],[CLIENTES]],"")</f>
        <v/>
      </c>
      <c r="H35" s="55">
        <f>IFERROR(VLOOKUP(GERAL[[#This Row],[PONTO]],RAMAIS_ATUAL,IF($I$2="SIM",25,23),0),"")</f>
        <v/>
      </c>
      <c r="I35" s="55">
        <f>IFERROR(IF($I$2="SIM",VLOOKUP(GERAL[[#This Row],[CLT ACUMULADO]],AUX_CLAN,4,0),SUMIF(GERAL[TRECHO],GERAL[[#This Row],[PONTO]],GERAL[ACUMULADA])+GERAL[[#This Row],[TOTAL DO TRECHO]]),"")</f>
        <v/>
      </c>
      <c r="J35" s="55">
        <f>IFERROR(SQRT((GERAL[[#This Row],[X]]-$P$11)^2+(GERAL[[#This Row],[Y]]-$P$12)^2),"")</f>
        <v/>
      </c>
      <c r="K35" s="169" t="n"/>
      <c r="L35" s="171" t="n"/>
      <c r="M35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36">
      <c r="A36" s="169" t="n"/>
      <c r="B36" s="169" t="n"/>
      <c r="C36" s="169" t="n"/>
      <c r="D36" s="128">
        <f>IFERROR(VLOOKUP(GERAL[[#This Row],[PONTO]],COORD,2,0),"")</f>
        <v/>
      </c>
      <c r="E36" s="128">
        <f>IFERROR(VLOOKUP(GERAL[[#This Row],[PONTO]],COORD,3,0),"")</f>
        <v/>
      </c>
      <c r="F36" s="129">
        <f>IFERROR(VLOOKUP(GERAL[[#This Row],[PONTO]],RAMAIS_ATUAL,24,0),"")</f>
        <v/>
      </c>
      <c r="G36" s="129">
        <f>IFERROR(SUMIF(GERAL[TRECHO],GERAL[[#This Row],[PONTO]],GERAL[CLT ACUMULADO])+GERAL[[#This Row],[CLIENTES]],"")</f>
        <v/>
      </c>
      <c r="H36" s="55">
        <f>IFERROR(VLOOKUP(GERAL[[#This Row],[PONTO]],RAMAIS_ATUAL,IF($I$2="SIM",25,23),0),"")</f>
        <v/>
      </c>
      <c r="I36" s="55">
        <f>IFERROR(IF($I$2="SIM",VLOOKUP(GERAL[[#This Row],[CLT ACUMULADO]],AUX_CLAN,4,0),SUMIF(GERAL[TRECHO],GERAL[[#This Row],[PONTO]],GERAL[ACUMULADA])+GERAL[[#This Row],[TOTAL DO TRECHO]]),"")</f>
        <v/>
      </c>
      <c r="J36" s="55">
        <f>IFERROR(SQRT((GERAL[[#This Row],[X]]-$P$11)^2+(GERAL[[#This Row],[Y]]-$P$12)^2),"")</f>
        <v/>
      </c>
      <c r="K36" s="169" t="n"/>
      <c r="L36" s="171" t="n"/>
      <c r="M36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37">
      <c r="A37" s="169" t="n"/>
      <c r="B37" s="169" t="n"/>
      <c r="C37" s="169" t="n"/>
      <c r="D37" s="128">
        <f>IFERROR(VLOOKUP(GERAL[[#This Row],[PONTO]],COORD,2,0),"")</f>
        <v/>
      </c>
      <c r="E37" s="128">
        <f>IFERROR(VLOOKUP(GERAL[[#This Row],[PONTO]],COORD,3,0),"")</f>
        <v/>
      </c>
      <c r="F37" s="129">
        <f>IFERROR(VLOOKUP(GERAL[[#This Row],[PONTO]],RAMAIS_ATUAL,24,0),"")</f>
        <v/>
      </c>
      <c r="G37" s="129">
        <f>IFERROR(SUMIF(GERAL[TRECHO],GERAL[[#This Row],[PONTO]],GERAL[CLT ACUMULADO])+GERAL[[#This Row],[CLIENTES]],"")</f>
        <v/>
      </c>
      <c r="H37" s="55">
        <f>IFERROR(VLOOKUP(GERAL[[#This Row],[PONTO]],RAMAIS_ATUAL,IF($I$2="SIM",25,23),0),"")</f>
        <v/>
      </c>
      <c r="I37" s="55">
        <f>IFERROR(IF($I$2="SIM",VLOOKUP(GERAL[[#This Row],[CLT ACUMULADO]],AUX_CLAN,4,0),SUMIF(GERAL[TRECHO],GERAL[[#This Row],[PONTO]],GERAL[ACUMULADA])+GERAL[[#This Row],[TOTAL DO TRECHO]]),"")</f>
        <v/>
      </c>
      <c r="J37" s="55">
        <f>IFERROR(SQRT((GERAL[[#This Row],[X]]-$P$11)^2+(GERAL[[#This Row],[Y]]-$P$12)^2),"")</f>
        <v/>
      </c>
      <c r="K37" s="169" t="n"/>
      <c r="L37" s="171" t="n"/>
      <c r="M37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38">
      <c r="A38" s="169" t="n"/>
      <c r="B38" s="169" t="n"/>
      <c r="C38" s="169" t="n"/>
      <c r="D38" s="128">
        <f>IFERROR(VLOOKUP(GERAL[[#This Row],[PONTO]],COORD,2,0),"")</f>
        <v/>
      </c>
      <c r="E38" s="128">
        <f>IFERROR(VLOOKUP(GERAL[[#This Row],[PONTO]],COORD,3,0),"")</f>
        <v/>
      </c>
      <c r="F38" s="129">
        <f>IFERROR(VLOOKUP(GERAL[[#This Row],[PONTO]],RAMAIS_ATUAL,24,0),"")</f>
        <v/>
      </c>
      <c r="G38" s="129">
        <f>IFERROR(SUMIF(GERAL[TRECHO],GERAL[[#This Row],[PONTO]],GERAL[CLT ACUMULADO])+GERAL[[#This Row],[CLIENTES]],"")</f>
        <v/>
      </c>
      <c r="H38" s="55">
        <f>IFERROR(VLOOKUP(GERAL[[#This Row],[PONTO]],RAMAIS_ATUAL,IF($I$2="SIM",25,23),0),"")</f>
        <v/>
      </c>
      <c r="I38" s="55">
        <f>IFERROR(IF($I$2="SIM",VLOOKUP(GERAL[[#This Row],[CLT ACUMULADO]],AUX_CLAN,4,0),SUMIF(GERAL[TRECHO],GERAL[[#This Row],[PONTO]],GERAL[ACUMULADA])+GERAL[[#This Row],[TOTAL DO TRECHO]]),"")</f>
        <v/>
      </c>
      <c r="J38" s="55">
        <f>IFERROR(SQRT((GERAL[[#This Row],[X]]-$P$11)^2+(GERAL[[#This Row],[Y]]-$P$12)^2),"")</f>
        <v/>
      </c>
      <c r="K38" s="169" t="n"/>
      <c r="L38" s="171" t="n"/>
      <c r="M38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39">
      <c r="A39" s="169" t="n"/>
      <c r="B39" s="169" t="n"/>
      <c r="C39" s="169" t="n"/>
      <c r="D39" s="128">
        <f>IFERROR(VLOOKUP(GERAL[[#This Row],[PONTO]],COORD,2,0),"")</f>
        <v/>
      </c>
      <c r="E39" s="128">
        <f>IFERROR(VLOOKUP(GERAL[[#This Row],[PONTO]],COORD,3,0),"")</f>
        <v/>
      </c>
      <c r="F39" s="129">
        <f>IFERROR(VLOOKUP(GERAL[[#This Row],[PONTO]],RAMAIS_ATUAL,24,0),"")</f>
        <v/>
      </c>
      <c r="G39" s="129">
        <f>IFERROR(SUMIF(GERAL[TRECHO],GERAL[[#This Row],[PONTO]],GERAL[CLT ACUMULADO])+GERAL[[#This Row],[CLIENTES]],"")</f>
        <v/>
      </c>
      <c r="H39" s="55">
        <f>IFERROR(VLOOKUP(GERAL[[#This Row],[PONTO]],RAMAIS_ATUAL,IF($I$2="SIM",25,23),0),"")</f>
        <v/>
      </c>
      <c r="I39" s="55">
        <f>IFERROR(IF($I$2="SIM",VLOOKUP(GERAL[[#This Row],[CLT ACUMULADO]],AUX_CLAN,4,0),SUMIF(GERAL[TRECHO],GERAL[[#This Row],[PONTO]],GERAL[ACUMULADA])+GERAL[[#This Row],[TOTAL DO TRECHO]]),"")</f>
        <v/>
      </c>
      <c r="J39" s="55">
        <f>IFERROR(SQRT((GERAL[[#This Row],[X]]-$P$11)^2+(GERAL[[#This Row],[Y]]-$P$12)^2),"")</f>
        <v/>
      </c>
      <c r="K39" s="169" t="n"/>
      <c r="L39" s="171" t="n"/>
      <c r="M39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0">
      <c r="A40" s="169" t="n"/>
      <c r="B40" s="169" t="n"/>
      <c r="C40" s="169" t="n"/>
      <c r="D40" s="128">
        <f>IFERROR(VLOOKUP(GERAL[[#This Row],[PONTO]],COORD,2,0),"")</f>
        <v/>
      </c>
      <c r="E40" s="128">
        <f>IFERROR(VLOOKUP(GERAL[[#This Row],[PONTO]],COORD,3,0),"")</f>
        <v/>
      </c>
      <c r="F40" s="129">
        <f>IFERROR(VLOOKUP(GERAL[[#This Row],[PONTO]],RAMAIS_ATUAL,24,0),"")</f>
        <v/>
      </c>
      <c r="G40" s="129">
        <f>IFERROR(SUMIF(GERAL[TRECHO],GERAL[[#This Row],[PONTO]],GERAL[CLT ACUMULADO])+GERAL[[#This Row],[CLIENTES]],"")</f>
        <v/>
      </c>
      <c r="H40" s="55">
        <f>IFERROR(VLOOKUP(GERAL[[#This Row],[PONTO]],RAMAIS_ATUAL,IF($I$2="SIM",25,23),0),"")</f>
        <v/>
      </c>
      <c r="I40" s="55">
        <f>IFERROR(IF($I$2="SIM",VLOOKUP(GERAL[[#This Row],[CLT ACUMULADO]],AUX_CLAN,4,0),SUMIF(GERAL[TRECHO],GERAL[[#This Row],[PONTO]],GERAL[ACUMULADA])+GERAL[[#This Row],[TOTAL DO TRECHO]]),"")</f>
        <v/>
      </c>
      <c r="J40" s="55">
        <f>IFERROR(SQRT((GERAL[[#This Row],[X]]-$P$11)^2+(GERAL[[#This Row],[Y]]-$P$12)^2),"")</f>
        <v/>
      </c>
      <c r="K40" s="169" t="n"/>
      <c r="L40" s="171" t="n"/>
      <c r="M40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1">
      <c r="A41" s="169" t="n"/>
      <c r="B41" s="169" t="n"/>
      <c r="C41" s="169" t="n"/>
      <c r="D41" s="128">
        <f>IFERROR(VLOOKUP(GERAL[[#This Row],[PONTO]],COORD,2,0),"")</f>
        <v/>
      </c>
      <c r="E41" s="128">
        <f>IFERROR(VLOOKUP(GERAL[[#This Row],[PONTO]],COORD,3,0),"")</f>
        <v/>
      </c>
      <c r="F41" s="129">
        <f>IFERROR(VLOOKUP(GERAL[[#This Row],[PONTO]],RAMAIS_ATUAL,24,0),"")</f>
        <v/>
      </c>
      <c r="G41" s="129">
        <f>IFERROR(SUMIF(GERAL[TRECHO],GERAL[[#This Row],[PONTO]],GERAL[CLT ACUMULADO])+GERAL[[#This Row],[CLIENTES]],"")</f>
        <v/>
      </c>
      <c r="H41" s="55">
        <f>IFERROR(VLOOKUP(GERAL[[#This Row],[PONTO]],RAMAIS_ATUAL,IF($I$2="SIM",25,23),0),"")</f>
        <v/>
      </c>
      <c r="I41" s="55">
        <f>IFERROR(IF($I$2="SIM",VLOOKUP(GERAL[[#This Row],[CLT ACUMULADO]],AUX_CLAN,4,0),SUMIF(GERAL[TRECHO],GERAL[[#This Row],[PONTO]],GERAL[ACUMULADA])+GERAL[[#This Row],[TOTAL DO TRECHO]]),"")</f>
        <v/>
      </c>
      <c r="J41" s="55">
        <f>IFERROR(SQRT((GERAL[[#This Row],[X]]-$P$11)^2+(GERAL[[#This Row],[Y]]-$P$12)^2),"")</f>
        <v/>
      </c>
      <c r="K41" s="169" t="n"/>
      <c r="L41" s="171" t="n"/>
      <c r="M41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2">
      <c r="A42" s="169" t="n"/>
      <c r="B42" s="169" t="n"/>
      <c r="C42" s="169" t="n"/>
      <c r="D42" s="128">
        <f>IFERROR(VLOOKUP(GERAL[[#This Row],[PONTO]],COORD,2,0),"")</f>
        <v/>
      </c>
      <c r="E42" s="128">
        <f>IFERROR(VLOOKUP(GERAL[[#This Row],[PONTO]],COORD,3,0),"")</f>
        <v/>
      </c>
      <c r="F42" s="129">
        <f>IFERROR(VLOOKUP(GERAL[[#This Row],[PONTO]],RAMAIS_ATUAL,24,0),"")</f>
        <v/>
      </c>
      <c r="G42" s="129">
        <f>IFERROR(SUMIF(GERAL[TRECHO],GERAL[[#This Row],[PONTO]],GERAL[CLT ACUMULADO])+GERAL[[#This Row],[CLIENTES]],"")</f>
        <v/>
      </c>
      <c r="H42" s="55">
        <f>IFERROR(VLOOKUP(GERAL[[#This Row],[PONTO]],RAMAIS_ATUAL,IF($I$2="SIM",25,23),0),"")</f>
        <v/>
      </c>
      <c r="I42" s="55">
        <f>IFERROR(IF($I$2="SIM",VLOOKUP(GERAL[[#This Row],[CLT ACUMULADO]],AUX_CLAN,4,0),SUMIF(GERAL[TRECHO],GERAL[[#This Row],[PONTO]],GERAL[ACUMULADA])+GERAL[[#This Row],[TOTAL DO TRECHO]]),"")</f>
        <v/>
      </c>
      <c r="J42" s="55">
        <f>IFERROR(SQRT((GERAL[[#This Row],[X]]-$P$11)^2+(GERAL[[#This Row],[Y]]-$P$12)^2),"")</f>
        <v/>
      </c>
      <c r="K42" s="169" t="n"/>
      <c r="L42" s="171" t="n"/>
      <c r="M42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3">
      <c r="A43" s="169" t="n"/>
      <c r="B43" s="169" t="n"/>
      <c r="C43" s="169" t="n"/>
      <c r="D43" s="128">
        <f>IFERROR(VLOOKUP(GERAL[[#This Row],[PONTO]],COORD,2,0),"")</f>
        <v/>
      </c>
      <c r="E43" s="128">
        <f>IFERROR(VLOOKUP(GERAL[[#This Row],[PONTO]],COORD,3,0),"")</f>
        <v/>
      </c>
      <c r="F43" s="129">
        <f>IFERROR(VLOOKUP(GERAL[[#This Row],[PONTO]],RAMAIS_ATUAL,24,0),"")</f>
        <v/>
      </c>
      <c r="G43" s="129">
        <f>IFERROR(SUMIF(GERAL[TRECHO],GERAL[[#This Row],[PONTO]],GERAL[CLT ACUMULADO])+GERAL[[#This Row],[CLIENTES]],"")</f>
        <v/>
      </c>
      <c r="H43" s="55">
        <f>IFERROR(VLOOKUP(GERAL[[#This Row],[PONTO]],RAMAIS_ATUAL,IF($I$2="SIM",25,23),0),"")</f>
        <v/>
      </c>
      <c r="I43" s="55">
        <f>IFERROR(IF($I$2="SIM",VLOOKUP(GERAL[[#This Row],[CLT ACUMULADO]],AUX_CLAN,4,0),SUMIF(GERAL[TRECHO],GERAL[[#This Row],[PONTO]],GERAL[ACUMULADA])+GERAL[[#This Row],[TOTAL DO TRECHO]]),"")</f>
        <v/>
      </c>
      <c r="J43" s="55">
        <f>IFERROR(SQRT((GERAL[[#This Row],[X]]-$P$11)^2+(GERAL[[#This Row],[Y]]-$P$12)^2),"")</f>
        <v/>
      </c>
      <c r="K43" s="169" t="n"/>
      <c r="L43" s="171" t="n"/>
      <c r="M43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4">
      <c r="A44" s="169" t="n"/>
      <c r="B44" s="169" t="n"/>
      <c r="C44" s="169" t="n"/>
      <c r="D44" s="128">
        <f>IFERROR(VLOOKUP(GERAL[[#This Row],[PONTO]],COORD,2,0),"")</f>
        <v/>
      </c>
      <c r="E44" s="128">
        <f>IFERROR(VLOOKUP(GERAL[[#This Row],[PONTO]],COORD,3,0),"")</f>
        <v/>
      </c>
      <c r="F44" s="129">
        <f>IFERROR(VLOOKUP(GERAL[[#This Row],[PONTO]],RAMAIS_ATUAL,24,0),"")</f>
        <v/>
      </c>
      <c r="G44" s="129">
        <f>IFERROR(SUMIF(GERAL[TRECHO],GERAL[[#This Row],[PONTO]],GERAL[CLT ACUMULADO])+GERAL[[#This Row],[CLIENTES]],"")</f>
        <v/>
      </c>
      <c r="H44" s="55">
        <f>IFERROR(VLOOKUP(GERAL[[#This Row],[PONTO]],RAMAIS_ATUAL,IF($I$2="SIM",25,23),0),"")</f>
        <v/>
      </c>
      <c r="I44" s="55">
        <f>IFERROR(IF($I$2="SIM",VLOOKUP(GERAL[[#This Row],[CLT ACUMULADO]],AUX_CLAN,4,0),SUMIF(GERAL[TRECHO],GERAL[[#This Row],[PONTO]],GERAL[ACUMULADA])+GERAL[[#This Row],[TOTAL DO TRECHO]]),"")</f>
        <v/>
      </c>
      <c r="J44" s="55">
        <f>IFERROR(SQRT((GERAL[[#This Row],[X]]-$P$11)^2+(GERAL[[#This Row],[Y]]-$P$12)^2),"")</f>
        <v/>
      </c>
      <c r="K44" s="169" t="n"/>
      <c r="L44" s="171" t="n"/>
      <c r="M44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5">
      <c r="A45" s="169" t="n"/>
      <c r="B45" s="169" t="n"/>
      <c r="C45" s="169" t="n"/>
      <c r="D45" s="128">
        <f>IFERROR(VLOOKUP(GERAL[[#This Row],[PONTO]],COORD,2,0),"")</f>
        <v/>
      </c>
      <c r="E45" s="128">
        <f>IFERROR(VLOOKUP(GERAL[[#This Row],[PONTO]],COORD,3,0),"")</f>
        <v/>
      </c>
      <c r="F45" s="129">
        <f>IFERROR(VLOOKUP(GERAL[[#This Row],[PONTO]],RAMAIS_ATUAL,24,0),"")</f>
        <v/>
      </c>
      <c r="G45" s="129">
        <f>IFERROR(SUMIF(GERAL[TRECHO],GERAL[[#This Row],[PONTO]],GERAL[CLT ACUMULADO])+GERAL[[#This Row],[CLIENTES]],"")</f>
        <v/>
      </c>
      <c r="H45" s="55">
        <f>IFERROR(VLOOKUP(GERAL[[#This Row],[PONTO]],RAMAIS_ATUAL,IF($I$2="SIM",25,23),0),"")</f>
        <v/>
      </c>
      <c r="I45" s="55">
        <f>IFERROR(IF($I$2="SIM",VLOOKUP(GERAL[[#This Row],[CLT ACUMULADO]],AUX_CLAN,4,0),SUMIF(GERAL[TRECHO],GERAL[[#This Row],[PONTO]],GERAL[ACUMULADA])+GERAL[[#This Row],[TOTAL DO TRECHO]]),"")</f>
        <v/>
      </c>
      <c r="J45" s="55">
        <f>IFERROR(SQRT((GERAL[[#This Row],[X]]-$P$11)^2+(GERAL[[#This Row],[Y]]-$P$12)^2),"")</f>
        <v/>
      </c>
      <c r="K45" s="169" t="n"/>
      <c r="L45" s="171" t="n"/>
      <c r="M45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6">
      <c r="A46" s="169" t="n"/>
      <c r="B46" s="169" t="n"/>
      <c r="C46" s="169" t="n"/>
      <c r="D46" s="128">
        <f>IFERROR(VLOOKUP(GERAL[[#This Row],[PONTO]],COORD,2,0),"")</f>
        <v/>
      </c>
      <c r="E46" s="128">
        <f>IFERROR(VLOOKUP(GERAL[[#This Row],[PONTO]],COORD,3,0),"")</f>
        <v/>
      </c>
      <c r="F46" s="129">
        <f>IFERROR(VLOOKUP(GERAL[[#This Row],[PONTO]],RAMAIS_ATUAL,24,0),"")</f>
        <v/>
      </c>
      <c r="G46" s="129">
        <f>IFERROR(SUMIF(GERAL[TRECHO],GERAL[[#This Row],[PONTO]],GERAL[CLT ACUMULADO])+GERAL[[#This Row],[CLIENTES]],"")</f>
        <v/>
      </c>
      <c r="H46" s="55">
        <f>IFERROR(VLOOKUP(GERAL[[#This Row],[PONTO]],RAMAIS_ATUAL,IF($I$2="SIM",25,23),0),"")</f>
        <v/>
      </c>
      <c r="I46" s="55">
        <f>IFERROR(IF($I$2="SIM",VLOOKUP(GERAL[[#This Row],[CLT ACUMULADO]],AUX_CLAN,4,0),SUMIF(GERAL[TRECHO],GERAL[[#This Row],[PONTO]],GERAL[ACUMULADA])+GERAL[[#This Row],[TOTAL DO TRECHO]]),"")</f>
        <v/>
      </c>
      <c r="J46" s="55">
        <f>IFERROR(SQRT((GERAL[[#This Row],[X]]-$P$11)^2+(GERAL[[#This Row],[Y]]-$P$12)^2),"")</f>
        <v/>
      </c>
      <c r="K46" s="169" t="n"/>
      <c r="L46" s="171" t="n"/>
      <c r="M46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7">
      <c r="A47" s="169" t="n"/>
      <c r="B47" s="169" t="n"/>
      <c r="C47" s="169" t="n"/>
      <c r="D47" s="128">
        <f>IFERROR(VLOOKUP(GERAL[[#This Row],[PONTO]],COORD,2,0),"")</f>
        <v/>
      </c>
      <c r="E47" s="128">
        <f>IFERROR(VLOOKUP(GERAL[[#This Row],[PONTO]],COORD,3,0),"")</f>
        <v/>
      </c>
      <c r="F47" s="129">
        <f>IFERROR(VLOOKUP(GERAL[[#This Row],[PONTO]],RAMAIS_ATUAL,24,0),"")</f>
        <v/>
      </c>
      <c r="G47" s="129">
        <f>IFERROR(SUMIF(GERAL[TRECHO],GERAL[[#This Row],[PONTO]],GERAL[CLT ACUMULADO])+GERAL[[#This Row],[CLIENTES]],"")</f>
        <v/>
      </c>
      <c r="H47" s="55">
        <f>IFERROR(VLOOKUP(GERAL[[#This Row],[PONTO]],RAMAIS_ATUAL,IF($I$2="SIM",25,23),0),"")</f>
        <v/>
      </c>
      <c r="I47" s="55">
        <f>IFERROR(IF($I$2="SIM",VLOOKUP(GERAL[[#This Row],[CLT ACUMULADO]],AUX_CLAN,4,0),SUMIF(GERAL[TRECHO],GERAL[[#This Row],[PONTO]],GERAL[ACUMULADA])+GERAL[[#This Row],[TOTAL DO TRECHO]]),"")</f>
        <v/>
      </c>
      <c r="J47" s="55">
        <f>IFERROR(SQRT((GERAL[[#This Row],[X]]-$P$11)^2+(GERAL[[#This Row],[Y]]-$P$12)^2),"")</f>
        <v/>
      </c>
      <c r="K47" s="169" t="n"/>
      <c r="L47" s="171" t="n"/>
      <c r="M47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8">
      <c r="A48" s="169" t="n"/>
      <c r="B48" s="169" t="n"/>
      <c r="C48" s="169" t="n"/>
      <c r="D48" s="128">
        <f>IFERROR(VLOOKUP(GERAL[[#This Row],[PONTO]],COORD,2,0),"")</f>
        <v/>
      </c>
      <c r="E48" s="128">
        <f>IFERROR(VLOOKUP(GERAL[[#This Row],[PONTO]],COORD,3,0),"")</f>
        <v/>
      </c>
      <c r="F48" s="129">
        <f>IFERROR(VLOOKUP(GERAL[[#This Row],[PONTO]],RAMAIS_ATUAL,24,0),"")</f>
        <v/>
      </c>
      <c r="G48" s="129">
        <f>IFERROR(SUMIF(GERAL[TRECHO],GERAL[[#This Row],[PONTO]],GERAL[CLT ACUMULADO])+GERAL[[#This Row],[CLIENTES]],"")</f>
        <v/>
      </c>
      <c r="H48" s="55">
        <f>IFERROR(VLOOKUP(GERAL[[#This Row],[PONTO]],RAMAIS_ATUAL,IF($I$2="SIM",25,23),0),"")</f>
        <v/>
      </c>
      <c r="I48" s="55">
        <f>IFERROR(IF($I$2="SIM",VLOOKUP(GERAL[[#This Row],[CLT ACUMULADO]],AUX_CLAN,4,0),SUMIF(GERAL[TRECHO],GERAL[[#This Row],[PONTO]],GERAL[ACUMULADA])+GERAL[[#This Row],[TOTAL DO TRECHO]]),"")</f>
        <v/>
      </c>
      <c r="J48" s="55">
        <f>IFERROR(SQRT((GERAL[[#This Row],[X]]-$P$11)^2+(GERAL[[#This Row],[Y]]-$P$12)^2),"")</f>
        <v/>
      </c>
      <c r="K48" s="169" t="n"/>
      <c r="L48" s="171" t="n"/>
      <c r="M48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49">
      <c r="A49" s="169" t="n"/>
      <c r="B49" s="169" t="n"/>
      <c r="C49" s="169" t="n"/>
      <c r="D49" s="128">
        <f>IFERROR(VLOOKUP(GERAL[[#This Row],[PONTO]],COORD,2,0),"")</f>
        <v/>
      </c>
      <c r="E49" s="128">
        <f>IFERROR(VLOOKUP(GERAL[[#This Row],[PONTO]],COORD,3,0),"")</f>
        <v/>
      </c>
      <c r="F49" s="129">
        <f>IFERROR(VLOOKUP(GERAL[[#This Row],[PONTO]],RAMAIS_ATUAL,24,0),"")</f>
        <v/>
      </c>
      <c r="G49" s="129">
        <f>IFERROR(SUMIF(GERAL[TRECHO],GERAL[[#This Row],[PONTO]],GERAL[CLT ACUMULADO])+GERAL[[#This Row],[CLIENTES]],"")</f>
        <v/>
      </c>
      <c r="H49" s="55">
        <f>IFERROR(VLOOKUP(GERAL[[#This Row],[PONTO]],RAMAIS_ATUAL,IF($I$2="SIM",25,23),0),"")</f>
        <v/>
      </c>
      <c r="I49" s="55">
        <f>IFERROR(IF($I$2="SIM",VLOOKUP(GERAL[[#This Row],[CLT ACUMULADO]],AUX_CLAN,4,0),SUMIF(GERAL[TRECHO],GERAL[[#This Row],[PONTO]],GERAL[ACUMULADA])+GERAL[[#This Row],[TOTAL DO TRECHO]]),"")</f>
        <v/>
      </c>
      <c r="J49" s="55">
        <f>IFERROR(SQRT((GERAL[[#This Row],[X]]-$P$11)^2+(GERAL[[#This Row],[Y]]-$P$12)^2),"")</f>
        <v/>
      </c>
      <c r="K49" s="169" t="n"/>
      <c r="L49" s="171" t="n"/>
      <c r="M49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50">
      <c r="A50" s="169" t="n"/>
      <c r="B50" s="169" t="n"/>
      <c r="C50" s="169" t="n"/>
      <c r="D50" s="128">
        <f>IFERROR(VLOOKUP(GERAL[[#This Row],[PONTO]],COORD,2,0),"")</f>
        <v/>
      </c>
      <c r="E50" s="128">
        <f>IFERROR(VLOOKUP(GERAL[[#This Row],[PONTO]],COORD,3,0),"")</f>
        <v/>
      </c>
      <c r="F50" s="129">
        <f>IFERROR(VLOOKUP(GERAL[[#This Row],[PONTO]],RAMAIS_ATUAL,24,0),"")</f>
        <v/>
      </c>
      <c r="G50" s="129">
        <f>IFERROR(SUMIF(GERAL[TRECHO],GERAL[[#This Row],[PONTO]],GERAL[CLT ACUMULADO])+GERAL[[#This Row],[CLIENTES]],"")</f>
        <v/>
      </c>
      <c r="H50" s="55">
        <f>IFERROR(VLOOKUP(GERAL[[#This Row],[PONTO]],RAMAIS_ATUAL,IF($I$2="SIM",25,23),0),"")</f>
        <v/>
      </c>
      <c r="I50" s="55">
        <f>IFERROR(IF($I$2="SIM",VLOOKUP(GERAL[[#This Row],[CLT ACUMULADO]],AUX_CLAN,4,0),SUMIF(GERAL[TRECHO],GERAL[[#This Row],[PONTO]],GERAL[ACUMULADA])+GERAL[[#This Row],[TOTAL DO TRECHO]]),"")</f>
        <v/>
      </c>
      <c r="J50" s="55">
        <f>IFERROR(SQRT((GERAL[[#This Row],[X]]-$P$11)^2+(GERAL[[#This Row],[Y]]-$P$12)^2),"")</f>
        <v/>
      </c>
      <c r="K50" s="169" t="n"/>
      <c r="L50" s="171" t="n"/>
      <c r="M50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51">
      <c r="A51" s="169" t="n"/>
      <c r="B51" s="169" t="n"/>
      <c r="C51" s="169" t="n"/>
      <c r="D51" s="128">
        <f>IFERROR(VLOOKUP(GERAL[[#This Row],[PONTO]],COORD,2,0),"")</f>
        <v/>
      </c>
      <c r="E51" s="128">
        <f>IFERROR(VLOOKUP(GERAL[[#This Row],[PONTO]],COORD,3,0),"")</f>
        <v/>
      </c>
      <c r="F51" s="129">
        <f>IFERROR(VLOOKUP(GERAL[[#This Row],[PONTO]],RAMAIS_ATUAL,24,0),"")</f>
        <v/>
      </c>
      <c r="G51" s="129">
        <f>IFERROR(SUMIF(GERAL[TRECHO],GERAL[[#This Row],[PONTO]],GERAL[CLT ACUMULADO])+GERAL[[#This Row],[CLIENTES]],"")</f>
        <v/>
      </c>
      <c r="H51" s="55">
        <f>IFERROR(VLOOKUP(GERAL[[#This Row],[PONTO]],RAMAIS_ATUAL,IF($I$2="SIM",25,23),0),"")</f>
        <v/>
      </c>
      <c r="I51" s="55">
        <f>IFERROR(IF($I$2="SIM",VLOOKUP(GERAL[[#This Row],[CLT ACUMULADO]],AUX_CLAN,4,0),SUMIF(GERAL[TRECHO],GERAL[[#This Row],[PONTO]],GERAL[ACUMULADA])+GERAL[[#This Row],[TOTAL DO TRECHO]]),"")</f>
        <v/>
      </c>
      <c r="J51" s="55">
        <f>IFERROR(SQRT((GERAL[[#This Row],[X]]-$P$11)^2+(GERAL[[#This Row],[Y]]-$P$12)^2),"")</f>
        <v/>
      </c>
      <c r="K51" s="169" t="n"/>
      <c r="L51" s="171" t="n"/>
      <c r="M51" s="128">
        <f>IF(GERAL[[#This Row],[PONTO]]="","",IFERROR(IF(GERAL[[#This Row],[LADO]]="ESQUERDO",VLOOKUP(GERAL[[#This Row],[PONTO]],'ESQ ATUAL'!$A:$O,15,0),IF(GERAL[[#This Row],[LADO]]="DIREITO",VLOOKUP(GERAL[[#This Row],[PONTO]],'DIR ATUAL'!$A:$O,15,0),IF(GERAL[[#This Row],[LADO]]="TRAFO",127-(127*(QT_MTTR)),""))),""))</f>
        <v/>
      </c>
    </row>
    <row r="52">
      <c r="D52" s="7" t="n"/>
      <c r="E52" s="7" t="n"/>
      <c r="F52" s="7" t="n"/>
      <c r="G52" s="7" t="n"/>
    </row>
    <row r="53">
      <c r="D53" s="7" t="n"/>
      <c r="E53" s="7" t="n"/>
      <c r="F53" s="7" t="n"/>
      <c r="G53" s="7" t="n"/>
    </row>
    <row r="54">
      <c r="D54" s="7" t="n"/>
      <c r="E54" s="7" t="n"/>
      <c r="F54" s="7" t="n"/>
      <c r="G54" s="7" t="n"/>
    </row>
    <row r="55">
      <c r="D55" s="7" t="n"/>
      <c r="E55" s="7" t="n"/>
      <c r="F55" s="7" t="n"/>
      <c r="G55" s="7" t="n"/>
    </row>
    <row r="56">
      <c r="D56" s="7" t="n"/>
      <c r="E56" s="7" t="n"/>
      <c r="F56" s="7" t="n"/>
      <c r="G56" s="7" t="n"/>
    </row>
    <row r="57">
      <c r="D57" s="7" t="n"/>
      <c r="E57" s="7" t="n"/>
      <c r="F57" s="7" t="n"/>
      <c r="G57" s="7" t="n"/>
    </row>
    <row r="58">
      <c r="D58" s="7" t="n"/>
      <c r="E58" s="7" t="n"/>
      <c r="F58" s="7" t="n"/>
      <c r="G58" s="7" t="n"/>
    </row>
    <row r="59">
      <c r="D59" s="7" t="n"/>
      <c r="E59" s="7" t="n"/>
      <c r="F59" s="7" t="n"/>
      <c r="G59" s="7" t="n"/>
    </row>
    <row r="60">
      <c r="D60" s="7" t="n"/>
      <c r="E60" s="7" t="n"/>
      <c r="F60" s="7" t="n"/>
      <c r="G60" s="7" t="n"/>
    </row>
    <row r="61">
      <c r="D61" s="7" t="n"/>
      <c r="E61" s="7" t="n"/>
      <c r="F61" s="7" t="n"/>
      <c r="G61" s="7" t="n"/>
    </row>
    <row r="62">
      <c r="D62" s="7" t="n"/>
      <c r="E62" s="7" t="n"/>
      <c r="F62" s="7" t="n"/>
      <c r="G62" s="7" t="n"/>
    </row>
    <row r="63">
      <c r="D63" s="7" t="n"/>
      <c r="E63" s="7" t="n"/>
      <c r="F63" s="7" t="n"/>
      <c r="G63" s="7" t="n"/>
    </row>
    <row r="64">
      <c r="D64" s="7" t="n"/>
      <c r="E64" s="7" t="n"/>
      <c r="F64" s="7" t="n"/>
      <c r="G64" s="7" t="n"/>
    </row>
    <row r="65">
      <c r="D65" s="7" t="n"/>
      <c r="E65" s="7" t="n"/>
      <c r="F65" s="7" t="n"/>
      <c r="G65" s="7" t="n"/>
    </row>
    <row r="66">
      <c r="D66" s="7" t="n"/>
      <c r="E66" s="7" t="n"/>
      <c r="F66" s="7" t="n"/>
      <c r="G66" s="7" t="n"/>
    </row>
    <row r="67">
      <c r="D67" s="7" t="n"/>
      <c r="E67" s="7" t="n"/>
      <c r="F67" s="7" t="n"/>
      <c r="G67" s="7" t="n"/>
    </row>
    <row r="68">
      <c r="D68" s="7" t="n"/>
      <c r="E68" s="7" t="n"/>
      <c r="F68" s="7" t="n"/>
      <c r="G68" s="7" t="n"/>
    </row>
    <row r="69">
      <c r="D69" s="7" t="n"/>
      <c r="E69" s="7" t="n"/>
      <c r="F69" s="7" t="n"/>
      <c r="G69" s="7" t="n"/>
    </row>
    <row r="70">
      <c r="D70" s="7" t="n"/>
      <c r="E70" s="7" t="n"/>
      <c r="F70" s="7" t="n"/>
      <c r="G70" s="7" t="n"/>
    </row>
    <row r="71">
      <c r="D71" s="7" t="n"/>
      <c r="E71" s="7" t="n"/>
      <c r="F71" s="7" t="n"/>
      <c r="G71" s="7" t="n"/>
    </row>
    <row r="72">
      <c r="D72" s="7" t="n"/>
      <c r="E72" s="7" t="n"/>
      <c r="F72" s="7" t="n"/>
      <c r="G72" s="7" t="n"/>
    </row>
    <row r="73">
      <c r="D73" s="7" t="n"/>
      <c r="E73" s="7" t="n"/>
      <c r="F73" s="7" t="n"/>
      <c r="G73" s="7" t="n"/>
    </row>
    <row r="74">
      <c r="D74" s="7" t="n"/>
      <c r="E74" s="7" t="n"/>
      <c r="F74" s="7" t="n"/>
      <c r="G74" s="7" t="n"/>
    </row>
    <row r="75">
      <c r="D75" s="7" t="n"/>
      <c r="E75" s="7" t="n"/>
      <c r="F75" s="7" t="n"/>
      <c r="G75" s="7" t="n"/>
    </row>
    <row r="76">
      <c r="D76" s="7" t="n"/>
      <c r="E76" s="7" t="n"/>
      <c r="F76" s="7" t="n"/>
      <c r="G76" s="7" t="n"/>
    </row>
    <row r="77">
      <c r="D77" s="7" t="n"/>
      <c r="E77" s="7" t="n"/>
      <c r="F77" s="7" t="n"/>
      <c r="G77" s="7" t="n"/>
    </row>
    <row r="78">
      <c r="D78" s="7" t="n"/>
      <c r="E78" s="7" t="n"/>
      <c r="F78" s="7" t="n"/>
      <c r="G78" s="7" t="n"/>
    </row>
    <row r="79">
      <c r="D79" s="7" t="n"/>
      <c r="E79" s="7" t="n"/>
      <c r="F79" s="7" t="n"/>
      <c r="G79" s="7" t="n"/>
    </row>
    <row r="80">
      <c r="D80" s="7" t="n"/>
      <c r="E80" s="7" t="n"/>
      <c r="F80" s="7" t="n"/>
      <c r="G80" s="7" t="n"/>
    </row>
    <row r="81">
      <c r="D81" s="7" t="n"/>
      <c r="E81" s="7" t="n"/>
      <c r="F81" s="7" t="n"/>
      <c r="G81" s="7" t="n"/>
    </row>
    <row r="82">
      <c r="D82" s="7" t="n"/>
      <c r="E82" s="7" t="n"/>
      <c r="F82" s="7" t="n"/>
      <c r="G82" s="7" t="n"/>
    </row>
    <row r="83">
      <c r="D83" s="7" t="n"/>
      <c r="E83" s="7" t="n"/>
      <c r="F83" s="7" t="n"/>
      <c r="G83" s="7" t="n"/>
    </row>
    <row r="84">
      <c r="D84" s="7" t="n"/>
      <c r="E84" s="7" t="n"/>
      <c r="F84" s="7" t="n"/>
      <c r="G84" s="7" t="n"/>
    </row>
    <row r="85">
      <c r="D85" s="7" t="n"/>
      <c r="E85" s="7" t="n"/>
      <c r="F85" s="7" t="n"/>
      <c r="G85" s="7" t="n"/>
    </row>
    <row r="86">
      <c r="D86" s="7" t="n"/>
      <c r="E86" s="7" t="n"/>
      <c r="F86" s="7" t="n"/>
      <c r="G86" s="7" t="n"/>
    </row>
    <row r="87">
      <c r="D87" s="7" t="n"/>
      <c r="E87" s="7" t="n"/>
      <c r="F87" s="7" t="n"/>
      <c r="G87" s="7" t="n"/>
    </row>
    <row r="88">
      <c r="D88" s="7" t="n"/>
      <c r="E88" s="7" t="n"/>
      <c r="F88" s="7" t="n"/>
      <c r="G88" s="7" t="n"/>
    </row>
    <row r="89">
      <c r="D89" s="7" t="n"/>
      <c r="E89" s="7" t="n"/>
      <c r="F89" s="7" t="n"/>
      <c r="G89" s="7" t="n"/>
    </row>
    <row r="90">
      <c r="D90" s="7" t="n"/>
      <c r="E90" s="7" t="n"/>
      <c r="F90" s="7" t="n"/>
      <c r="G90" s="7" t="n"/>
    </row>
    <row r="91">
      <c r="D91" s="7" t="n"/>
      <c r="E91" s="7" t="n"/>
      <c r="F91" s="7" t="n"/>
      <c r="G91" s="7" t="n"/>
    </row>
    <row r="92">
      <c r="D92" s="7" t="n"/>
      <c r="E92" s="7" t="n"/>
      <c r="F92" s="7" t="n"/>
      <c r="G92" s="7" t="n"/>
    </row>
    <row r="93">
      <c r="D93" s="7" t="n"/>
      <c r="E93" s="7" t="n"/>
      <c r="F93" s="7" t="n"/>
      <c r="G93" s="7" t="n"/>
    </row>
    <row r="94">
      <c r="D94" s="7" t="n"/>
      <c r="E94" s="7" t="n"/>
      <c r="F94" s="7" t="n"/>
      <c r="G94" s="7" t="n"/>
    </row>
    <row r="95">
      <c r="D95" s="7" t="n"/>
      <c r="E95" s="7" t="n"/>
      <c r="F95" s="7" t="n"/>
      <c r="G95" s="7" t="n"/>
    </row>
    <row r="96">
      <c r="D96" s="7" t="n"/>
      <c r="E96" s="7" t="n"/>
      <c r="F96" s="7" t="n"/>
      <c r="G96" s="7" t="n"/>
    </row>
    <row r="97">
      <c r="D97" s="7" t="n"/>
      <c r="E97" s="7" t="n"/>
      <c r="F97" s="7" t="n"/>
      <c r="G97" s="7" t="n"/>
    </row>
    <row r="98">
      <c r="D98" s="7" t="n"/>
      <c r="E98" s="7" t="n"/>
      <c r="F98" s="7" t="n"/>
      <c r="G98" s="7" t="n"/>
    </row>
    <row r="99">
      <c r="D99" s="7" t="n"/>
      <c r="E99" s="7" t="n"/>
      <c r="F99" s="7" t="n"/>
      <c r="G99" s="7" t="n"/>
    </row>
    <row r="100">
      <c r="D100" s="7" t="n"/>
      <c r="E100" s="7" t="n"/>
      <c r="F100" s="7" t="n"/>
      <c r="G100" s="7" t="n"/>
    </row>
    <row r="101">
      <c r="D101" s="7" t="n"/>
      <c r="E101" s="7" t="n"/>
      <c r="F101" s="7" t="n"/>
      <c r="G101" s="7" t="n"/>
    </row>
    <row r="102">
      <c r="D102" s="7" t="n"/>
      <c r="E102" s="7" t="n"/>
      <c r="F102" s="7" t="n"/>
      <c r="G102" s="7" t="n"/>
    </row>
    <row r="103">
      <c r="D103" s="7" t="n"/>
      <c r="E103" s="7" t="n"/>
      <c r="F103" s="7" t="n"/>
      <c r="G103" s="7" t="n"/>
    </row>
    <row r="104">
      <c r="D104" s="7" t="n"/>
      <c r="E104" s="7" t="n"/>
      <c r="F104" s="7" t="n"/>
      <c r="G104" s="7" t="n"/>
    </row>
    <row r="105">
      <c r="D105" s="7" t="n"/>
      <c r="E105" s="7" t="n"/>
      <c r="F105" s="7" t="n"/>
      <c r="G105" s="7" t="n"/>
    </row>
    <row r="106">
      <c r="D106" s="7" t="n"/>
      <c r="E106" s="7" t="n"/>
      <c r="F106" s="7" t="n"/>
      <c r="G106" s="7" t="n"/>
    </row>
    <row r="107">
      <c r="D107" s="7" t="n"/>
      <c r="E107" s="7" t="n"/>
      <c r="F107" s="7" t="n"/>
      <c r="G107" s="7" t="n"/>
    </row>
    <row r="108">
      <c r="D108" s="7" t="n"/>
      <c r="E108" s="7" t="n"/>
      <c r="F108" s="7" t="n"/>
      <c r="G108" s="7" t="n"/>
    </row>
    <row r="109">
      <c r="D109" s="7" t="n"/>
      <c r="E109" s="7" t="n"/>
      <c r="F109" s="7" t="n"/>
      <c r="G109" s="7" t="n"/>
    </row>
    <row r="110">
      <c r="D110" s="7" t="n"/>
      <c r="E110" s="7" t="n"/>
      <c r="F110" s="7" t="n"/>
      <c r="G110" s="7" t="n"/>
    </row>
    <row r="111">
      <c r="D111" s="7" t="n"/>
      <c r="E111" s="7" t="n"/>
      <c r="F111" s="7" t="n"/>
      <c r="G111" s="7" t="n"/>
    </row>
    <row r="112">
      <c r="D112" s="7" t="n"/>
      <c r="E112" s="7" t="n"/>
      <c r="F112" s="7" t="n"/>
      <c r="G112" s="7" t="n"/>
    </row>
    <row r="113">
      <c r="D113" s="7" t="n"/>
      <c r="E113" s="7" t="n"/>
      <c r="F113" s="7" t="n"/>
      <c r="G113" s="7" t="n"/>
    </row>
    <row r="114">
      <c r="D114" s="7" t="n"/>
      <c r="E114" s="7" t="n"/>
      <c r="F114" s="7" t="n"/>
      <c r="G114" s="7" t="n"/>
    </row>
    <row r="115">
      <c r="D115" s="7" t="n"/>
      <c r="E115" s="7" t="n"/>
      <c r="F115" s="7" t="n"/>
      <c r="G115" s="7" t="n"/>
    </row>
    <row r="116">
      <c r="D116" s="7" t="n"/>
      <c r="E116" s="7" t="n"/>
      <c r="F116" s="7" t="n"/>
      <c r="G116" s="7" t="n"/>
    </row>
    <row r="117">
      <c r="D117" s="7" t="n"/>
      <c r="E117" s="7" t="n"/>
      <c r="F117" s="7" t="n"/>
      <c r="G117" s="7" t="n"/>
    </row>
    <row r="118">
      <c r="D118" s="7" t="n"/>
      <c r="E118" s="7" t="n"/>
      <c r="F118" s="7" t="n"/>
      <c r="G118" s="7" t="n"/>
    </row>
    <row r="119">
      <c r="D119" s="7" t="n"/>
      <c r="E119" s="7" t="n"/>
      <c r="F119" s="7" t="n"/>
      <c r="G119" s="7" t="n"/>
    </row>
    <row r="120">
      <c r="D120" s="7" t="n"/>
      <c r="E120" s="7" t="n"/>
      <c r="F120" s="7" t="n"/>
      <c r="G120" s="7" t="n"/>
    </row>
    <row r="121">
      <c r="D121" s="7" t="n"/>
      <c r="E121" s="7" t="n"/>
      <c r="F121" s="7" t="n"/>
      <c r="G121" s="7" t="n"/>
    </row>
    <row r="122">
      <c r="D122" s="7" t="n"/>
      <c r="E122" s="7" t="n"/>
      <c r="F122" s="7" t="n"/>
      <c r="G122" s="7" t="n"/>
    </row>
    <row r="123">
      <c r="D123" s="7" t="n"/>
      <c r="E123" s="7" t="n"/>
      <c r="F123" s="7" t="n"/>
      <c r="G123" s="7" t="n"/>
    </row>
    <row r="124">
      <c r="D124" s="7" t="n"/>
      <c r="E124" s="7" t="n"/>
      <c r="F124" s="7" t="n"/>
      <c r="G124" s="7" t="n"/>
    </row>
    <row r="125">
      <c r="D125" s="7" t="n"/>
      <c r="E125" s="7" t="n"/>
      <c r="F125" s="7" t="n"/>
      <c r="G125" s="7" t="n"/>
    </row>
    <row r="126">
      <c r="D126" s="7" t="n"/>
      <c r="E126" s="7" t="n"/>
      <c r="F126" s="7" t="n"/>
      <c r="G126" s="7" t="n"/>
    </row>
    <row r="127">
      <c r="D127" s="7" t="n"/>
      <c r="E127" s="7" t="n"/>
      <c r="F127" s="7" t="n"/>
      <c r="G127" s="7" t="n"/>
    </row>
    <row r="128">
      <c r="D128" s="7" t="n"/>
      <c r="E128" s="7" t="n"/>
      <c r="F128" s="7" t="n"/>
      <c r="G128" s="7" t="n"/>
    </row>
    <row r="129">
      <c r="D129" s="7" t="n"/>
      <c r="E129" s="7" t="n"/>
      <c r="F129" s="7" t="n"/>
      <c r="G129" s="7" t="n"/>
    </row>
    <row r="130">
      <c r="D130" s="7" t="n"/>
      <c r="E130" s="7" t="n"/>
      <c r="F130" s="7" t="n"/>
      <c r="G130" s="7" t="n"/>
    </row>
    <row r="131">
      <c r="D131" s="7" t="n"/>
      <c r="E131" s="7" t="n"/>
      <c r="F131" s="7" t="n"/>
      <c r="G131" s="7" t="n"/>
    </row>
    <row r="132">
      <c r="D132" s="7" t="n"/>
      <c r="E132" s="7" t="n"/>
      <c r="F132" s="7" t="n"/>
      <c r="G132" s="7" t="n"/>
    </row>
    <row r="133">
      <c r="D133" s="7" t="n"/>
      <c r="E133" s="7" t="n"/>
      <c r="F133" s="7" t="n"/>
      <c r="G133" s="7" t="n"/>
    </row>
    <row r="134">
      <c r="D134" s="7" t="n"/>
      <c r="E134" s="7" t="n"/>
      <c r="F134" s="7" t="n"/>
      <c r="G134" s="7" t="n"/>
    </row>
    <row r="135">
      <c r="D135" s="7" t="n"/>
      <c r="E135" s="7" t="n"/>
      <c r="F135" s="7" t="n"/>
      <c r="G135" s="7" t="n"/>
    </row>
    <row r="136">
      <c r="D136" s="7" t="n"/>
      <c r="E136" s="7" t="n"/>
      <c r="F136" s="7" t="n"/>
      <c r="G136" s="7" t="n"/>
    </row>
    <row r="137">
      <c r="D137" s="7" t="n"/>
      <c r="E137" s="7" t="n"/>
      <c r="F137" s="7" t="n"/>
      <c r="G137" s="7" t="n"/>
    </row>
    <row r="138">
      <c r="D138" s="7" t="n"/>
      <c r="E138" s="7" t="n"/>
      <c r="F138" s="7" t="n"/>
      <c r="G138" s="7" t="n"/>
    </row>
    <row r="139">
      <c r="D139" s="7" t="n"/>
      <c r="E139" s="7" t="n"/>
      <c r="F139" s="7" t="n"/>
      <c r="G139" s="7" t="n"/>
    </row>
    <row r="140">
      <c r="D140" s="7" t="n"/>
      <c r="E140" s="7" t="n"/>
      <c r="F140" s="7" t="n"/>
      <c r="G140" s="7" t="n"/>
    </row>
    <row r="141">
      <c r="D141" s="7" t="n"/>
      <c r="E141" s="7" t="n"/>
      <c r="F141" s="7" t="n"/>
      <c r="G141" s="7" t="n"/>
    </row>
    <row r="142">
      <c r="D142" s="7" t="n"/>
      <c r="E142" s="7" t="n"/>
      <c r="F142" s="7" t="n"/>
      <c r="G142" s="7" t="n"/>
    </row>
    <row r="143">
      <c r="D143" s="7" t="n"/>
      <c r="E143" s="7" t="n"/>
      <c r="F143" s="7" t="n"/>
      <c r="G143" s="7" t="n"/>
    </row>
    <row r="144">
      <c r="D144" s="7" t="n"/>
      <c r="E144" s="7" t="n"/>
      <c r="F144" s="7" t="n"/>
      <c r="G144" s="7" t="n"/>
    </row>
    <row r="145">
      <c r="D145" s="7" t="n"/>
      <c r="E145" s="7" t="n"/>
      <c r="F145" s="7" t="n"/>
      <c r="G145" s="7" t="n"/>
    </row>
    <row r="146">
      <c r="D146" s="7" t="n"/>
      <c r="E146" s="7" t="n"/>
      <c r="F146" s="7" t="n"/>
      <c r="G146" s="7" t="n"/>
    </row>
    <row r="147">
      <c r="D147" s="7" t="n"/>
      <c r="E147" s="7" t="n"/>
      <c r="F147" s="7" t="n"/>
      <c r="G147" s="7" t="n"/>
    </row>
    <row r="148">
      <c r="D148" s="7" t="n"/>
      <c r="E148" s="7" t="n"/>
      <c r="F148" s="7" t="n"/>
      <c r="G148" s="7" t="n"/>
    </row>
    <row r="149">
      <c r="D149" s="7" t="n"/>
      <c r="E149" s="7" t="n"/>
      <c r="F149" s="7" t="n"/>
      <c r="G149" s="7" t="n"/>
    </row>
    <row r="150">
      <c r="D150" s="7" t="n"/>
      <c r="E150" s="7" t="n"/>
      <c r="F150" s="7" t="n"/>
      <c r="G150" s="7" t="n"/>
    </row>
    <row r="151">
      <c r="D151" s="7" t="n"/>
      <c r="E151" s="7" t="n"/>
      <c r="F151" s="7" t="n"/>
      <c r="G151" s="7" t="n"/>
    </row>
    <row r="152">
      <c r="D152" s="7" t="n"/>
      <c r="E152" s="7" t="n"/>
      <c r="F152" s="7" t="n"/>
      <c r="G152" s="7" t="n"/>
    </row>
    <row r="153">
      <c r="D153" s="7" t="n"/>
      <c r="E153" s="7" t="n"/>
      <c r="F153" s="7" t="n"/>
      <c r="G153" s="7" t="n"/>
    </row>
    <row r="154">
      <c r="D154" s="7" t="n"/>
      <c r="E154" s="7" t="n"/>
      <c r="F154" s="7" t="n"/>
      <c r="G154" s="7" t="n"/>
    </row>
    <row r="155">
      <c r="D155" s="7" t="n"/>
      <c r="E155" s="7" t="n"/>
      <c r="F155" s="7" t="n"/>
      <c r="G155" s="7" t="n"/>
    </row>
    <row r="156">
      <c r="D156" s="7" t="n"/>
      <c r="E156" s="7" t="n"/>
      <c r="F156" s="7" t="n"/>
      <c r="G156" s="7" t="n"/>
    </row>
    <row r="157">
      <c r="D157" s="7" t="n"/>
      <c r="E157" s="7" t="n"/>
      <c r="F157" s="7" t="n"/>
      <c r="G157" s="7" t="n"/>
    </row>
    <row r="158">
      <c r="D158" s="7" t="n"/>
      <c r="E158" s="7" t="n"/>
      <c r="F158" s="7" t="n"/>
      <c r="G158" s="7" t="n"/>
    </row>
    <row r="159">
      <c r="D159" s="7" t="n"/>
      <c r="E159" s="7" t="n"/>
      <c r="F159" s="7" t="n"/>
      <c r="G159" s="7" t="n"/>
    </row>
    <row r="160">
      <c r="D160" s="7" t="n"/>
      <c r="E160" s="7" t="n"/>
      <c r="F160" s="7" t="n"/>
      <c r="G160" s="7" t="n"/>
    </row>
    <row r="161">
      <c r="D161" s="7" t="n"/>
      <c r="E161" s="7" t="n"/>
      <c r="F161" s="7" t="n"/>
      <c r="G161" s="7" t="n"/>
    </row>
    <row r="162">
      <c r="D162" s="7" t="n"/>
      <c r="E162" s="7" t="n"/>
      <c r="F162" s="7" t="n"/>
      <c r="G162" s="7" t="n"/>
    </row>
    <row r="163">
      <c r="D163" s="7" t="n"/>
      <c r="E163" s="7" t="n"/>
      <c r="F163" s="7" t="n"/>
      <c r="G163" s="7" t="n"/>
    </row>
    <row r="164">
      <c r="D164" s="7" t="n"/>
      <c r="E164" s="7" t="n"/>
      <c r="F164" s="7" t="n"/>
      <c r="G164" s="7" t="n"/>
    </row>
    <row r="165">
      <c r="D165" s="7" t="n"/>
      <c r="E165" s="7" t="n"/>
      <c r="F165" s="7" t="n"/>
      <c r="G165" s="7" t="n"/>
    </row>
    <row r="166">
      <c r="D166" s="7" t="n"/>
      <c r="E166" s="7" t="n"/>
      <c r="F166" s="7" t="n"/>
      <c r="G166" s="7" t="n"/>
    </row>
    <row r="167">
      <c r="D167" s="7" t="n"/>
      <c r="E167" s="7" t="n"/>
      <c r="F167" s="7" t="n"/>
      <c r="G167" s="7" t="n"/>
    </row>
    <row r="168">
      <c r="D168" s="7" t="n"/>
      <c r="E168" s="7" t="n"/>
      <c r="F168" s="7" t="n"/>
      <c r="G168" s="7" t="n"/>
    </row>
    <row r="169">
      <c r="D169" s="7" t="n"/>
      <c r="E169" s="7" t="n"/>
      <c r="F169" s="7" t="n"/>
      <c r="G169" s="7" t="n"/>
    </row>
    <row r="170">
      <c r="D170" s="7" t="n"/>
      <c r="E170" s="7" t="n"/>
      <c r="F170" s="7" t="n"/>
      <c r="G170" s="7" t="n"/>
    </row>
    <row r="171">
      <c r="D171" s="7" t="n"/>
      <c r="E171" s="7" t="n"/>
      <c r="F171" s="7" t="n"/>
      <c r="G171" s="7" t="n"/>
    </row>
    <row r="172">
      <c r="D172" s="7" t="n"/>
      <c r="E172" s="7" t="n"/>
      <c r="F172" s="7" t="n"/>
      <c r="G172" s="7" t="n"/>
    </row>
    <row r="173">
      <c r="D173" s="7" t="n"/>
      <c r="E173" s="7" t="n"/>
      <c r="F173" s="7" t="n"/>
      <c r="G173" s="7" t="n"/>
    </row>
    <row r="174">
      <c r="D174" s="7" t="n"/>
      <c r="E174" s="7" t="n"/>
      <c r="F174" s="7" t="n"/>
      <c r="G174" s="7" t="n"/>
    </row>
    <row r="175">
      <c r="D175" s="7" t="n"/>
      <c r="E175" s="7" t="n"/>
      <c r="F175" s="7" t="n"/>
      <c r="G175" s="7" t="n"/>
    </row>
    <row r="176">
      <c r="D176" s="7" t="n"/>
      <c r="E176" s="7" t="n"/>
      <c r="F176" s="7" t="n"/>
      <c r="G176" s="7" t="n"/>
    </row>
    <row r="177">
      <c r="D177" s="7" t="n"/>
      <c r="E177" s="7" t="n"/>
      <c r="F177" s="7" t="n"/>
      <c r="G177" s="7" t="n"/>
    </row>
    <row r="178">
      <c r="D178" s="7" t="n"/>
      <c r="E178" s="7" t="n"/>
      <c r="F178" s="7" t="n"/>
      <c r="G178" s="7" t="n"/>
    </row>
    <row r="179">
      <c r="D179" s="7" t="n"/>
      <c r="E179" s="7" t="n"/>
      <c r="F179" s="7" t="n"/>
      <c r="G179" s="7" t="n"/>
    </row>
    <row r="180">
      <c r="D180" s="7" t="n"/>
      <c r="E180" s="7" t="n"/>
      <c r="F180" s="7" t="n"/>
      <c r="G180" s="7" t="n"/>
    </row>
    <row r="181">
      <c r="D181" s="7" t="n"/>
      <c r="E181" s="7" t="n"/>
      <c r="F181" s="7" t="n"/>
      <c r="G181" s="7" t="n"/>
    </row>
    <row r="182">
      <c r="D182" s="7" t="n"/>
      <c r="E182" s="7" t="n"/>
      <c r="F182" s="7" t="n"/>
      <c r="G182" s="7" t="n"/>
    </row>
    <row r="183">
      <c r="D183" s="7" t="n"/>
      <c r="E183" s="7" t="n"/>
      <c r="F183" s="7" t="n"/>
      <c r="G183" s="7" t="n"/>
    </row>
    <row r="184">
      <c r="D184" s="7" t="n"/>
      <c r="E184" s="7" t="n"/>
      <c r="F184" s="7" t="n"/>
      <c r="G184" s="7" t="n"/>
    </row>
    <row r="185">
      <c r="D185" s="7" t="n"/>
      <c r="E185" s="7" t="n"/>
      <c r="F185" s="7" t="n"/>
      <c r="G185" s="7" t="n"/>
    </row>
    <row r="186">
      <c r="D186" s="7" t="n"/>
      <c r="E186" s="7" t="n"/>
      <c r="F186" s="7" t="n"/>
      <c r="G186" s="7" t="n"/>
    </row>
    <row r="187">
      <c r="D187" s="7" t="n"/>
      <c r="E187" s="7" t="n"/>
      <c r="F187" s="7" t="n"/>
      <c r="G187" s="7" t="n"/>
    </row>
    <row r="188">
      <c r="D188" s="7" t="n"/>
      <c r="E188" s="7" t="n"/>
      <c r="F188" s="7" t="n"/>
      <c r="G188" s="7" t="n"/>
    </row>
    <row r="189">
      <c r="D189" s="7" t="n"/>
      <c r="E189" s="7" t="n"/>
      <c r="F189" s="7" t="n"/>
      <c r="G189" s="7" t="n"/>
    </row>
    <row r="190">
      <c r="D190" s="7" t="n"/>
      <c r="E190" s="7" t="n"/>
      <c r="F190" s="7" t="n"/>
      <c r="G190" s="7" t="n"/>
    </row>
    <row r="191">
      <c r="D191" s="7" t="n"/>
      <c r="E191" s="7" t="n"/>
      <c r="F191" s="7" t="n"/>
      <c r="G191" s="7" t="n"/>
    </row>
    <row r="192">
      <c r="D192" s="7" t="n"/>
      <c r="E192" s="7" t="n"/>
      <c r="F192" s="7" t="n"/>
      <c r="G192" s="7" t="n"/>
    </row>
    <row r="193">
      <c r="D193" s="7" t="n"/>
      <c r="E193" s="7" t="n"/>
      <c r="F193" s="7" t="n"/>
      <c r="G193" s="7" t="n"/>
    </row>
    <row r="194">
      <c r="D194" s="7" t="n"/>
      <c r="E194" s="7" t="n"/>
      <c r="F194" s="7" t="n"/>
      <c r="G194" s="7" t="n"/>
    </row>
    <row r="195">
      <c r="D195" s="7" t="n"/>
      <c r="E195" s="7" t="n"/>
      <c r="F195" s="7" t="n"/>
      <c r="G195" s="7" t="n"/>
    </row>
    <row r="196">
      <c r="D196" s="7" t="n"/>
      <c r="E196" s="7" t="n"/>
      <c r="F196" s="7" t="n"/>
      <c r="G196" s="7" t="n"/>
    </row>
    <row r="197">
      <c r="D197" s="7" t="n"/>
      <c r="E197" s="7" t="n"/>
      <c r="F197" s="7" t="n"/>
      <c r="G197" s="7" t="n"/>
    </row>
    <row r="198">
      <c r="D198" s="7" t="n"/>
      <c r="E198" s="7" t="n"/>
      <c r="F198" s="7" t="n"/>
      <c r="G198" s="7" t="n"/>
    </row>
    <row r="199">
      <c r="D199" s="7" t="n"/>
      <c r="E199" s="7" t="n"/>
      <c r="F199" s="7" t="n"/>
      <c r="G199" s="7" t="n"/>
    </row>
    <row r="200">
      <c r="D200" s="7" t="n"/>
      <c r="E200" s="7" t="n"/>
      <c r="F200" s="7" t="n"/>
      <c r="G200" s="7" t="n"/>
    </row>
    <row r="201">
      <c r="D201" s="7" t="n"/>
      <c r="E201" s="7" t="n"/>
      <c r="F201" s="7" t="n"/>
      <c r="G201" s="7" t="n"/>
    </row>
    <row r="202">
      <c r="D202" s="7" t="n"/>
      <c r="E202" s="7" t="n"/>
      <c r="F202" s="7" t="n"/>
      <c r="G202" s="7" t="n"/>
    </row>
    <row r="203">
      <c r="D203" s="7" t="n"/>
      <c r="E203" s="7" t="n"/>
      <c r="F203" s="7" t="n"/>
      <c r="G203" s="7" t="n"/>
    </row>
    <row r="204">
      <c r="D204" s="7" t="n"/>
      <c r="E204" s="7" t="n"/>
      <c r="F204" s="7" t="n"/>
      <c r="G204" s="7" t="n"/>
    </row>
    <row r="205">
      <c r="D205" s="7" t="n"/>
      <c r="E205" s="7" t="n"/>
      <c r="F205" s="7" t="n"/>
      <c r="G205" s="7" t="n"/>
    </row>
    <row r="206">
      <c r="D206" s="7" t="n"/>
      <c r="E206" s="7" t="n"/>
      <c r="F206" s="7" t="n"/>
      <c r="G206" s="7" t="n"/>
    </row>
    <row r="207">
      <c r="D207" s="7" t="n"/>
      <c r="E207" s="7" t="n"/>
      <c r="F207" s="7" t="n"/>
      <c r="G207" s="7" t="n"/>
    </row>
    <row r="208">
      <c r="D208" s="7" t="n"/>
      <c r="E208" s="7" t="n"/>
      <c r="F208" s="7" t="n"/>
      <c r="G208" s="7" t="n"/>
    </row>
    <row r="209">
      <c r="D209" s="7" t="n"/>
      <c r="E209" s="7" t="n"/>
      <c r="F209" s="7" t="n"/>
      <c r="G209" s="7" t="n"/>
    </row>
    <row r="210">
      <c r="D210" s="7" t="n"/>
      <c r="E210" s="7" t="n"/>
      <c r="F210" s="7" t="n"/>
      <c r="G210" s="7" t="n"/>
    </row>
    <row r="211">
      <c r="D211" s="7" t="n"/>
      <c r="E211" s="7" t="n"/>
      <c r="F211" s="7" t="n"/>
      <c r="G211" s="7" t="n"/>
    </row>
    <row r="212">
      <c r="D212" s="7" t="n"/>
      <c r="E212" s="7" t="n"/>
      <c r="F212" s="7" t="n"/>
      <c r="G212" s="7" t="n"/>
    </row>
    <row r="213">
      <c r="D213" s="7" t="n"/>
      <c r="E213" s="7" t="n"/>
      <c r="F213" s="7" t="n"/>
      <c r="G213" s="7" t="n"/>
    </row>
    <row r="214">
      <c r="D214" s="7" t="n"/>
      <c r="E214" s="7" t="n"/>
      <c r="F214" s="7" t="n"/>
      <c r="G214" s="7" t="n"/>
    </row>
    <row r="215">
      <c r="D215" s="7" t="n"/>
      <c r="E215" s="7" t="n"/>
      <c r="F215" s="7" t="n"/>
      <c r="G215" s="7" t="n"/>
    </row>
    <row r="216">
      <c r="D216" s="7" t="n"/>
      <c r="E216" s="7" t="n"/>
      <c r="F216" s="7" t="n"/>
      <c r="G216" s="7" t="n"/>
    </row>
    <row r="217">
      <c r="D217" s="7" t="n"/>
      <c r="E217" s="7" t="n"/>
      <c r="F217" s="7" t="n"/>
      <c r="G217" s="7" t="n"/>
    </row>
    <row r="218">
      <c r="D218" s="7" t="n"/>
      <c r="E218" s="7" t="n"/>
      <c r="F218" s="7" t="n"/>
      <c r="G218" s="7" t="n"/>
    </row>
    <row r="219">
      <c r="D219" s="7" t="n"/>
      <c r="E219" s="7" t="n"/>
      <c r="F219" s="7" t="n"/>
      <c r="G219" s="7" t="n"/>
    </row>
    <row r="220">
      <c r="D220" s="7" t="n"/>
      <c r="E220" s="7" t="n"/>
      <c r="F220" s="7" t="n"/>
      <c r="G220" s="7" t="n"/>
    </row>
    <row r="221">
      <c r="D221" s="7" t="n"/>
      <c r="E221" s="7" t="n"/>
      <c r="F221" s="7" t="n"/>
      <c r="G221" s="7" t="n"/>
    </row>
    <row r="222">
      <c r="D222" s="7" t="n"/>
      <c r="E222" s="7" t="n"/>
      <c r="F222" s="7" t="n"/>
      <c r="G222" s="7" t="n"/>
    </row>
    <row r="223">
      <c r="D223" s="7" t="n"/>
      <c r="E223" s="7" t="n"/>
      <c r="F223" s="7" t="n"/>
      <c r="G223" s="7" t="n"/>
    </row>
    <row r="224">
      <c r="D224" s="7" t="n"/>
      <c r="E224" s="7" t="n"/>
      <c r="F224" s="7" t="n"/>
      <c r="G224" s="7" t="n"/>
    </row>
    <row r="225">
      <c r="D225" s="7" t="n"/>
      <c r="E225" s="7" t="n"/>
      <c r="F225" s="7" t="n"/>
      <c r="G225" s="7" t="n"/>
    </row>
    <row r="226">
      <c r="D226" s="7" t="n"/>
      <c r="E226" s="7" t="n"/>
      <c r="F226" s="7" t="n"/>
      <c r="G226" s="7" t="n"/>
    </row>
    <row r="227">
      <c r="D227" s="7" t="n"/>
      <c r="E227" s="7" t="n"/>
      <c r="F227" s="7" t="n"/>
      <c r="G227" s="7" t="n"/>
    </row>
    <row r="228">
      <c r="D228" s="7" t="n"/>
      <c r="E228" s="7" t="n"/>
      <c r="F228" s="7" t="n"/>
      <c r="G228" s="7" t="n"/>
    </row>
    <row r="229">
      <c r="D229" s="7" t="n"/>
      <c r="E229" s="7" t="n"/>
      <c r="F229" s="7" t="n"/>
      <c r="G229" s="7" t="n"/>
    </row>
    <row r="230">
      <c r="D230" s="7" t="n"/>
      <c r="E230" s="7" t="n"/>
      <c r="F230" s="7" t="n"/>
      <c r="G230" s="7" t="n"/>
    </row>
    <row r="231">
      <c r="D231" s="7" t="n"/>
      <c r="E231" s="7" t="n"/>
      <c r="F231" s="7" t="n"/>
      <c r="G231" s="7" t="n"/>
    </row>
    <row r="232">
      <c r="D232" s="7" t="n"/>
      <c r="E232" s="7" t="n"/>
      <c r="F232" s="7" t="n"/>
      <c r="G232" s="7" t="n"/>
    </row>
    <row r="233">
      <c r="D233" s="7" t="n"/>
      <c r="E233" s="7" t="n"/>
      <c r="F233" s="7" t="n"/>
      <c r="G233" s="7" t="n"/>
    </row>
    <row r="234">
      <c r="D234" s="7" t="n"/>
      <c r="E234" s="7" t="n"/>
      <c r="F234" s="7" t="n"/>
      <c r="G234" s="7" t="n"/>
    </row>
    <row r="235">
      <c r="D235" s="7" t="n"/>
      <c r="E235" s="7" t="n"/>
      <c r="F235" s="7" t="n"/>
      <c r="G235" s="7" t="n"/>
    </row>
    <row r="236">
      <c r="D236" s="7" t="n"/>
      <c r="E236" s="7" t="n"/>
      <c r="F236" s="7" t="n"/>
      <c r="G236" s="7" t="n"/>
    </row>
    <row r="237">
      <c r="D237" s="7" t="n"/>
      <c r="E237" s="7" t="n"/>
      <c r="F237" s="7" t="n"/>
      <c r="G237" s="7" t="n"/>
    </row>
    <row r="238">
      <c r="D238" s="7" t="n"/>
      <c r="E238" s="7" t="n"/>
      <c r="F238" s="7" t="n"/>
      <c r="G238" s="7" t="n"/>
    </row>
    <row r="239">
      <c r="D239" s="7" t="n"/>
      <c r="E239" s="7" t="n"/>
      <c r="F239" s="7" t="n"/>
      <c r="G239" s="7" t="n"/>
    </row>
    <row r="240">
      <c r="D240" s="7" t="n"/>
      <c r="E240" s="7" t="n"/>
      <c r="F240" s="7" t="n"/>
      <c r="G240" s="7" t="n"/>
    </row>
    <row r="241">
      <c r="D241" s="7" t="n"/>
      <c r="E241" s="7" t="n"/>
      <c r="F241" s="7" t="n"/>
      <c r="G241" s="7" t="n"/>
    </row>
    <row r="242">
      <c r="D242" s="7" t="n"/>
      <c r="E242" s="7" t="n"/>
      <c r="F242" s="7" t="n"/>
      <c r="G242" s="7" t="n"/>
    </row>
    <row r="243">
      <c r="D243" s="7" t="n"/>
      <c r="E243" s="7" t="n"/>
      <c r="F243" s="7" t="n"/>
      <c r="G243" s="7" t="n"/>
    </row>
    <row r="244">
      <c r="D244" s="7" t="n"/>
      <c r="E244" s="7" t="n"/>
      <c r="F244" s="7" t="n"/>
      <c r="G244" s="7" t="n"/>
    </row>
    <row r="245">
      <c r="D245" s="7" t="n"/>
      <c r="E245" s="7" t="n"/>
      <c r="F245" s="7" t="n"/>
      <c r="G245" s="7" t="n"/>
    </row>
    <row r="246">
      <c r="D246" s="7" t="n"/>
      <c r="E246" s="7" t="n"/>
      <c r="F246" s="7" t="n"/>
      <c r="G246" s="7" t="n"/>
    </row>
    <row r="247">
      <c r="D247" s="7" t="n"/>
      <c r="E247" s="7" t="n"/>
      <c r="F247" s="7" t="n"/>
      <c r="G247" s="7" t="n"/>
    </row>
    <row r="248">
      <c r="D248" s="7" t="n"/>
      <c r="E248" s="7" t="n"/>
      <c r="F248" s="7" t="n"/>
      <c r="G248" s="7" t="n"/>
    </row>
    <row r="249">
      <c r="D249" s="7" t="n"/>
      <c r="E249" s="7" t="n"/>
      <c r="F249" s="7" t="n"/>
      <c r="G249" s="7" t="n"/>
    </row>
    <row r="250">
      <c r="D250" s="7" t="n"/>
      <c r="E250" s="7" t="n"/>
      <c r="F250" s="7" t="n"/>
      <c r="G250" s="7" t="n"/>
    </row>
    <row r="251">
      <c r="D251" s="7" t="n"/>
      <c r="E251" s="7" t="n"/>
      <c r="F251" s="7" t="n"/>
      <c r="G251" s="7" t="n"/>
    </row>
    <row r="252">
      <c r="D252" s="7" t="n"/>
      <c r="E252" s="7" t="n"/>
      <c r="F252" s="7" t="n"/>
      <c r="G252" s="7" t="n"/>
    </row>
    <row r="253">
      <c r="D253" s="7" t="n"/>
      <c r="E253" s="7" t="n"/>
      <c r="F253" s="7" t="n"/>
      <c r="G253" s="7" t="n"/>
    </row>
    <row r="254">
      <c r="D254" s="7" t="n"/>
      <c r="E254" s="7" t="n"/>
      <c r="F254" s="7" t="n"/>
      <c r="G254" s="7" t="n"/>
    </row>
    <row r="255">
      <c r="D255" s="7" t="n"/>
      <c r="E255" s="7" t="n"/>
      <c r="F255" s="7" t="n"/>
      <c r="G255" s="7" t="n"/>
    </row>
    <row r="256">
      <c r="D256" s="7" t="n"/>
      <c r="E256" s="7" t="n"/>
      <c r="F256" s="7" t="n"/>
      <c r="G256" s="7" t="n"/>
    </row>
    <row r="257">
      <c r="D257" s="7" t="n"/>
      <c r="E257" s="7" t="n"/>
      <c r="F257" s="7" t="n"/>
      <c r="G257" s="7" t="n"/>
    </row>
    <row r="258">
      <c r="D258" s="7" t="n"/>
      <c r="E258" s="7" t="n"/>
      <c r="F258" s="7" t="n"/>
      <c r="G258" s="7" t="n"/>
    </row>
    <row r="259">
      <c r="D259" s="7" t="n"/>
      <c r="E259" s="7" t="n"/>
      <c r="F259" s="7" t="n"/>
      <c r="G259" s="7" t="n"/>
    </row>
    <row r="260">
      <c r="D260" s="7" t="n"/>
      <c r="E260" s="7" t="n"/>
      <c r="F260" s="7" t="n"/>
      <c r="G260" s="7" t="n"/>
    </row>
    <row r="261">
      <c r="D261" s="7" t="n"/>
      <c r="E261" s="7" t="n"/>
      <c r="F261" s="7" t="n"/>
      <c r="G261" s="7" t="n"/>
    </row>
    <row r="262">
      <c r="D262" s="7" t="n"/>
      <c r="E262" s="7" t="n"/>
      <c r="F262" s="7" t="n"/>
      <c r="G262" s="7" t="n"/>
    </row>
    <row r="263">
      <c r="D263" s="7" t="n"/>
      <c r="E263" s="7" t="n"/>
      <c r="F263" s="7" t="n"/>
      <c r="G263" s="7" t="n"/>
    </row>
    <row r="264">
      <c r="D264" s="7" t="n"/>
      <c r="E264" s="7" t="n"/>
      <c r="F264" s="7" t="n"/>
      <c r="G264" s="7" t="n"/>
    </row>
    <row r="265">
      <c r="D265" s="7" t="n"/>
      <c r="E265" s="7" t="n"/>
      <c r="F265" s="7" t="n"/>
      <c r="G265" s="7" t="n"/>
    </row>
    <row r="266">
      <c r="D266" s="7" t="n"/>
      <c r="E266" s="7" t="n"/>
      <c r="F266" s="7" t="n"/>
      <c r="G266" s="7" t="n"/>
    </row>
    <row r="267">
      <c r="D267" s="7" t="n"/>
      <c r="E267" s="7" t="n"/>
      <c r="F267" s="7" t="n"/>
      <c r="G267" s="7" t="n"/>
    </row>
    <row r="268">
      <c r="D268" s="7" t="n"/>
      <c r="E268" s="7" t="n"/>
      <c r="F268" s="7" t="n"/>
      <c r="G268" s="7" t="n"/>
    </row>
    <row r="269">
      <c r="D269" s="7" t="n"/>
      <c r="E269" s="7" t="n"/>
      <c r="F269" s="7" t="n"/>
      <c r="G269" s="7" t="n"/>
    </row>
    <row r="270">
      <c r="D270" s="7" t="n"/>
      <c r="E270" s="7" t="n"/>
      <c r="F270" s="7" t="n"/>
      <c r="G270" s="7" t="n"/>
    </row>
    <row r="271">
      <c r="D271" s="7" t="n"/>
      <c r="E271" s="7" t="n"/>
      <c r="F271" s="7" t="n"/>
      <c r="G271" s="7" t="n"/>
    </row>
    <row r="272">
      <c r="D272" s="7" t="n"/>
      <c r="E272" s="7" t="n"/>
      <c r="F272" s="7" t="n"/>
      <c r="G272" s="7" t="n"/>
    </row>
    <row r="273">
      <c r="D273" s="7" t="n"/>
      <c r="E273" s="7" t="n"/>
      <c r="F273" s="7" t="n"/>
      <c r="G273" s="7" t="n"/>
    </row>
    <row r="274">
      <c r="D274" s="7" t="n"/>
      <c r="E274" s="7" t="n"/>
      <c r="F274" s="7" t="n"/>
      <c r="G274" s="7" t="n"/>
    </row>
    <row r="275">
      <c r="D275" s="7" t="n"/>
      <c r="E275" s="7" t="n"/>
      <c r="F275" s="7" t="n"/>
      <c r="G275" s="7" t="n"/>
    </row>
    <row r="276">
      <c r="D276" s="7" t="n"/>
      <c r="E276" s="7" t="n"/>
      <c r="F276" s="7" t="n"/>
      <c r="G276" s="7" t="n"/>
    </row>
    <row r="277">
      <c r="D277" s="7" t="n"/>
      <c r="E277" s="7" t="n"/>
      <c r="F277" s="7" t="n"/>
      <c r="G277" s="7" t="n"/>
    </row>
    <row r="278">
      <c r="D278" s="7" t="n"/>
      <c r="E278" s="7" t="n"/>
      <c r="F278" s="7" t="n"/>
      <c r="G278" s="7" t="n"/>
    </row>
    <row r="279">
      <c r="D279" s="7" t="n"/>
      <c r="E279" s="7" t="n"/>
      <c r="F279" s="7" t="n"/>
      <c r="G279" s="7" t="n"/>
    </row>
    <row r="280">
      <c r="D280" s="7" t="n"/>
      <c r="E280" s="7" t="n"/>
      <c r="F280" s="7" t="n"/>
      <c r="G280" s="7" t="n"/>
    </row>
    <row r="281">
      <c r="D281" s="7" t="n"/>
      <c r="E281" s="7" t="n"/>
      <c r="F281" s="7" t="n"/>
      <c r="G281" s="7" t="n"/>
    </row>
    <row r="282">
      <c r="D282" s="7" t="n"/>
      <c r="E282" s="7" t="n"/>
      <c r="F282" s="7" t="n"/>
      <c r="G282" s="7" t="n"/>
    </row>
    <row r="283">
      <c r="D283" s="7" t="n"/>
      <c r="E283" s="7" t="n"/>
      <c r="F283" s="7" t="n"/>
      <c r="G283" s="7" t="n"/>
    </row>
    <row r="284">
      <c r="D284" s="7" t="n"/>
      <c r="E284" s="7" t="n"/>
      <c r="F284" s="7" t="n"/>
      <c r="G284" s="7" t="n"/>
    </row>
    <row r="285">
      <c r="D285" s="7" t="n"/>
      <c r="E285" s="7" t="n"/>
      <c r="F285" s="7" t="n"/>
      <c r="G285" s="7" t="n"/>
    </row>
    <row r="286">
      <c r="D286" s="7" t="n"/>
      <c r="E286" s="7" t="n"/>
      <c r="F286" s="7" t="n"/>
      <c r="G286" s="7" t="n"/>
    </row>
    <row r="287">
      <c r="D287" s="7" t="n"/>
      <c r="E287" s="7" t="n"/>
      <c r="F287" s="7" t="n"/>
      <c r="G287" s="7" t="n"/>
    </row>
    <row r="288">
      <c r="D288" s="7" t="n"/>
      <c r="E288" s="7" t="n"/>
      <c r="F288" s="7" t="n"/>
      <c r="G288" s="7" t="n"/>
    </row>
    <row r="289">
      <c r="D289" s="7" t="n"/>
      <c r="E289" s="7" t="n"/>
      <c r="F289" s="7" t="n"/>
      <c r="G289" s="7" t="n"/>
    </row>
    <row r="290">
      <c r="D290" s="7" t="n"/>
      <c r="E290" s="7" t="n"/>
      <c r="F290" s="7" t="n"/>
      <c r="G290" s="7" t="n"/>
    </row>
    <row r="291">
      <c r="D291" s="7" t="n"/>
      <c r="E291" s="7" t="n"/>
      <c r="F291" s="7" t="n"/>
      <c r="G291" s="7" t="n"/>
    </row>
    <row r="292">
      <c r="D292" s="7" t="n"/>
      <c r="E292" s="7" t="n"/>
      <c r="F292" s="7" t="n"/>
      <c r="G292" s="7" t="n"/>
    </row>
    <row r="293">
      <c r="D293" s="7" t="n"/>
      <c r="E293" s="7" t="n"/>
      <c r="F293" s="7" t="n"/>
      <c r="G293" s="7" t="n"/>
    </row>
    <row r="294">
      <c r="D294" s="7" t="n"/>
      <c r="E294" s="7" t="n"/>
      <c r="F294" s="7" t="n"/>
      <c r="G294" s="7" t="n"/>
    </row>
    <row r="295">
      <c r="D295" s="7" t="n"/>
      <c r="E295" s="7" t="n"/>
      <c r="F295" s="7" t="n"/>
      <c r="G295" s="7" t="n"/>
    </row>
    <row r="296">
      <c r="D296" s="7" t="n"/>
      <c r="E296" s="7" t="n"/>
      <c r="F296" s="7" t="n"/>
      <c r="G296" s="7" t="n"/>
    </row>
    <row r="297">
      <c r="D297" s="7" t="n"/>
      <c r="E297" s="7" t="n"/>
      <c r="F297" s="7" t="n"/>
      <c r="G297" s="7" t="n"/>
    </row>
    <row r="298">
      <c r="D298" s="7" t="n"/>
      <c r="E298" s="7" t="n"/>
      <c r="F298" s="7" t="n"/>
      <c r="G298" s="7" t="n"/>
    </row>
    <row r="299">
      <c r="D299" s="7" t="n"/>
      <c r="E299" s="7" t="n"/>
      <c r="F299" s="7" t="n"/>
      <c r="G299" s="7" t="n"/>
    </row>
    <row r="300">
      <c r="D300" s="7" t="n"/>
      <c r="E300" s="7" t="n"/>
      <c r="F300" s="7" t="n"/>
      <c r="G300" s="7" t="n"/>
    </row>
    <row r="301">
      <c r="D301" s="7" t="n"/>
      <c r="E301" s="7" t="n"/>
      <c r="F301" s="7" t="n"/>
      <c r="G301" s="7" t="n"/>
    </row>
    <row r="302">
      <c r="D302" s="7" t="n"/>
      <c r="E302" s="7" t="n"/>
      <c r="F302" s="7" t="n"/>
      <c r="G302" s="7" t="n"/>
    </row>
    <row r="303">
      <c r="D303" s="7" t="n"/>
      <c r="E303" s="7" t="n"/>
      <c r="F303" s="7" t="n"/>
      <c r="G303" s="7" t="n"/>
    </row>
    <row r="304">
      <c r="D304" s="7" t="n"/>
      <c r="E304" s="7" t="n"/>
      <c r="F304" s="7" t="n"/>
      <c r="G304" s="7" t="n"/>
    </row>
    <row r="305">
      <c r="D305" s="7" t="n"/>
      <c r="E305" s="7" t="n"/>
      <c r="F305" s="7" t="n"/>
      <c r="G305" s="7" t="n"/>
    </row>
    <row r="306">
      <c r="D306" s="7" t="n"/>
      <c r="E306" s="7" t="n"/>
      <c r="F306" s="7" t="n"/>
      <c r="G306" s="7" t="n"/>
    </row>
    <row r="307">
      <c r="D307" s="7" t="n"/>
      <c r="E307" s="7" t="n"/>
      <c r="F307" s="7" t="n"/>
      <c r="G307" s="7" t="n"/>
    </row>
    <row r="308">
      <c r="D308" s="7" t="n"/>
      <c r="E308" s="7" t="n"/>
      <c r="F308" s="7" t="n"/>
      <c r="G308" s="7" t="n"/>
    </row>
    <row r="309">
      <c r="D309" s="7" t="n"/>
      <c r="E309" s="7" t="n"/>
      <c r="F309" s="7" t="n"/>
      <c r="G309" s="7" t="n"/>
    </row>
    <row r="310">
      <c r="D310" s="7" t="n"/>
      <c r="E310" s="7" t="n"/>
      <c r="F310" s="7" t="n"/>
      <c r="G310" s="7" t="n"/>
    </row>
    <row r="311">
      <c r="D311" s="7" t="n"/>
      <c r="E311" s="7" t="n"/>
      <c r="F311" s="7" t="n"/>
      <c r="G311" s="7" t="n"/>
    </row>
    <row r="312">
      <c r="D312" s="7" t="n"/>
      <c r="E312" s="7" t="n"/>
      <c r="F312" s="7" t="n"/>
      <c r="G312" s="7" t="n"/>
    </row>
    <row r="313">
      <c r="D313" s="7" t="n"/>
      <c r="E313" s="7" t="n"/>
      <c r="F313" s="7" t="n"/>
      <c r="G313" s="7" t="n"/>
    </row>
    <row r="314">
      <c r="D314" s="7" t="n"/>
      <c r="E314" s="7" t="n"/>
      <c r="F314" s="7" t="n"/>
      <c r="G314" s="7" t="n"/>
    </row>
    <row r="315">
      <c r="D315" s="7" t="n"/>
      <c r="E315" s="7" t="n"/>
      <c r="F315" s="7" t="n"/>
      <c r="G315" s="7" t="n"/>
    </row>
    <row r="316">
      <c r="D316" s="7" t="n"/>
      <c r="E316" s="7" t="n"/>
      <c r="F316" s="7" t="n"/>
      <c r="G316" s="7" t="n"/>
    </row>
    <row r="317">
      <c r="D317" s="7" t="n"/>
      <c r="E317" s="7" t="n"/>
      <c r="F317" s="7" t="n"/>
      <c r="G317" s="7" t="n"/>
    </row>
    <row r="318">
      <c r="D318" s="7" t="n"/>
      <c r="E318" s="7" t="n"/>
      <c r="F318" s="7" t="n"/>
      <c r="G318" s="7" t="n"/>
    </row>
    <row r="319">
      <c r="D319" s="7" t="n"/>
      <c r="E319" s="7" t="n"/>
      <c r="F319" s="7" t="n"/>
      <c r="G319" s="7" t="n"/>
    </row>
    <row r="320">
      <c r="D320" s="7" t="n"/>
      <c r="E320" s="7" t="n"/>
      <c r="F320" s="7" t="n"/>
      <c r="G320" s="7" t="n"/>
    </row>
    <row r="321">
      <c r="D321" s="7" t="n"/>
      <c r="E321" s="7" t="n"/>
      <c r="F321" s="7" t="n"/>
      <c r="G321" s="7" t="n"/>
    </row>
    <row r="322">
      <c r="D322" s="7" t="n"/>
      <c r="E322" s="7" t="n"/>
      <c r="F322" s="7" t="n"/>
      <c r="G322" s="7" t="n"/>
    </row>
    <row r="323">
      <c r="D323" s="7" t="n"/>
      <c r="E323" s="7" t="n"/>
      <c r="F323" s="7" t="n"/>
      <c r="G323" s="7" t="n"/>
    </row>
    <row r="324">
      <c r="D324" s="7" t="n"/>
      <c r="E324" s="7" t="n"/>
      <c r="F324" s="7" t="n"/>
      <c r="G324" s="7" t="n"/>
    </row>
    <row r="325">
      <c r="D325" s="7" t="n"/>
      <c r="E325" s="7" t="n"/>
      <c r="F325" s="7" t="n"/>
      <c r="G325" s="7" t="n"/>
    </row>
    <row r="326">
      <c r="D326" s="7" t="n"/>
      <c r="E326" s="7" t="n"/>
      <c r="F326" s="7" t="n"/>
      <c r="G326" s="7" t="n"/>
    </row>
    <row r="327">
      <c r="D327" s="7" t="n"/>
      <c r="E327" s="7" t="n"/>
      <c r="F327" s="7" t="n"/>
      <c r="G327" s="7" t="n"/>
    </row>
    <row r="328">
      <c r="D328" s="7" t="n"/>
      <c r="E328" s="7" t="n"/>
      <c r="F328" s="7" t="n"/>
      <c r="G328" s="7" t="n"/>
    </row>
    <row r="329">
      <c r="D329" s="7" t="n"/>
      <c r="E329" s="7" t="n"/>
      <c r="F329" s="7" t="n"/>
      <c r="G329" s="7" t="n"/>
    </row>
    <row r="330">
      <c r="D330" s="7" t="n"/>
      <c r="E330" s="7" t="n"/>
      <c r="F330" s="7" t="n"/>
      <c r="G330" s="7" t="n"/>
    </row>
    <row r="331">
      <c r="D331" s="7" t="n"/>
      <c r="E331" s="7" t="n"/>
      <c r="F331" s="7" t="n"/>
      <c r="G331" s="7" t="n"/>
    </row>
    <row r="332">
      <c r="D332" s="7" t="n"/>
      <c r="E332" s="7" t="n"/>
      <c r="F332" s="7" t="n"/>
      <c r="G332" s="7" t="n"/>
    </row>
    <row r="333">
      <c r="D333" s="7" t="n"/>
      <c r="E333" s="7" t="n"/>
      <c r="F333" s="7" t="n"/>
      <c r="G333" s="7" t="n"/>
    </row>
    <row r="334">
      <c r="D334" s="7" t="n"/>
      <c r="E334" s="7" t="n"/>
      <c r="F334" s="7" t="n"/>
      <c r="G334" s="7" t="n"/>
    </row>
    <row r="335">
      <c r="D335" s="7" t="n"/>
      <c r="E335" s="7" t="n"/>
      <c r="F335" s="7" t="n"/>
      <c r="G335" s="7" t="n"/>
    </row>
    <row r="336">
      <c r="D336" s="7" t="n"/>
      <c r="E336" s="7" t="n"/>
      <c r="F336" s="7" t="n"/>
      <c r="G336" s="7" t="n"/>
    </row>
    <row r="337">
      <c r="D337" s="7" t="n"/>
      <c r="E337" s="7" t="n"/>
      <c r="F337" s="7" t="n"/>
      <c r="G337" s="7" t="n"/>
    </row>
    <row r="338">
      <c r="D338" s="7" t="n"/>
      <c r="E338" s="7" t="n"/>
      <c r="F338" s="7" t="n"/>
      <c r="G338" s="7" t="n"/>
    </row>
    <row r="339">
      <c r="D339" s="7" t="n"/>
      <c r="E339" s="7" t="n"/>
      <c r="F339" s="7" t="n"/>
      <c r="G339" s="7" t="n"/>
    </row>
    <row r="340">
      <c r="D340" s="7" t="n"/>
      <c r="E340" s="7" t="n"/>
      <c r="F340" s="7" t="n"/>
      <c r="G340" s="7" t="n"/>
    </row>
    <row r="341">
      <c r="D341" s="7" t="n"/>
      <c r="E341" s="7" t="n"/>
      <c r="F341" s="7" t="n"/>
      <c r="G341" s="7" t="n"/>
    </row>
    <row r="342">
      <c r="D342" s="7" t="n"/>
      <c r="E342" s="7" t="n"/>
      <c r="F342" s="7" t="n"/>
      <c r="G342" s="7" t="n"/>
    </row>
    <row r="343">
      <c r="D343" s="7" t="n"/>
      <c r="E343" s="7" t="n"/>
      <c r="F343" s="7" t="n"/>
      <c r="G343" s="7" t="n"/>
    </row>
    <row r="344">
      <c r="D344" s="7" t="n"/>
      <c r="E344" s="7" t="n"/>
      <c r="F344" s="7" t="n"/>
      <c r="G344" s="7" t="n"/>
    </row>
    <row r="345">
      <c r="D345" s="7" t="n"/>
      <c r="E345" s="7" t="n"/>
      <c r="F345" s="7" t="n"/>
      <c r="G345" s="7" t="n"/>
    </row>
    <row r="346">
      <c r="D346" s="7" t="n"/>
      <c r="E346" s="7" t="n"/>
      <c r="F346" s="7" t="n"/>
      <c r="G346" s="7" t="n"/>
    </row>
    <row r="347">
      <c r="D347" s="7" t="n"/>
      <c r="E347" s="7" t="n"/>
      <c r="F347" s="7" t="n"/>
      <c r="G347" s="7" t="n"/>
    </row>
    <row r="348">
      <c r="D348" s="7" t="n"/>
      <c r="E348" s="7" t="n"/>
      <c r="F348" s="7" t="n"/>
      <c r="G348" s="7" t="n"/>
    </row>
    <row r="349">
      <c r="D349" s="7" t="n"/>
      <c r="E349" s="7" t="n"/>
      <c r="F349" s="7" t="n"/>
      <c r="G349" s="7" t="n"/>
    </row>
    <row r="350">
      <c r="D350" s="7" t="n"/>
      <c r="E350" s="7" t="n"/>
      <c r="F350" s="7" t="n"/>
      <c r="G350" s="7" t="n"/>
    </row>
    <row r="351">
      <c r="D351" s="7" t="n"/>
      <c r="E351" s="7" t="n"/>
      <c r="F351" s="7" t="n"/>
      <c r="G351" s="7" t="n"/>
    </row>
    <row r="352">
      <c r="D352" s="7" t="n"/>
      <c r="E352" s="7" t="n"/>
      <c r="F352" s="7" t="n"/>
      <c r="G352" s="7" t="n"/>
    </row>
    <row r="353">
      <c r="D353" s="7" t="n"/>
      <c r="E353" s="7" t="n"/>
      <c r="F353" s="7" t="n"/>
      <c r="G353" s="7" t="n"/>
    </row>
    <row r="354">
      <c r="D354" s="7" t="n"/>
      <c r="E354" s="7" t="n"/>
      <c r="F354" s="7" t="n"/>
      <c r="G354" s="7" t="n"/>
    </row>
    <row r="355">
      <c r="D355" s="7" t="n"/>
      <c r="E355" s="7" t="n"/>
      <c r="F355" s="7" t="n"/>
      <c r="G355" s="7" t="n"/>
    </row>
    <row r="356">
      <c r="D356" s="7" t="n"/>
      <c r="E356" s="7" t="n"/>
      <c r="F356" s="7" t="n"/>
      <c r="G356" s="7" t="n"/>
    </row>
    <row r="357">
      <c r="D357" s="7" t="n"/>
      <c r="E357" s="7" t="n"/>
      <c r="F357" s="7" t="n"/>
      <c r="G357" s="7" t="n"/>
    </row>
    <row r="358">
      <c r="D358" s="7" t="n"/>
      <c r="E358" s="7" t="n"/>
      <c r="F358" s="7" t="n"/>
      <c r="G358" s="7" t="n"/>
    </row>
    <row r="359">
      <c r="D359" s="7" t="n"/>
      <c r="E359" s="7" t="n"/>
      <c r="F359" s="7" t="n"/>
      <c r="G359" s="7" t="n"/>
    </row>
    <row r="360">
      <c r="D360" s="7" t="n"/>
      <c r="E360" s="7" t="n"/>
      <c r="F360" s="7" t="n"/>
      <c r="G360" s="7" t="n"/>
    </row>
    <row r="361">
      <c r="D361" s="7" t="n"/>
      <c r="E361" s="7" t="n"/>
      <c r="F361" s="7" t="n"/>
      <c r="G361" s="7" t="n"/>
    </row>
    <row r="362">
      <c r="D362" s="7" t="n"/>
      <c r="E362" s="7" t="n"/>
      <c r="F362" s="7" t="n"/>
      <c r="G362" s="7" t="n"/>
    </row>
    <row r="363">
      <c r="D363" s="7" t="n"/>
      <c r="E363" s="7" t="n"/>
      <c r="F363" s="7" t="n"/>
      <c r="G363" s="7" t="n"/>
    </row>
    <row r="364">
      <c r="D364" s="7" t="n"/>
      <c r="E364" s="7" t="n"/>
      <c r="F364" s="7" t="n"/>
      <c r="G364" s="7" t="n"/>
    </row>
    <row r="365">
      <c r="D365" s="7" t="n"/>
      <c r="E365" s="7" t="n"/>
      <c r="F365" s="7" t="n"/>
      <c r="G365" s="7" t="n"/>
    </row>
    <row r="366">
      <c r="D366" s="7" t="n"/>
      <c r="E366" s="7" t="n"/>
      <c r="F366" s="7" t="n"/>
      <c r="G366" s="7" t="n"/>
    </row>
    <row r="367">
      <c r="D367" s="7" t="n"/>
      <c r="E367" s="7" t="n"/>
      <c r="F367" s="7" t="n"/>
      <c r="G367" s="7" t="n"/>
    </row>
    <row r="368">
      <c r="D368" s="7" t="n"/>
      <c r="E368" s="7" t="n"/>
      <c r="F368" s="7" t="n"/>
      <c r="G368" s="7" t="n"/>
    </row>
    <row r="369">
      <c r="D369" s="7" t="n"/>
      <c r="E369" s="7" t="n"/>
      <c r="F369" s="7" t="n"/>
      <c r="G369" s="7" t="n"/>
    </row>
    <row r="370">
      <c r="D370" s="7" t="n"/>
      <c r="E370" s="7" t="n"/>
      <c r="F370" s="7" t="n"/>
      <c r="G370" s="7" t="n"/>
    </row>
    <row r="371">
      <c r="D371" s="7" t="n"/>
      <c r="E371" s="7" t="n"/>
      <c r="F371" s="7" t="n"/>
      <c r="G371" s="7" t="n"/>
    </row>
    <row r="372">
      <c r="D372" s="7" t="n"/>
      <c r="E372" s="7" t="n"/>
      <c r="F372" s="7" t="n"/>
      <c r="G372" s="7" t="n"/>
    </row>
    <row r="373">
      <c r="D373" s="7" t="n"/>
      <c r="E373" s="7" t="n"/>
      <c r="F373" s="7" t="n"/>
      <c r="G373" s="7" t="n"/>
    </row>
    <row r="374">
      <c r="D374" s="7" t="n"/>
      <c r="E374" s="7" t="n"/>
      <c r="F374" s="7" t="n"/>
      <c r="G374" s="7" t="n"/>
    </row>
    <row r="375">
      <c r="D375" s="7" t="n"/>
      <c r="E375" s="7" t="n"/>
      <c r="F375" s="7" t="n"/>
      <c r="G375" s="7" t="n"/>
    </row>
    <row r="376">
      <c r="D376" s="7" t="n"/>
      <c r="E376" s="7" t="n"/>
      <c r="F376" s="7" t="n"/>
      <c r="G376" s="7" t="n"/>
    </row>
    <row r="377">
      <c r="D377" s="7" t="n"/>
      <c r="E377" s="7" t="n"/>
      <c r="F377" s="7" t="n"/>
      <c r="G377" s="7" t="n"/>
    </row>
    <row r="378">
      <c r="D378" s="7" t="n"/>
      <c r="E378" s="7" t="n"/>
      <c r="F378" s="7" t="n"/>
      <c r="G378" s="7" t="n"/>
    </row>
    <row r="379">
      <c r="D379" s="7" t="n"/>
      <c r="E379" s="7" t="n"/>
      <c r="F379" s="7" t="n"/>
      <c r="G379" s="7" t="n"/>
    </row>
    <row r="380">
      <c r="D380" s="7" t="n"/>
      <c r="E380" s="7" t="n"/>
      <c r="F380" s="7" t="n"/>
      <c r="G380" s="7" t="n"/>
    </row>
    <row r="381">
      <c r="D381" s="7" t="n"/>
      <c r="E381" s="7" t="n"/>
      <c r="F381" s="7" t="n"/>
      <c r="G381" s="7" t="n"/>
    </row>
    <row r="382">
      <c r="D382" s="7" t="n"/>
      <c r="E382" s="7" t="n"/>
      <c r="F382" s="7" t="n"/>
      <c r="G382" s="7" t="n"/>
    </row>
    <row r="383">
      <c r="D383" s="7" t="n"/>
      <c r="E383" s="7" t="n"/>
      <c r="F383" s="7" t="n"/>
      <c r="G383" s="7" t="n"/>
    </row>
    <row r="384">
      <c r="D384" s="7" t="n"/>
      <c r="E384" s="7" t="n"/>
      <c r="F384" s="7" t="n"/>
      <c r="G384" s="7" t="n"/>
    </row>
    <row r="385">
      <c r="D385" s="7" t="n"/>
      <c r="E385" s="7" t="n"/>
      <c r="F385" s="7" t="n"/>
      <c r="G385" s="7" t="n"/>
    </row>
    <row r="386">
      <c r="D386" s="7" t="n"/>
      <c r="E386" s="7" t="n"/>
      <c r="F386" s="7" t="n"/>
      <c r="G386" s="7" t="n"/>
    </row>
    <row r="387">
      <c r="D387" s="7" t="n"/>
      <c r="E387" s="7" t="n"/>
      <c r="F387" s="7" t="n"/>
      <c r="G387" s="7" t="n"/>
    </row>
    <row r="388">
      <c r="D388" s="7" t="n"/>
      <c r="E388" s="7" t="n"/>
      <c r="F388" s="7" t="n"/>
      <c r="G388" s="7" t="n"/>
    </row>
    <row r="389">
      <c r="D389" s="7" t="n"/>
      <c r="E389" s="7" t="n"/>
      <c r="F389" s="7" t="n"/>
      <c r="G389" s="7" t="n"/>
    </row>
    <row r="390">
      <c r="D390" s="7" t="n"/>
      <c r="E390" s="7" t="n"/>
      <c r="F390" s="7" t="n"/>
      <c r="G390" s="7" t="n"/>
    </row>
    <row r="391">
      <c r="D391" s="7" t="n"/>
      <c r="E391" s="7" t="n"/>
      <c r="F391" s="7" t="n"/>
      <c r="G391" s="7" t="n"/>
    </row>
    <row r="392">
      <c r="D392" s="7" t="n"/>
      <c r="E392" s="7" t="n"/>
      <c r="F392" s="7" t="n"/>
      <c r="G392" s="7" t="n"/>
    </row>
    <row r="393">
      <c r="D393" s="7" t="n"/>
      <c r="E393" s="7" t="n"/>
      <c r="F393" s="7" t="n"/>
      <c r="G393" s="7" t="n"/>
    </row>
    <row r="394">
      <c r="D394" s="7" t="n"/>
      <c r="E394" s="7" t="n"/>
      <c r="F394" s="7" t="n"/>
      <c r="G394" s="7" t="n"/>
    </row>
    <row r="395">
      <c r="D395" s="7" t="n"/>
      <c r="E395" s="7" t="n"/>
      <c r="F395" s="7" t="n"/>
      <c r="G395" s="7" t="n"/>
    </row>
    <row r="396">
      <c r="D396" s="7" t="n"/>
      <c r="E396" s="7" t="n"/>
      <c r="F396" s="7" t="n"/>
      <c r="G396" s="7" t="n"/>
    </row>
    <row r="397">
      <c r="D397" s="7" t="n"/>
      <c r="E397" s="7" t="n"/>
      <c r="F397" s="7" t="n"/>
      <c r="G397" s="7" t="n"/>
    </row>
    <row r="398">
      <c r="D398" s="7" t="n"/>
      <c r="E398" s="7" t="n"/>
      <c r="F398" s="7" t="n"/>
      <c r="G398" s="7" t="n"/>
    </row>
    <row r="399">
      <c r="D399" s="7" t="n"/>
      <c r="E399" s="7" t="n"/>
      <c r="F399" s="7" t="n"/>
      <c r="G399" s="7" t="n"/>
    </row>
    <row r="400">
      <c r="D400" s="7" t="n"/>
      <c r="E400" s="7" t="n"/>
      <c r="F400" s="7" t="n"/>
      <c r="G400" s="7" t="n"/>
    </row>
    <row r="401">
      <c r="D401" s="7" t="n"/>
      <c r="E401" s="7" t="n"/>
      <c r="F401" s="7" t="n"/>
      <c r="G401" s="7" t="n"/>
    </row>
    <row r="402">
      <c r="D402" s="7" t="n"/>
      <c r="E402" s="7" t="n"/>
      <c r="F402" s="7" t="n"/>
      <c r="G402" s="7" t="n"/>
    </row>
    <row r="403">
      <c r="D403" s="7" t="n"/>
      <c r="E403" s="7" t="n"/>
      <c r="F403" s="7" t="n"/>
      <c r="G403" s="7" t="n"/>
    </row>
    <row r="404">
      <c r="D404" s="7" t="n"/>
      <c r="E404" s="7" t="n"/>
      <c r="F404" s="7" t="n"/>
      <c r="G404" s="7" t="n"/>
    </row>
    <row r="405">
      <c r="D405" s="7" t="n"/>
      <c r="E405" s="7" t="n"/>
      <c r="F405" s="7" t="n"/>
      <c r="G405" s="7" t="n"/>
    </row>
    <row r="406">
      <c r="D406" s="7" t="n"/>
      <c r="E406" s="7" t="n"/>
      <c r="F406" s="7" t="n"/>
      <c r="G406" s="7" t="n"/>
    </row>
    <row r="407">
      <c r="D407" s="7" t="n"/>
      <c r="E407" s="7" t="n"/>
      <c r="F407" s="7" t="n"/>
      <c r="G407" s="7" t="n"/>
    </row>
    <row r="408">
      <c r="D408" s="7" t="n"/>
      <c r="E408" s="7" t="n"/>
      <c r="F408" s="7" t="n"/>
      <c r="G408" s="7" t="n"/>
    </row>
    <row r="409">
      <c r="D409" s="7" t="n"/>
      <c r="E409" s="7" t="n"/>
      <c r="F409" s="7" t="n"/>
      <c r="G409" s="7" t="n"/>
    </row>
    <row r="410">
      <c r="D410" s="7" t="n"/>
      <c r="E410" s="7" t="n"/>
      <c r="F410" s="7" t="n"/>
      <c r="G410" s="7" t="n"/>
    </row>
    <row r="411">
      <c r="D411" s="7" t="n"/>
      <c r="E411" s="7" t="n"/>
      <c r="F411" s="7" t="n"/>
      <c r="G411" s="7" t="n"/>
    </row>
    <row r="412">
      <c r="D412" s="7" t="n"/>
      <c r="E412" s="7" t="n"/>
      <c r="F412" s="7" t="n"/>
      <c r="G412" s="7" t="n"/>
    </row>
    <row r="413">
      <c r="D413" s="7" t="n"/>
      <c r="E413" s="7" t="n"/>
      <c r="F413" s="7" t="n"/>
      <c r="G413" s="7" t="n"/>
    </row>
    <row r="414">
      <c r="D414" s="7" t="n"/>
      <c r="E414" s="7" t="n"/>
      <c r="F414" s="7" t="n"/>
      <c r="G414" s="7" t="n"/>
    </row>
    <row r="415">
      <c r="D415" s="7" t="n"/>
      <c r="E415" s="7" t="n"/>
      <c r="F415" s="7" t="n"/>
      <c r="G415" s="7" t="n"/>
    </row>
    <row r="416">
      <c r="D416" s="7" t="n"/>
      <c r="E416" s="7" t="n"/>
      <c r="F416" s="7" t="n"/>
      <c r="G416" s="7" t="n"/>
    </row>
    <row r="417">
      <c r="D417" s="7" t="n"/>
      <c r="E417" s="7" t="n"/>
      <c r="F417" s="7" t="n"/>
      <c r="G417" s="7" t="n"/>
    </row>
    <row r="418">
      <c r="D418" s="7" t="n"/>
      <c r="E418" s="7" t="n"/>
      <c r="F418" s="7" t="n"/>
      <c r="G418" s="7" t="n"/>
    </row>
    <row r="419">
      <c r="D419" s="7" t="n"/>
      <c r="E419" s="7" t="n"/>
      <c r="F419" s="7" t="n"/>
      <c r="G419" s="7" t="n"/>
    </row>
    <row r="420">
      <c r="D420" s="7" t="n"/>
      <c r="E420" s="7" t="n"/>
      <c r="F420" s="7" t="n"/>
      <c r="G420" s="7" t="n"/>
    </row>
    <row r="421">
      <c r="D421" s="7" t="n"/>
      <c r="E421" s="7" t="n"/>
      <c r="F421" s="7" t="n"/>
      <c r="G421" s="7" t="n"/>
    </row>
    <row r="422">
      <c r="D422" s="7" t="n"/>
      <c r="E422" s="7" t="n"/>
      <c r="F422" s="7" t="n"/>
      <c r="G422" s="7" t="n"/>
    </row>
    <row r="423">
      <c r="D423" s="7" t="n"/>
      <c r="E423" s="7" t="n"/>
      <c r="F423" s="7" t="n"/>
      <c r="G423" s="7" t="n"/>
    </row>
    <row r="424">
      <c r="D424" s="7" t="n"/>
      <c r="E424" s="7" t="n"/>
      <c r="F424" s="7" t="n"/>
      <c r="G424" s="7" t="n"/>
    </row>
    <row r="425">
      <c r="D425" s="7" t="n"/>
      <c r="E425" s="7" t="n"/>
      <c r="F425" s="7" t="n"/>
      <c r="G425" s="7" t="n"/>
    </row>
    <row r="426">
      <c r="D426" s="7" t="n"/>
      <c r="E426" s="7" t="n"/>
      <c r="F426" s="7" t="n"/>
      <c r="G426" s="7" t="n"/>
    </row>
    <row r="427">
      <c r="D427" s="7" t="n"/>
      <c r="E427" s="7" t="n"/>
      <c r="F427" s="7" t="n"/>
      <c r="G427" s="7" t="n"/>
    </row>
    <row r="428">
      <c r="D428" s="7" t="n"/>
      <c r="E428" s="7" t="n"/>
      <c r="F428" s="7" t="n"/>
      <c r="G428" s="7" t="n"/>
    </row>
    <row r="429">
      <c r="D429" s="7" t="n"/>
      <c r="E429" s="7" t="n"/>
      <c r="F429" s="7" t="n"/>
      <c r="G429" s="7" t="n"/>
    </row>
    <row r="430">
      <c r="D430" s="7" t="n"/>
      <c r="E430" s="7" t="n"/>
      <c r="F430" s="7" t="n"/>
      <c r="G430" s="7" t="n"/>
    </row>
    <row r="431">
      <c r="D431" s="7" t="n"/>
      <c r="E431" s="7" t="n"/>
      <c r="F431" s="7" t="n"/>
      <c r="G431" s="7" t="n"/>
    </row>
    <row r="432">
      <c r="D432" s="7" t="n"/>
      <c r="E432" s="7" t="n"/>
      <c r="F432" s="7" t="n"/>
      <c r="G432" s="7" t="n"/>
    </row>
    <row r="433">
      <c r="D433" s="7" t="n"/>
      <c r="E433" s="7" t="n"/>
      <c r="F433" s="7" t="n"/>
      <c r="G433" s="7" t="n"/>
    </row>
    <row r="434">
      <c r="D434" s="7" t="n"/>
      <c r="E434" s="7" t="n"/>
      <c r="F434" s="7" t="n"/>
      <c r="G434" s="7" t="n"/>
    </row>
    <row r="435">
      <c r="D435" s="7" t="n"/>
      <c r="E435" s="7" t="n"/>
      <c r="F435" s="7" t="n"/>
      <c r="G435" s="7" t="n"/>
    </row>
    <row r="436">
      <c r="D436" s="7" t="n"/>
      <c r="E436" s="7" t="n"/>
      <c r="F436" s="7" t="n"/>
      <c r="G436" s="7" t="n"/>
    </row>
    <row r="437">
      <c r="D437" s="7" t="n"/>
      <c r="E437" s="7" t="n"/>
      <c r="F437" s="7" t="n"/>
      <c r="G437" s="7" t="n"/>
    </row>
    <row r="438">
      <c r="D438" s="7" t="n"/>
      <c r="E438" s="7" t="n"/>
      <c r="F438" s="7" t="n"/>
      <c r="G438" s="7" t="n"/>
    </row>
    <row r="439">
      <c r="D439" s="7" t="n"/>
      <c r="E439" s="7" t="n"/>
      <c r="F439" s="7" t="n"/>
      <c r="G439" s="7" t="n"/>
    </row>
    <row r="440">
      <c r="D440" s="7" t="n"/>
      <c r="E440" s="7" t="n"/>
      <c r="F440" s="7" t="n"/>
      <c r="G440" s="7" t="n"/>
    </row>
    <row r="441">
      <c r="D441" s="7" t="n"/>
      <c r="E441" s="7" t="n"/>
      <c r="F441" s="7" t="n"/>
      <c r="G441" s="7" t="n"/>
    </row>
    <row r="442">
      <c r="D442" s="7" t="n"/>
      <c r="E442" s="7" t="n"/>
      <c r="F442" s="7" t="n"/>
      <c r="G442" s="7" t="n"/>
    </row>
    <row r="443">
      <c r="D443" s="7" t="n"/>
      <c r="E443" s="7" t="n"/>
      <c r="F443" s="7" t="n"/>
      <c r="G443" s="7" t="n"/>
    </row>
    <row r="444">
      <c r="D444" s="7" t="n"/>
      <c r="E444" s="7" t="n"/>
      <c r="F444" s="7" t="n"/>
      <c r="G444" s="7" t="n"/>
    </row>
    <row r="445">
      <c r="D445" s="7" t="n"/>
      <c r="E445" s="7" t="n"/>
      <c r="F445" s="7" t="n"/>
      <c r="G445" s="7" t="n"/>
    </row>
    <row r="446">
      <c r="D446" s="7" t="n"/>
      <c r="E446" s="7" t="n"/>
      <c r="F446" s="7" t="n"/>
      <c r="G446" s="7" t="n"/>
    </row>
    <row r="447">
      <c r="D447" s="7" t="n"/>
      <c r="E447" s="7" t="n"/>
      <c r="F447" s="7" t="n"/>
      <c r="G447" s="7" t="n"/>
    </row>
    <row r="448">
      <c r="D448" s="7" t="n"/>
      <c r="E448" s="7" t="n"/>
      <c r="F448" s="7" t="n"/>
      <c r="G448" s="7" t="n"/>
    </row>
    <row r="449">
      <c r="D449" s="7" t="n"/>
      <c r="E449" s="7" t="n"/>
      <c r="F449" s="7" t="n"/>
      <c r="G449" s="7" t="n"/>
    </row>
    <row r="450">
      <c r="D450" s="7" t="n"/>
      <c r="E450" s="7" t="n"/>
      <c r="F450" s="7" t="n"/>
      <c r="G450" s="7" t="n"/>
    </row>
    <row r="451">
      <c r="D451" s="7" t="n"/>
      <c r="E451" s="7" t="n"/>
      <c r="F451" s="7" t="n"/>
      <c r="G451" s="7" t="n"/>
    </row>
    <row r="452">
      <c r="D452" s="7" t="n"/>
      <c r="E452" s="7" t="n"/>
      <c r="F452" s="7" t="n"/>
      <c r="G452" s="7" t="n"/>
    </row>
    <row r="453">
      <c r="D453" s="7" t="n"/>
      <c r="E453" s="7" t="n"/>
      <c r="F453" s="7" t="n"/>
      <c r="G453" s="7" t="n"/>
    </row>
    <row r="454">
      <c r="D454" s="7" t="n"/>
      <c r="E454" s="7" t="n"/>
      <c r="F454" s="7" t="n"/>
      <c r="G454" s="7" t="n"/>
    </row>
  </sheetData>
  <mergeCells count="22">
    <mergeCell ref="H6:H7"/>
    <mergeCell ref="K2:K4"/>
    <mergeCell ref="J6:J7"/>
    <mergeCell ref="A6:A7"/>
    <mergeCell ref="D6:E6"/>
    <mergeCell ref="O29:P29"/>
    <mergeCell ref="O27:P28"/>
    <mergeCell ref="O20:P20"/>
    <mergeCell ref="O23:P24"/>
    <mergeCell ref="L2:L4"/>
    <mergeCell ref="O14:P15"/>
    <mergeCell ref="A2:G3"/>
    <mergeCell ref="I2:I4"/>
    <mergeCell ref="O16:P16"/>
    <mergeCell ref="O25:P25"/>
    <mergeCell ref="O9:P10"/>
    <mergeCell ref="O21:P21"/>
    <mergeCell ref="O18:P19"/>
    <mergeCell ref="P2:P4"/>
    <mergeCell ref="I6:I7"/>
    <mergeCell ref="H2:H4"/>
    <mergeCell ref="K6:K7"/>
  </mergeCells>
  <conditionalFormatting sqref="K9:K51">
    <cfRule type="cellIs" priority="1" operator="equal" dxfId="1">
      <formula>"DIREITO"</formula>
    </cfRule>
    <cfRule type="cellIs" priority="2" operator="equal" dxfId="4">
      <formula>"ESQUERDO"</formula>
    </cfRule>
  </conditionalFormatting>
  <dataValidations count="2">
    <dataValidation sqref="I2:I5" showDropDown="0" showInputMessage="1" showErrorMessage="1" allowBlank="1" type="list">
      <formula1>",SIM,NÃO"</formula1>
    </dataValidation>
    <dataValidation sqref="K9:K51" showDropDown="0" showInputMessage="1" showErrorMessage="1" allowBlank="1" type="list">
      <formula1>"DIREITO,ESQUERDO,TRAFO, ,"</formula1>
    </dataValidation>
  </dataValidations>
  <pageMargins left="0.511805555555555" right="0.511805555555555" top="0.7875" bottom="0.7875" header="0.511805555555555" footer="0.511805555555555"/>
  <pageSetup orientation="portrait" paperSize="9" firstPageNumber="0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Planilha4">
    <outlinePr summaryBelow="1" summaryRight="1"/>
    <pageSetUpPr/>
  </sheetPr>
  <dimension ref="A2:AC14"/>
  <sheetViews>
    <sheetView zoomScale="110" zoomScaleNormal="110" workbookViewId="0">
      <selection activeCell="C2" sqref="C2:C3"/>
    </sheetView>
  </sheetViews>
  <sheetFormatPr baseColWidth="8" defaultRowHeight="14.4"/>
  <cols>
    <col width="11.6640625" bestFit="1" customWidth="1" style="179" min="1" max="1"/>
    <col width="12.6640625" customWidth="1" style="179" min="2" max="2"/>
    <col width="14.88671875" customWidth="1" style="179" min="3" max="3"/>
    <col width="10.44140625" bestFit="1" customWidth="1" style="179" min="4" max="4"/>
    <col width="11.5546875" bestFit="1" customWidth="1" style="179" min="5" max="5"/>
    <col width="8.21875" customWidth="1" style="179" min="6" max="6"/>
    <col width="8.88671875" customWidth="1" style="179" min="7" max="7"/>
    <col width="16.109375" bestFit="1" customWidth="1" style="179" min="8" max="8"/>
    <col hidden="1" width="7.109375" customWidth="1" style="179" min="9" max="9"/>
    <col hidden="1" width="6.109375" customWidth="1" style="179" min="10" max="10"/>
    <col hidden="1" width="10.77734375" customWidth="1" style="179" min="11" max="11"/>
    <col hidden="1" width="15.44140625" customWidth="1" style="179" min="12" max="12"/>
    <col hidden="1" width="17.5546875" customWidth="1" style="179" min="13" max="13"/>
    <col width="8.77734375" bestFit="1" customWidth="1" style="179" min="14" max="14"/>
    <col width="11.6640625" customWidth="1" style="179" min="15" max="15"/>
    <col hidden="1" width="7.5546875" customWidth="1" style="179" min="16" max="16"/>
    <col hidden="1" width="20.6640625" customWidth="1" style="179" min="17" max="17"/>
    <col hidden="1" width="9" customWidth="1" style="179" min="18" max="18"/>
    <col width="8" bestFit="1" customWidth="1" style="179" min="19" max="19"/>
    <col hidden="1" width="16" customWidth="1" style="179" min="20" max="20"/>
    <col hidden="1" width="13.21875" customWidth="1" style="179" min="21" max="21"/>
    <col hidden="1" width="13.33203125" customWidth="1" style="179" min="22" max="22"/>
    <col hidden="1" width="6.5546875" customWidth="1" style="179" min="23" max="23"/>
    <col hidden="1" width="6.44140625" customWidth="1" style="179" min="24" max="24"/>
    <col hidden="1" width="13.33203125" customWidth="1" style="179" min="25" max="25"/>
    <col hidden="1" width="11.5546875" customWidth="1" style="179" min="26" max="26"/>
    <col width="4.33203125" customWidth="1" style="179" min="27" max="27"/>
    <col width="2.33203125" bestFit="1" customWidth="1" style="179" min="28" max="28"/>
    <col width="11.5546875" bestFit="1" customWidth="1" style="179" min="29" max="29"/>
  </cols>
  <sheetData>
    <row r="2">
      <c r="A2" s="233" t="inlineStr">
        <is>
          <t>CQT FINAL</t>
        </is>
      </c>
      <c r="B2" s="246">
        <f>VLOOKUP("RAMAL",Tabela7[[PONTO]:[ETA]],15,0)</f>
        <v/>
      </c>
      <c r="C2" s="234">
        <f>VLOOKUP("RAMAL",Tabela7[[PONTO]:[ETA]],14,0)</f>
        <v/>
      </c>
      <c r="D2" s="201" t="n"/>
      <c r="E2" s="201" t="n"/>
      <c r="F2" s="64" t="n"/>
      <c r="H2" s="153" t="inlineStr">
        <is>
          <t>16 Al_CONC_Tri</t>
        </is>
      </c>
      <c r="AB2" s="190" t="inlineStr">
        <is>
          <t>CENTRO DE CARGA</t>
        </is>
      </c>
      <c r="AC2" s="191" t="n"/>
    </row>
    <row r="3">
      <c r="B3" s="232" t="n"/>
      <c r="C3" s="232" t="n"/>
      <c r="F3" s="64" t="n"/>
      <c r="AB3" s="192" t="n"/>
      <c r="AC3" s="192" t="n"/>
    </row>
    <row r="4">
      <c r="AB4" s="196" t="inlineStr">
        <is>
          <t>X</t>
        </is>
      </c>
      <c r="AC4" s="188">
        <f>IFERROR(SUMPRODUCT(G8:G10,D8:D10)/SUM(G8:G10),"INSERIR DADOS")</f>
        <v/>
      </c>
    </row>
    <row r="5" ht="13.8" customHeight="1" s="179">
      <c r="A5" s="233" t="inlineStr">
        <is>
          <t>PONTO</t>
        </is>
      </c>
      <c r="B5" s="180" t="inlineStr">
        <is>
          <t>PONTO MONTANTE</t>
        </is>
      </c>
      <c r="C5" s="180" t="inlineStr">
        <is>
          <t>COMPRIMENTO (m)</t>
        </is>
      </c>
      <c r="D5" s="235" t="inlineStr">
        <is>
          <t>COORDENADAS UTM</t>
        </is>
      </c>
      <c r="E5" s="182" t="n"/>
      <c r="F5" s="176" t="inlineStr">
        <is>
          <t>CARGA PONTO (kVA)</t>
        </is>
      </c>
      <c r="G5" s="176" t="inlineStr">
        <is>
          <t>ACUMULADO (kVA)</t>
        </is>
      </c>
      <c r="H5" s="176" t="inlineStr">
        <is>
          <t>CONDUTOR</t>
        </is>
      </c>
      <c r="I5" s="176" t="n"/>
      <c r="J5" s="176" t="n"/>
      <c r="K5" s="176" t="n"/>
      <c r="L5" s="176" t="inlineStr">
        <is>
          <t>QT NO PONTO</t>
        </is>
      </c>
      <c r="M5" s="176" t="inlineStr">
        <is>
          <t>QT ACUMULADA</t>
        </is>
      </c>
      <c r="N5" s="176" t="inlineStr">
        <is>
          <t>QT %</t>
        </is>
      </c>
      <c r="O5" s="176" t="inlineStr">
        <is>
          <t>TENSÃO PONTO</t>
        </is>
      </c>
      <c r="P5" s="176" t="n"/>
      <c r="Q5" s="176" t="inlineStr">
        <is>
          <t>I trecho x I condutor</t>
        </is>
      </c>
      <c r="S5" s="176" t="inlineStr">
        <is>
          <t>FASES</t>
        </is>
      </c>
      <c r="Z5" s="176" t="inlineStr">
        <is>
          <t>SNAP</t>
        </is>
      </c>
      <c r="AB5" s="12" t="inlineStr">
        <is>
          <t>Y</t>
        </is>
      </c>
      <c r="AC5" s="188">
        <f>IFERROR(SUMPRODUCT(G8:G10,E8:E10)/SUM(G8:G10),"INSERIR DADOS")</f>
        <v/>
      </c>
    </row>
    <row r="6" ht="34.2" customHeight="1" s="179">
      <c r="D6" s="233" t="inlineStr">
        <is>
          <t>LONG</t>
        </is>
      </c>
      <c r="E6" s="233" t="inlineStr">
        <is>
          <t>LAT</t>
        </is>
      </c>
      <c r="J6" s="178" t="n"/>
      <c r="K6" s="178" t="n"/>
      <c r="P6" s="178" t="n"/>
    </row>
    <row r="7">
      <c r="A7" s="53" t="inlineStr">
        <is>
          <t>PONTO</t>
        </is>
      </c>
      <c r="B7" s="53" t="inlineStr">
        <is>
          <t>TRECHO</t>
        </is>
      </c>
      <c r="C7" s="53" t="inlineStr">
        <is>
          <t>M</t>
        </is>
      </c>
      <c r="D7" s="53" t="inlineStr">
        <is>
          <t>X</t>
        </is>
      </c>
      <c r="E7" s="53" t="inlineStr">
        <is>
          <t>Y</t>
        </is>
      </c>
      <c r="F7" s="53" t="inlineStr">
        <is>
          <t>KVA PONTO</t>
        </is>
      </c>
      <c r="G7" s="53" t="inlineStr">
        <is>
          <t>ACUMULADA</t>
        </is>
      </c>
      <c r="H7" s="53" t="inlineStr">
        <is>
          <t>CONDUTOR</t>
        </is>
      </c>
      <c r="I7" s="67" t="inlineStr">
        <is>
          <t>(A)</t>
        </is>
      </c>
      <c r="J7" s="67" t="inlineStr">
        <is>
          <t>T</t>
        </is>
      </c>
      <c r="K7" s="67" t="inlineStr">
        <is>
          <t>R CORR</t>
        </is>
      </c>
      <c r="L7" s="53" t="inlineStr">
        <is>
          <t>QT-PONTO</t>
        </is>
      </c>
      <c r="M7" s="53" t="inlineStr">
        <is>
          <t>Coluna1</t>
        </is>
      </c>
      <c r="N7" s="53" t="inlineStr">
        <is>
          <t>QT %</t>
        </is>
      </c>
      <c r="O7" s="67" t="inlineStr">
        <is>
          <t>127</t>
        </is>
      </c>
      <c r="P7" s="67" t="inlineStr">
        <is>
          <t>220</t>
        </is>
      </c>
      <c r="Q7" s="53" t="inlineStr">
        <is>
          <t>TEMP2</t>
        </is>
      </c>
      <c r="R7" s="75" t="inlineStr">
        <is>
          <t>FASE</t>
        </is>
      </c>
      <c r="S7" s="75" t="inlineStr">
        <is>
          <t>ETA</t>
        </is>
      </c>
      <c r="T7" s="75" t="inlineStr">
        <is>
          <t>METODO_INST</t>
        </is>
      </c>
      <c r="U7" s="75" t="inlineStr">
        <is>
          <t>TEMP_AMB</t>
        </is>
      </c>
      <c r="V7" s="75" t="inlineStr">
        <is>
          <t>Ib</t>
        </is>
      </c>
      <c r="W7" s="75" t="inlineStr">
        <is>
          <t>In</t>
        </is>
      </c>
      <c r="X7" s="75" t="inlineStr">
        <is>
          <t>Iz</t>
        </is>
      </c>
      <c r="Y7" s="75" t="inlineStr">
        <is>
          <t>PROTECAO</t>
        </is>
      </c>
      <c r="Z7" s="53" t="inlineStr">
        <is>
          <t>Coluna2</t>
        </is>
      </c>
    </row>
    <row r="8">
      <c r="A8" s="54">
        <f>GERAL!A9</f>
        <v/>
      </c>
      <c r="B8" s="54">
        <f>IFERROR(IF(Tabela7[[#This Row],[PONTO]]="RAMAL",A7,VLOOKUP(Tabela7[[#This Row],[PONTO]],GERAL[],2,0)),"")</f>
        <v/>
      </c>
      <c r="C8" s="54">
        <f>IFERROR(IF(Tabela7[[#This Row],[PONTO]]="RAMAL",15,VLOOKUP(Tabela7[[#This Row],[PONTO]],GERAL[],3,0)),0)</f>
        <v/>
      </c>
      <c r="D8" s="55">
        <f>IFERROR(IF(Tabela7[[#This Row],[PONTO]]="RAMAL","",VLOOKUP(Tabela7[[#This Row],[PONTO]],GERAL[],4,0)),"")</f>
        <v/>
      </c>
      <c r="E8" s="55">
        <f>IFERROR(IF(Tabela7[[#This Row],[PONTO]]="RAMAL","",VLOOKUP(Tabela7[[#This Row],[PONTO]],GERAL[],5,0)),"")</f>
        <v/>
      </c>
      <c r="F8" s="55">
        <f>IFERROR(IF(Tabela7[[#This Row],[PONTO]]="RAMAL",DMDI,VLOOKUP(Tabela7[[#This Row],[PONTO]],GERAL[],8,0)),"")</f>
        <v/>
      </c>
      <c r="G8" s="55">
        <f>IFERROR(IF(Tabela7[[#This Row],[PONTO]]="RAMAL",Tabela7[[#This Row],[KVA PONTO]],VLOOKUP(Tabela7[[#This Row],[PONTO]],GERAL[],9,0)),"")</f>
        <v/>
      </c>
      <c r="H8" s="55">
        <f>IFERROR(VLOOKUP(Tabela7[[#This Row],[PONTO]],GERAL[],12,0),"")</f>
        <v/>
      </c>
      <c r="I8" s="61">
        <f>IFERROR(Tabela7[[#This Row],[Ib]],"")</f>
        <v/>
      </c>
      <c r="J8" s="247">
        <f>IFERROR(IFERROR(Tabela7[[#This Row],[ACUMULADA]]/((IF(Tabela7[[#This Row],[FASE]]="MONO",T_LINHA_MONO,IF(Tabela7[[#This Row],[FASE]]="BIF",T_LINHA_TRF,T_LINHA_TRF*SQRT(3)))/1000)*VLOOKUP(Tabela7[[#This Row],[CONDUTOR]],CABOS[],9,0))+30,U8+60*(V8/X8)),"")</f>
        <v/>
      </c>
      <c r="K8" s="69">
        <f>IFERROR((VLOOKUP(Tabela7[[#This Row],[CONDUTOR]],CABOS[],3,0)/VLOOKUP(Tabela7[[#This Row],[CONDUTOR]],CABOS[],6,0))*(1+VLOOKUP(Tabela7[[#This Row],[CONDUTOR]],CABOS[],5,0)*(Tabela7[[#This Row],[T]]-20)),"")</f>
        <v/>
      </c>
      <c r="L8" s="62">
        <f>IFERROR(IF(Tabela7[[#This Row],[FASE]]="MONO",6,IF(Tabela7[[#This Row],[FASE]]="BIF",2,1))*Tabela7[[#This Row],[ACUMULADA]]*(SQRT(Tabela7[[#This Row],[R CORR]]^2+VLOOKUP(Tabela7[[#This Row],[CONDUTOR]],CABOS[],4,0)^2)/(($P$7^2)/100))*Tabela7[[#This Row],[M]]*T_LINHA_MONO/100+IF(Tabela7[[#This Row],[TRECHO]]=0,T_LINHA_MONO*QT_MTTR,0),"")</f>
        <v/>
      </c>
      <c r="M8" s="143">
        <f>IFERROR(SUMIF(Tabela7[PONTO],Tabela7[[#This Row],[TRECHO]],Tabela7[Coluna1])+Tabela7[[#This Row],[QT-PONTO]],"")</f>
        <v/>
      </c>
      <c r="N8" s="56">
        <f>IFERROR(Tabela7[[#This Row],[Coluna1]]/T_LINHA_MONO,"")</f>
        <v/>
      </c>
      <c r="O8" s="55">
        <f>IFERROR(T_LINHA_MONO*(1-Tabela7[[#This Row],[QT %]]),"")</f>
        <v/>
      </c>
      <c r="P8" s="55">
        <f>IFERROR(T_LINHA_TRF*(1-Tabela7[[#This Row],[QT %]]),"")</f>
        <v/>
      </c>
      <c r="Q8" s="68">
        <f>IFERROR(IF(Tabela7[[#This Row],[PROTECAO]]="OK","Protecao OK","Ajustar Disj/Condutor"),"")</f>
        <v/>
      </c>
      <c r="R8" s="74">
        <f>IF(Tabela7[[#This Row],[ETA]]=1,"MONO",IF(Tabela7[[#This Row],[ETA]]=2,"BIF","TRI"))</f>
        <v/>
      </c>
      <c r="S8" s="74" t="n">
        <v>3</v>
      </c>
      <c r="T8" s="74">
        <f>"AEREO"</f>
        <v/>
      </c>
      <c r="U8" s="74">
        <f>30</f>
        <v/>
      </c>
      <c r="V8" s="74">
        <f>IFERROR(IF(Tabela7[[#This Row],[FASE]]="MONO",Tabela7[[#This Row],[ACUMULADA]]*1000/(T_LINHA_TRF*Tabela7[[#This Row],[ETA]]),Tabela7[[#This Row],[ACUMULADA]]*1000/(SQRT(3)*$P$7*Tabela7[[#This Row],[ETA]])),"")</f>
        <v/>
      </c>
      <c r="W8" s="74">
        <f>IFERROR(VLOOKUP(Tabela7[[#This Row],[Ib]],TabelaDisjuntores[],2,TRUE),"")</f>
        <v/>
      </c>
      <c r="X8" s="74">
        <f>IFERROR(VLOOKUP(Tabela7[[#This Row],[CONDUTOR]],CABOS[],2,0),"")</f>
        <v/>
      </c>
      <c r="Y8" s="74">
        <f>IF(AND(Tabela7[[#This Row],[Ib]]&lt;=Tabela7[[#This Row],[In]],Tabela7[[#This Row],[In]]&lt;=Tabela7[[#This Row],[Iz]]),"OK","VERIFICAR")</f>
        <v/>
      </c>
      <c r="Z8" s="108">
        <f>IFERROR(SQRT((Tabela7[[#This Row],[X]]-$AC$4)^2+(Tabela7[[#This Row],[Y]]-$AC$5)^2),0)</f>
        <v/>
      </c>
    </row>
    <row r="9">
      <c r="A9" s="169" t="n">
        <v>12</v>
      </c>
      <c r="B9" s="54">
        <f>IFERROR(IF(Tabela7[[#This Row],[PONTO]]="RAMAL",A8,VLOOKUP(Tabela7[[#This Row],[PONTO]],GERAL[],2,0)),"")</f>
        <v/>
      </c>
      <c r="C9" s="54">
        <f>IFERROR(IF(Tabela7[[#This Row],[PONTO]]="RAMAL",15,VLOOKUP(Tabela7[[#This Row],[PONTO]],GERAL[],3,0)),0)</f>
        <v/>
      </c>
      <c r="D9" s="55">
        <f>IFERROR(IF(Tabela7[[#This Row],[PONTO]]="RAMAL","",VLOOKUP(Tabela7[[#This Row],[PONTO]],GERAL[],4,0)),"")</f>
        <v/>
      </c>
      <c r="E9" s="55">
        <f>IFERROR(IF(Tabela7[[#This Row],[PONTO]]="RAMAL","",VLOOKUP(Tabela7[[#This Row],[PONTO]],GERAL[],5,0)),"")</f>
        <v/>
      </c>
      <c r="F9" s="55">
        <f>IFERROR(IF(Tabela7[[#This Row],[PONTO]]="RAMAL",DMDI,VLOOKUP(Tabela7[[#This Row],[PONTO]],GERAL[],8,0)),"")</f>
        <v/>
      </c>
      <c r="G9" s="55">
        <f>IF(Tabela7[[#This Row],[PONTO]]="RAMAL",Tabela7[[#This Row],[KVA PONTO]],VLOOKUP(Tabela7[[#This Row],[PONTO]],GERAL[],9,0))</f>
        <v/>
      </c>
      <c r="H9" s="55">
        <f>IFERROR(VLOOKUP(Tabela7[[#This Row],[PONTO]],GERAL[],12,0),0)</f>
        <v/>
      </c>
      <c r="I9" s="61">
        <f>IFERROR(Tabela7[[#This Row],[Ib]],"")</f>
        <v/>
      </c>
      <c r="J9" s="247">
        <f>IFERROR(IFERROR(Tabela7[[#This Row],[ACUMULADA]]/((IF(Tabela7[[#This Row],[FASE]]="MONO",T_LINHA_MONO,IF(Tabela7[[#This Row],[FASE]]="BIF",T_LINHA_TRF,T_LINHA_TRF*SQRT(3)))/1000)*VLOOKUP(Tabela7[[#This Row],[CONDUTOR]],CABOS[],9,0))+30,U9+60*(V9/X9)),"")</f>
        <v/>
      </c>
      <c r="K9" s="69">
        <f>IFERROR((VLOOKUP(Tabela7[[#This Row],[CONDUTOR]],CABOS[],3,0)/VLOOKUP(Tabela7[[#This Row],[CONDUTOR]],CABOS[],6,0))*(1+VLOOKUP(Tabela7[[#This Row],[CONDUTOR]],CABOS[],5,0)*(Tabela7[[#This Row],[T]]-20)),"")</f>
        <v/>
      </c>
      <c r="L9" s="62">
        <f>IFERROR(IF(Tabela7[[#This Row],[FASE]]="MONO",6,IF(Tabela7[[#This Row],[FASE]]="BIF",2,1))*Tabela7[[#This Row],[ACUMULADA]]*(SQRT(Tabela7[[#This Row],[R CORR]]^2+VLOOKUP(Tabela7[[#This Row],[CONDUTOR]],CABOS[],4,0)^2)/(($P$7^2)/100))*Tabela7[[#This Row],[M]]*T_LINHA_MONO/100+IF(Tabela7[[#This Row],[TRECHO]]=0,T_LINHA_MONO*QT_MTTR,0),"")</f>
        <v/>
      </c>
      <c r="M9" s="143">
        <f>IFERROR(SUMIF(Tabela7[PONTO],Tabela7[[#This Row],[TRECHO]],Tabela7[Coluna1])+Tabela7[[#This Row],[QT-PONTO]],"")</f>
        <v/>
      </c>
      <c r="N9" s="57">
        <f>IFERROR(Tabela7[[#This Row],[Coluna1]]/T_LINHA_MONO,"")</f>
        <v/>
      </c>
      <c r="O9" s="55">
        <f>IFERROR(T_LINHA_MONO*(1-Tabela7[[#This Row],[QT %]]),"")</f>
        <v/>
      </c>
      <c r="P9" s="55">
        <f>IFERROR(T_LINHA_TRF*(1-Tabela7[[#This Row],[QT %]]),"")</f>
        <v/>
      </c>
      <c r="Q9" s="68">
        <f>IFERROR(IF(Tabela7[[#This Row],[PROTECAO]]="OK","Protecao OK","Ajustar Disj/Condutor"),"")</f>
        <v/>
      </c>
      <c r="R9" s="54">
        <f>"TRI"</f>
        <v/>
      </c>
      <c r="S9" s="54" t="n">
        <v>3</v>
      </c>
      <c r="T9" s="74">
        <f>"AEREO"</f>
        <v/>
      </c>
      <c r="U9" s="74">
        <f>30</f>
        <v/>
      </c>
      <c r="V9" s="74">
        <f>IFERROR(IF(Tabela7[[#This Row],[FASE]]="MONO",Tabela7[[#This Row],[ACUMULADA]]*1000/(T_LINHA_TRF*Tabela7[[#This Row],[ETA]]),Tabela7[[#This Row],[ACUMULADA]]*1000/(SQRT(3)*$P$7*Tabela7[[#This Row],[ETA]])),"")</f>
        <v/>
      </c>
      <c r="W9" s="74">
        <f>IFERROR(VLOOKUP(Tabela7[[#This Row],[Ib]],TabelaDisjuntores[],2,TRUE),"")</f>
        <v/>
      </c>
      <c r="X9" s="74">
        <f>IFERROR(VLOOKUP(Tabela7[[#This Row],[CONDUTOR]],CABOS[],2,0),"")</f>
        <v/>
      </c>
      <c r="Y9" s="74">
        <f>IF(AND(Tabela7[[#This Row],[Ib]]&lt;=Tabela7[[#This Row],[In]],Tabela7[[#This Row],[In]]&lt;=Tabela7[[#This Row],[Iz]]),"OK","VERIFICAR")</f>
        <v/>
      </c>
      <c r="Z9" s="108">
        <f>IFERROR(SQRT((Tabela7[[#This Row],[X]]-$AC$4)^2+(Tabela7[[#This Row],[Y]]-$AC$5)^2),0)</f>
        <v/>
      </c>
    </row>
    <row r="10">
      <c r="A10" s="169" t="n">
        <v>13</v>
      </c>
      <c r="B10" s="54">
        <f>IFERROR(IF(Tabela7[[#This Row],[PONTO]]="RAMAL",A9,VLOOKUP(Tabela7[[#This Row],[PONTO]],GERAL[],2,0)),"")</f>
        <v/>
      </c>
      <c r="C10" s="54">
        <f>IFERROR(IF(Tabela7[[#This Row],[PONTO]]="RAMAL",15,VLOOKUP(Tabela7[[#This Row],[PONTO]],GERAL[],3,0)),0)</f>
        <v/>
      </c>
      <c r="D10" s="55">
        <f>IFERROR(IF(Tabela7[[#This Row],[PONTO]]="RAMAL","",VLOOKUP(Tabela7[[#This Row],[PONTO]],GERAL[],4,0)),"")</f>
        <v/>
      </c>
      <c r="E10" s="55">
        <f>IFERROR(IF(Tabela7[[#This Row],[PONTO]]="RAMAL","",VLOOKUP(Tabela7[[#This Row],[PONTO]],GERAL[],5,0)),"")</f>
        <v/>
      </c>
      <c r="F10" s="55">
        <f>IFERROR(IF(Tabela7[[#This Row],[PONTO]]="RAMAL",DMDI,VLOOKUP(Tabela7[[#This Row],[PONTO]],GERAL[],8,0)),"")</f>
        <v/>
      </c>
      <c r="G10" s="55">
        <f>IF(Tabela7[[#This Row],[PONTO]]="RAMAL",Tabela7[[#This Row],[KVA PONTO]],VLOOKUP(Tabela7[[#This Row],[PONTO]],GERAL[],9,0))</f>
        <v/>
      </c>
      <c r="H10" s="55">
        <f>IFERROR(VLOOKUP(Tabela7[[#This Row],[PONTO]],GERAL[],12,0),0)</f>
        <v/>
      </c>
      <c r="I10" s="61">
        <f>IFERROR(Tabela7[[#This Row],[Ib]],"")</f>
        <v/>
      </c>
      <c r="J10" s="247">
        <f>IFERROR(IFERROR(Tabela7[[#This Row],[ACUMULADA]]/((IF(Tabela7[[#This Row],[FASE]]="MONO",T_LINHA_MONO,IF(Tabela7[[#This Row],[FASE]]="BIF",T_LINHA_TRF,T_LINHA_TRF*SQRT(3)))/1000)*VLOOKUP(Tabela7[[#This Row],[CONDUTOR]],CABOS[],9,0))+30,U10+60*(V10/X10)),"")</f>
        <v/>
      </c>
      <c r="K10" s="69">
        <f>IFERROR((VLOOKUP(Tabela7[[#This Row],[CONDUTOR]],CABOS[],3,0)/VLOOKUP(Tabela7[[#This Row],[CONDUTOR]],CABOS[],6,0))*(1+VLOOKUP(Tabela7[[#This Row],[CONDUTOR]],CABOS[],5,0)*(Tabela7[[#This Row],[T]]-20)),"")</f>
        <v/>
      </c>
      <c r="L10" s="62">
        <f>IFERROR(IF(Tabela7[[#This Row],[FASE]]="MONO",6,IF(Tabela7[[#This Row],[FASE]]="BIF",2,1))*Tabela7[[#This Row],[ACUMULADA]]*(SQRT(Tabela7[[#This Row],[R CORR]]^2+VLOOKUP(Tabela7[[#This Row],[CONDUTOR]],CABOS[],4,0)^2)/(($P$7^2)/100))*Tabela7[[#This Row],[M]]*T_LINHA_MONO/100+IF(Tabela7[[#This Row],[TRECHO]]=0,T_LINHA_MONO*QT_MTTR,0),"")</f>
        <v/>
      </c>
      <c r="M10" s="143">
        <f>IFERROR(SUMIF(Tabela7[PONTO],Tabela7[[#This Row],[TRECHO]],Tabela7[Coluna1])+Tabela7[[#This Row],[QT-PONTO]],"")</f>
        <v/>
      </c>
      <c r="N10" s="57">
        <f>IFERROR(Tabela7[[#This Row],[Coluna1]]/T_LINHA_MONO,"")</f>
        <v/>
      </c>
      <c r="O10" s="55">
        <f>IFERROR(T_LINHA_MONO*(1-Tabela7[[#This Row],[QT %]]),"")</f>
        <v/>
      </c>
      <c r="P10" s="55">
        <f>IFERROR(T_LINHA_TRF*(1-Tabela7[[#This Row],[QT %]]),"")</f>
        <v/>
      </c>
      <c r="Q10" s="68">
        <f>IFERROR(IF(Tabela7[[#This Row],[PROTECAO]]="OK","Protecao OK","Ajustar Disj/Condutor"),"")</f>
        <v/>
      </c>
      <c r="R10" s="54">
        <f>"TRI"</f>
        <v/>
      </c>
      <c r="S10" s="54" t="n">
        <v>3</v>
      </c>
      <c r="T10" s="54">
        <f>"AEREO"</f>
        <v/>
      </c>
      <c r="U10" s="54">
        <f>30</f>
        <v/>
      </c>
      <c r="V10" s="54">
        <f>IFERROR(IF(Tabela7[[#This Row],[FASE]]="MONO",Tabela7[[#This Row],[ACUMULADA]]*1000/(T_LINHA_TRF*Tabela7[[#This Row],[ETA]]),Tabela7[[#This Row],[ACUMULADA]]*1000/(SQRT(3)*$P$7*Tabela7[[#This Row],[ETA]])),"")</f>
        <v/>
      </c>
      <c r="W10" s="54">
        <f>IFERROR(VLOOKUP(Tabela7[[#This Row],[Ib]],TabelaDisjuntores[],2,TRUE),"")</f>
        <v/>
      </c>
      <c r="X10" s="54">
        <f>IFERROR(VLOOKUP(Tabela7[[#This Row],[CONDUTOR]],CABOS[],2,0),"")</f>
        <v/>
      </c>
      <c r="Y10" s="74">
        <f>IF(AND(Tabela7[[#This Row],[Ib]]&lt;=Tabela7[[#This Row],[In]],Tabela7[[#This Row],[In]]&lt;=Tabela7[[#This Row],[Iz]]),"OK","VERIFICAR")</f>
        <v/>
      </c>
      <c r="Z10" s="108">
        <f>IFERROR(SQRT((Tabela7[[#This Row],[X]]-$AC$4)^2+(Tabela7[[#This Row],[Y]]-$AC$5)^2),0)</f>
        <v/>
      </c>
    </row>
    <row r="11">
      <c r="A11" s="173" t="n">
        <v>14</v>
      </c>
      <c r="B11" s="54">
        <f>IFERROR(IF(Tabela7[[#This Row],[PONTO]]="RAMAL",A10,VLOOKUP(Tabela7[[#This Row],[PONTO]],GERAL[],2,0)),"")</f>
        <v/>
      </c>
      <c r="C11" s="54">
        <f>IFERROR(IF(Tabela7[[#This Row],[PONTO]]="RAMAL",15,VLOOKUP(Tabela7[[#This Row],[PONTO]],GERAL[],3,0)),0)</f>
        <v/>
      </c>
      <c r="D11" s="55">
        <f>IFERROR(IF(Tabela7[[#This Row],[PONTO]]="RAMAL","",VLOOKUP(Tabela7[[#This Row],[PONTO]],GERAL[],4,0)),"")</f>
        <v/>
      </c>
      <c r="E11" s="55">
        <f>IFERROR(IF(Tabela7[[#This Row],[PONTO]]="RAMAL","",VLOOKUP(Tabela7[[#This Row],[PONTO]],GERAL[],5,0)),"")</f>
        <v/>
      </c>
      <c r="F11" s="55">
        <f>IFERROR(IF(Tabela7[[#This Row],[PONTO]]="RAMAL",DMDI,VLOOKUP(Tabela7[[#This Row],[PONTO]],GERAL[],8,0)),"")</f>
        <v/>
      </c>
      <c r="G11" s="55">
        <f>IF(Tabela7[[#This Row],[PONTO]]="RAMAL",Tabela7[[#This Row],[KVA PONTO]],VLOOKUP(Tabela7[[#This Row],[PONTO]],GERAL[],9,0))</f>
        <v/>
      </c>
      <c r="H11" s="55">
        <f>IFERROR(VLOOKUP(Tabela7[[#This Row],[PONTO]],GERAL[],12,0),0)</f>
        <v/>
      </c>
      <c r="I11" s="61">
        <f>IFERROR(Tabela7[[#This Row],[Ib]],"")</f>
        <v/>
      </c>
      <c r="J11" s="247">
        <f>IFERROR(IFERROR(Tabela7[[#This Row],[ACUMULADA]]/((IF(Tabela7[[#This Row],[FASE]]="MONO",T_LINHA_MONO,IF(Tabela7[[#This Row],[FASE]]="BIF",T_LINHA_TRF,T_LINHA_TRF*SQRT(3)))/1000)*VLOOKUP(Tabela7[[#This Row],[CONDUTOR]],CABOS[],9,0))+30,U11+60*(V11/X11)),"")</f>
        <v/>
      </c>
      <c r="K11" s="69">
        <f>IFERROR((VLOOKUP(Tabela7[[#This Row],[CONDUTOR]],CABOS[],3,0)/VLOOKUP(Tabela7[[#This Row],[CONDUTOR]],CABOS[],6,0))*(1+VLOOKUP(Tabela7[[#This Row],[CONDUTOR]],CABOS[],5,0)*(Tabela7[[#This Row],[T]]-20)),"")</f>
        <v/>
      </c>
      <c r="L11" s="62">
        <f>IFERROR(IF(Tabela7[[#This Row],[FASE]]="MONO",6,IF(Tabela7[[#This Row],[FASE]]="BIF",2,1))*Tabela7[[#This Row],[ACUMULADA]]*(SQRT(Tabela7[[#This Row],[R CORR]]^2+VLOOKUP(Tabela7[[#This Row],[CONDUTOR]],CABOS[],4,0)^2)/(($P$7^2)/100))*Tabela7[[#This Row],[M]]*T_LINHA_MONO/100+IF(Tabela7[[#This Row],[TRECHO]]=0,T_LINHA_MONO*QT_MTTR,0),"")</f>
        <v/>
      </c>
      <c r="M11" s="143">
        <f>IFERROR(SUMIF(Tabela7[PONTO],Tabela7[[#This Row],[TRECHO]],Tabela7[Coluna1])+Tabela7[[#This Row],[QT-PONTO]],"")</f>
        <v/>
      </c>
      <c r="N11" s="57">
        <f>IFERROR(Tabela7[[#This Row],[Coluna1]]/T_LINHA_MONO,"")</f>
        <v/>
      </c>
      <c r="O11" s="55">
        <f>IFERROR(T_LINHA_MONO*(1-Tabela7[[#This Row],[QT %]]),"")</f>
        <v/>
      </c>
      <c r="P11" s="55">
        <f>IFERROR(T_LINHA_TRF*(1-Tabela7[[#This Row],[QT %]]),"")</f>
        <v/>
      </c>
      <c r="Q11" s="68">
        <f>IFERROR(IF(Tabela7[[#This Row],[PROTECAO]]="OK","Protecao OK","Ajustar Disj/Condutor"),"")</f>
        <v/>
      </c>
      <c r="R11" s="54">
        <f>"TRI"</f>
        <v/>
      </c>
      <c r="S11" s="54" t="n">
        <v>3</v>
      </c>
      <c r="T11" s="74">
        <f>"AEREO"</f>
        <v/>
      </c>
      <c r="U11" s="71" t="n"/>
      <c r="V11" s="71">
        <f>IFERROR(IF(Tabela7[[#This Row],[FASE]]="MONO",Tabela7[[#This Row],[ACUMULADA]]*1000/(T_LINHA_TRF*Tabela7[[#This Row],[ETA]]),Tabela7[[#This Row],[ACUMULADA]]*1000/(SQRT(3)*$P$7*Tabela7[[#This Row],[ETA]])),"")</f>
        <v/>
      </c>
      <c r="W11" s="71">
        <f>IFERROR(VLOOKUP(Tabela7[[#This Row],[Ib]],TabelaDisjuntores[],2,TRUE),"")</f>
        <v/>
      </c>
      <c r="X11" s="71">
        <f>IFERROR(VLOOKUP(Tabela7[[#This Row],[CONDUTOR]],CABOS[],2,0),"")</f>
        <v/>
      </c>
      <c r="Y11" s="74">
        <f>IF(AND(Tabela7[[#This Row],[Ib]]&lt;=Tabela7[[#This Row],[In]],Tabela7[[#This Row],[In]]&lt;=Tabela7[[#This Row],[Iz]]),"OK","VERIFICAR")</f>
        <v/>
      </c>
      <c r="Z11" s="108">
        <f>IFERROR(SQRT((Tabela7[[#This Row],[X]]-$AC$4)^2+(Tabela7[[#This Row],[Y]]-$AC$5)^2),0)</f>
        <v/>
      </c>
    </row>
    <row r="12">
      <c r="A12" s="173" t="n">
        <v>15</v>
      </c>
      <c r="B12" s="54">
        <f>IFERROR(IF(Tabela7[[#This Row],[PONTO]]="RAMAL",A11,VLOOKUP(Tabela7[[#This Row],[PONTO]],GERAL[],2,0)),"")</f>
        <v/>
      </c>
      <c r="C12" s="54">
        <f>IFERROR(IF(Tabela7[[#This Row],[PONTO]]="RAMAL",15,VLOOKUP(Tabela7[[#This Row],[PONTO]],GERAL[],3,0)),0)</f>
        <v/>
      </c>
      <c r="D12" s="55">
        <f>IFERROR(IF(Tabela7[[#This Row],[PONTO]]="RAMAL","",VLOOKUP(Tabela7[[#This Row],[PONTO]],GERAL[],4,0)),"")</f>
        <v/>
      </c>
      <c r="E12" s="55">
        <f>IFERROR(IF(Tabela7[[#This Row],[PONTO]]="RAMAL","",VLOOKUP(Tabela7[[#This Row],[PONTO]],GERAL[],5,0)),"")</f>
        <v/>
      </c>
      <c r="F12" s="55">
        <f>IFERROR(IF(Tabela7[[#This Row],[PONTO]]="RAMAL",DMDI,VLOOKUP(Tabela7[[#This Row],[PONTO]],GERAL[],8,0)),"")</f>
        <v/>
      </c>
      <c r="G12" s="55">
        <f>IF(Tabela7[[#This Row],[PONTO]]="RAMAL",Tabela7[[#This Row],[KVA PONTO]],VLOOKUP(Tabela7[[#This Row],[PONTO]],GERAL[],9,0))</f>
        <v/>
      </c>
      <c r="H12" s="55">
        <f>IFERROR(VLOOKUP(Tabela7[[#This Row],[PONTO]],GERAL[],12,0),0)</f>
        <v/>
      </c>
      <c r="I12" s="61">
        <f>IFERROR(Tabela7[[#This Row],[Ib]],"")</f>
        <v/>
      </c>
      <c r="J12" s="247">
        <f>IFERROR(IFERROR(Tabela7[[#This Row],[ACUMULADA]]/((IF(Tabela7[[#This Row],[FASE]]="MONO",T_LINHA_MONO,IF(Tabela7[[#This Row],[FASE]]="BIF",T_LINHA_TRF,T_LINHA_TRF*SQRT(3)))/1000)*VLOOKUP(Tabela7[[#This Row],[CONDUTOR]],CABOS[],9,0))+30,U12+60*(V12/X12)),"")</f>
        <v/>
      </c>
      <c r="K12" s="69">
        <f>IFERROR((VLOOKUP(Tabela7[[#This Row],[CONDUTOR]],CABOS[],3,0)/VLOOKUP(Tabela7[[#This Row],[CONDUTOR]],CABOS[],6,0))*(1+VLOOKUP(Tabela7[[#This Row],[CONDUTOR]],CABOS[],5,0)*(Tabela7[[#This Row],[T]]-20)),"")</f>
        <v/>
      </c>
      <c r="L12" s="62">
        <f>IFERROR(IF(Tabela7[[#This Row],[FASE]]="MONO",6,IF(Tabela7[[#This Row],[FASE]]="BIF",2,1))*Tabela7[[#This Row],[ACUMULADA]]*(SQRT(Tabela7[[#This Row],[R CORR]]^2+VLOOKUP(Tabela7[[#This Row],[CONDUTOR]],CABOS[],4,0)^2)/(($P$7^2)/100))*Tabela7[[#This Row],[M]]*T_LINHA_MONO/100+IF(Tabela7[[#This Row],[TRECHO]]=0,T_LINHA_MONO*QT_MTTR,0),"")</f>
        <v/>
      </c>
      <c r="M12" s="143">
        <f>IFERROR(SUMIF(Tabela7[PONTO],Tabela7[[#This Row],[TRECHO]],Tabela7[Coluna1])+Tabela7[[#This Row],[QT-PONTO]],"")</f>
        <v/>
      </c>
      <c r="N12" s="57">
        <f>IFERROR(Tabela7[[#This Row],[Coluna1]]/T_LINHA_MONO,"")</f>
        <v/>
      </c>
      <c r="O12" s="55">
        <f>IFERROR(T_LINHA_MONO*(1-Tabela7[[#This Row],[QT %]]),"")</f>
        <v/>
      </c>
      <c r="P12" s="55">
        <f>IFERROR(T_LINHA_TRF*(1-Tabela7[[#This Row],[QT %]]),"")</f>
        <v/>
      </c>
      <c r="Q12" s="68">
        <f>IFERROR(IF(Tabela7[[#This Row],[PROTECAO]]="OK","Protecao OK","Ajustar Disj/Condutor"),"")</f>
        <v/>
      </c>
      <c r="R12" s="54">
        <f>"TRI"</f>
        <v/>
      </c>
      <c r="S12" s="54" t="n">
        <v>3</v>
      </c>
      <c r="T12" s="74">
        <f>"AEREO"</f>
        <v/>
      </c>
      <c r="U12" s="71" t="n"/>
      <c r="V12" s="71">
        <f>IFERROR(IF(Tabela7[[#This Row],[FASE]]="MONO",Tabela7[[#This Row],[ACUMULADA]]*1000/(T_LINHA_TRF*Tabela7[[#This Row],[ETA]]),Tabela7[[#This Row],[ACUMULADA]]*1000/(SQRT(3)*$P$7*Tabela7[[#This Row],[ETA]])),"")</f>
        <v/>
      </c>
      <c r="W12" s="71">
        <f>IFERROR(VLOOKUP(Tabela7[[#This Row],[Ib]],TabelaDisjuntores[],2,TRUE),"")</f>
        <v/>
      </c>
      <c r="X12" s="71">
        <f>IFERROR(VLOOKUP(Tabela7[[#This Row],[CONDUTOR]],CABOS[],2,0),"")</f>
        <v/>
      </c>
      <c r="Y12" s="74">
        <f>IF(AND(Tabela7[[#This Row],[Ib]]&lt;=Tabela7[[#This Row],[In]],Tabela7[[#This Row],[In]]&lt;=Tabela7[[#This Row],[Iz]]),"OK","VERIFICAR")</f>
        <v/>
      </c>
      <c r="Z12" s="108">
        <f>IFERROR(SQRT((Tabela7[[#This Row],[X]]-$AC$4)^2+(Tabela7[[#This Row],[Y]]-$AC$5)^2),0)</f>
        <v/>
      </c>
    </row>
    <row r="13">
      <c r="A13" s="173" t="n"/>
      <c r="B13" s="54">
        <f>IFERROR(IF(Tabela7[[#This Row],[PONTO]]="RAMAL",A12,VLOOKUP(Tabela7[[#This Row],[PONTO]],GERAL[],2,0)),"")</f>
        <v/>
      </c>
      <c r="C13" s="54">
        <f>IFERROR(IF(Tabela7[[#This Row],[PONTO]]="RAMAL",15,VLOOKUP(Tabela7[[#This Row],[PONTO]],GERAL[],3,0)),"")</f>
        <v/>
      </c>
      <c r="D13" s="55">
        <f>IFERROR(IF(Tabela7[[#This Row],[PONTO]]="RAMAL","",VLOOKUP(Tabela7[[#This Row],[PONTO]],GERAL[],4,0)),"")</f>
        <v/>
      </c>
      <c r="E13" s="55">
        <f>IFERROR(IF(Tabela7[[#This Row],[PONTO]]="RAMAL","",VLOOKUP(Tabela7[[#This Row],[PONTO]],GERAL[],5,0)),"")</f>
        <v/>
      </c>
      <c r="F13" s="55">
        <f>IFERROR(IF(Tabela7[[#This Row],[PONTO]]="RAMAL",DMDI,VLOOKUP(Tabela7[[#This Row],[PONTO]],GERAL[],8,0)),"")</f>
        <v/>
      </c>
      <c r="G13" s="55">
        <f>IFERROR(IF(Tabela7[[#This Row],[PONTO]]="RAMAL",Tabela7[[#This Row],[KVA PONTO]],VLOOKUP(Tabela7[[#This Row],[PONTO]],GERAL[],9,TRUE)),"")</f>
        <v/>
      </c>
      <c r="H13" s="55">
        <f>IFERROR(VLOOKUP(Tabela7[[#This Row],[PONTO]],GERAL[],12,0),"")</f>
        <v/>
      </c>
      <c r="I13" s="61">
        <f>IFERROR(Tabela7[[#This Row],[Ib]],"")</f>
        <v/>
      </c>
      <c r="J13" s="247">
        <f>IFERROR(IFERROR(Tabela7[[#This Row],[ACUMULADA]]/((IF(Tabela7[[#This Row],[FASE]]="MONO",T_LINHA_MONO,IF(Tabela7[[#This Row],[FASE]]="BIF",T_LINHA_TRF,T_LINHA_TRF*SQRT(3)))/1000)*VLOOKUP(Tabela7[[#This Row],[CONDUTOR]],CABOS[],9,0))+30,U13+60*(V13/X13)),"")</f>
        <v/>
      </c>
      <c r="K13" s="69">
        <f>IFERROR((VLOOKUP(Tabela7[[#This Row],[CONDUTOR]],CABOS[],3,0)/VLOOKUP(Tabela7[[#This Row],[CONDUTOR]],CABOS[],6,0))*(1+VLOOKUP(Tabela7[[#This Row],[CONDUTOR]],CABOS[],5,0)*(Tabela7[[#This Row],[T]]-20)),"")</f>
        <v/>
      </c>
      <c r="L13" s="62">
        <f>IFERROR(IF(Tabela7[[#This Row],[FASE]]="MONO",6,IF(Tabela7[[#This Row],[FASE]]="BIF",2,1))*Tabela7[[#This Row],[ACUMULADA]]*(SQRT(Tabela7[[#This Row],[R CORR]]^2+VLOOKUP(Tabela7[[#This Row],[CONDUTOR]],CABOS[],4,0)^2)/(($P$7^2)/100))*Tabela7[[#This Row],[M]]*T_LINHA_MONO/100+IF(Tabela7[[#This Row],[TRECHO]]=0,T_LINHA_MONO*QT_MTTR,0),"")</f>
        <v/>
      </c>
      <c r="M13" s="143">
        <f>IFERROR(SUMIF(Tabela7[PONTO],Tabela7[[#This Row],[TRECHO]],Tabela7[Coluna1])+Tabela7[[#This Row],[QT-PONTO]],"")</f>
        <v/>
      </c>
      <c r="N13" s="57">
        <f>IFERROR(Tabela7[[#This Row],[Coluna1]]/T_LINHA_MONO,"")</f>
        <v/>
      </c>
      <c r="O13" s="55">
        <f>IFERROR(T_LINHA_MONO*(1-Tabela7[[#This Row],[QT %]]),"")</f>
        <v/>
      </c>
      <c r="P13" s="55">
        <f>IFERROR(T_LINHA_TRF*(1-Tabela7[[#This Row],[QT %]]),"")</f>
        <v/>
      </c>
      <c r="Q13" s="68">
        <f>IFERROR(IF(Tabela7[[#This Row],[PROTECAO]]="OK","Protecao OK","Ajustar Disj/Condutor"),"")</f>
        <v/>
      </c>
      <c r="R13" s="54">
        <f>"TRI"</f>
        <v/>
      </c>
      <c r="S13" s="54" t="n">
        <v>3</v>
      </c>
      <c r="T13" s="74">
        <f>"AEREO"</f>
        <v/>
      </c>
      <c r="U13" s="71" t="n"/>
      <c r="V13" s="71">
        <f>IFERROR(IF(Tabela7[[#This Row],[FASE]]="MONO",Tabela7[[#This Row],[ACUMULADA]]*1000/(T_LINHA_TRF*Tabela7[[#This Row],[ETA]]),Tabela7[[#This Row],[ACUMULADA]]*1000/(SQRT(3)*$P$7*Tabela7[[#This Row],[ETA]])),"")</f>
        <v/>
      </c>
      <c r="W13" s="71">
        <f>IFERROR(VLOOKUP(Tabela7[[#This Row],[Ib]],TabelaDisjuntores[],2,TRUE),"")</f>
        <v/>
      </c>
      <c r="X13" s="71">
        <f>IFERROR(VLOOKUP(Tabela7[[#This Row],[CONDUTOR]],CABOS[],2,0),"")</f>
        <v/>
      </c>
      <c r="Y13" s="74">
        <f>IF(AND(Tabela7[[#This Row],[Ib]]&lt;=Tabela7[[#This Row],[In]],Tabela7[[#This Row],[In]]&lt;=Tabela7[[#This Row],[Iz]]),"OK","VERIFICAR")</f>
        <v/>
      </c>
      <c r="Z13" s="108">
        <f>IFERROR(SQRT((Tabela7[[#This Row],[X]]-$AC$4)^2+(Tabela7[[#This Row],[Y]]-$AC$5)^2),0)</f>
        <v/>
      </c>
    </row>
    <row r="14">
      <c r="A14" s="71" t="inlineStr">
        <is>
          <t>RAMAL</t>
        </is>
      </c>
      <c r="B14" s="169" t="n">
        <v>15</v>
      </c>
      <c r="C14" s="54" t="n">
        <v>15</v>
      </c>
      <c r="D14" s="55">
        <f>IFERROR(IF(Tabela7[[#This Row],[PONTO]]="RAMAL","",VLOOKUP(Tabela7[[#This Row],[PONTO]],GERAL[],4,0)),"")</f>
        <v/>
      </c>
      <c r="E14" s="55">
        <f>IFERROR(IF(Tabela7[[#This Row],[PONTO]]="RAMAL","",VLOOKUP(Tabela7[[#This Row],[PONTO]],GERAL[],5,0)),"")</f>
        <v/>
      </c>
      <c r="F14" s="55">
        <f>IFERROR(IF(Tabela7[[#This Row],[PONTO]]="RAMAL",DMDI,VLOOKUP(Tabela7[[#This Row],[PONTO]],GERAL[],8,0)),"")</f>
        <v/>
      </c>
      <c r="G14" s="55">
        <f>IF(Tabela7[[#This Row],[PONTO]]="RAMAL",Tabela7[[#This Row],[KVA PONTO]],VLOOKUP(Tabela7[[#This Row],[PONTO]],GERAL[],9,0))</f>
        <v/>
      </c>
      <c r="H14" s="175" t="inlineStr">
        <is>
          <t>16 Al_CONC_Tri</t>
        </is>
      </c>
      <c r="I14" s="61">
        <f>IFERROR(Tabela7[[#This Row],[Ib]],"")</f>
        <v/>
      </c>
      <c r="J14" s="247">
        <f>IFERROR(IFERROR(Tabela7[[#This Row],[ACUMULADA]]/((IF(Tabela7[[#This Row],[FASE]]="MONO",T_LINHA_MONO,IF(Tabela7[[#This Row],[FASE]]="BIF",T_LINHA_TRF,T_LINHA_TRF*SQRT(3)))/1000)*VLOOKUP(Tabela7[[#This Row],[CONDUTOR]],CABOS[],9,0))+30,U14+60*(V14/X14)),"")</f>
        <v/>
      </c>
      <c r="K14" s="69">
        <f>IFERROR((VLOOKUP(Tabela7[[#This Row],[CONDUTOR]],CABOS[],3,0)/VLOOKUP(Tabela7[[#This Row],[CONDUTOR]],CABOS[],6,0))*(1+VLOOKUP(Tabela7[[#This Row],[CONDUTOR]],CABOS[],5,0)*(Tabela7[[#This Row],[T]]-20)),"")</f>
        <v/>
      </c>
      <c r="L14" s="62">
        <f>IFERROR(IF(Tabela7[[#This Row],[FASE]]="MONO",6,IF(Tabela7[[#This Row],[FASE]]="BIF",2,1))*Tabela7[[#This Row],[ACUMULADA]]*(SQRT(Tabela7[[#This Row],[R CORR]]^2+VLOOKUP(Tabela7[[#This Row],[CONDUTOR]],CABOS[],4,0)^2)/(($P$7^2)/100))*Tabela7[[#This Row],[M]]*T_LINHA_MONO/100+IF(Tabela7[[#This Row],[TRECHO]]=0,T_LINHA_MONO*QT_MTTR,0),"")</f>
        <v/>
      </c>
      <c r="M14" s="143">
        <f>IFERROR(SUMIF(Tabela7[PONTO],Tabela7[[#This Row],[TRECHO]],Tabela7[Coluna1])+Tabela7[[#This Row],[QT-PONTO]],"")</f>
        <v/>
      </c>
      <c r="N14" s="57">
        <f>IFERROR(Tabela7[[#This Row],[Coluna1]]/T_LINHA_MONO,"")</f>
        <v/>
      </c>
      <c r="O14" s="55">
        <f>IFERROR(T_LINHA_MONO*(1-Tabela7[[#This Row],[QT %]]),"")</f>
        <v/>
      </c>
      <c r="P14" s="55">
        <f>IFERROR(T_LINHA_TRF*(1-Tabela7[[#This Row],[QT %]]),"")</f>
        <v/>
      </c>
      <c r="Q14" s="68">
        <f>IFERROR(IF(Tabela7[[#This Row],[PROTECAO]]="OK","Protecao OK","Ajustar Disj/Condutor"),"")</f>
        <v/>
      </c>
      <c r="R14" s="54">
        <f>"TRI"</f>
        <v/>
      </c>
      <c r="S14" s="54" t="n">
        <v>3</v>
      </c>
      <c r="T14" s="121">
        <f>"AEREO"</f>
        <v/>
      </c>
      <c r="U14" s="94">
        <f>30</f>
        <v/>
      </c>
      <c r="V14" s="94">
        <f>IFERROR(IF(Tabela7[[#This Row],[FASE]]="MONO",Tabela7[[#This Row],[ACUMULADA]]*1000/(T_LINHA_TRF*Tabela7[[#This Row],[ETA]]),Tabela7[[#This Row],[ACUMULADA]]*1000/(SQRT(3)*$P$7*Tabela7[[#This Row],[ETA]])),"")</f>
        <v/>
      </c>
      <c r="W14" s="94">
        <f>IFERROR(VLOOKUP(Tabela7[[#This Row],[Ib]],TabelaDisjuntores[],2,TRUE),"")</f>
        <v/>
      </c>
      <c r="X14" s="94">
        <f>IFERROR(VLOOKUP(Tabela7[[#This Row],[CONDUTOR]],CABOS[],2,0),"")</f>
        <v/>
      </c>
      <c r="Y14" s="94">
        <f>IF(AND(Tabela7[[#This Row],[Ib]]&lt;=Tabela7[[#This Row],[In]],Tabela7[[#This Row],[In]]&lt;=Tabela7[[#This Row],[Iz]]),"OK","VERIFICAR")</f>
        <v/>
      </c>
      <c r="Z14" s="108">
        <f>IFERROR(SQRT((Tabela7[[#This Row],[X]]-$AC$4)^2+(Tabela7[[#This Row],[Y]]-$AC$5)^2),0)</f>
        <v/>
      </c>
    </row>
  </sheetData>
  <mergeCells count="21">
    <mergeCell ref="O5:O6"/>
    <mergeCell ref="Q5:Q6"/>
    <mergeCell ref="AB2:AC3"/>
    <mergeCell ref="B2:B3"/>
    <mergeCell ref="F5:F6"/>
    <mergeCell ref="D2:D3"/>
    <mergeCell ref="L5:L6"/>
    <mergeCell ref="N5:N6"/>
    <mergeCell ref="A2:A3"/>
    <mergeCell ref="C2:C3"/>
    <mergeCell ref="E2:E3"/>
    <mergeCell ref="I5:I6"/>
    <mergeCell ref="Z5:Z6"/>
    <mergeCell ref="A5:A6"/>
    <mergeCell ref="G5:G6"/>
    <mergeCell ref="S5:S6"/>
    <mergeCell ref="B5:B6"/>
    <mergeCell ref="H5:H6"/>
    <mergeCell ref="D5:E5"/>
    <mergeCell ref="C5:C6"/>
    <mergeCell ref="M5:M6"/>
  </mergeCells>
  <conditionalFormatting sqref="Q8:Y13">
    <cfRule type="cellIs" priority="1" operator="equal" dxfId="1">
      <formula>"Condutor Suporta Amperagem"</formula>
    </cfRule>
    <cfRule type="cellIs" priority="2" operator="equal" dxfId="0">
      <formula>"Condutor Sobrecarregado"</formula>
    </cfRule>
  </conditionalFormatting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Planilha5">
    <outlinePr summaryBelow="1" summaryRight="1"/>
    <pageSetUpPr/>
  </sheetPr>
  <dimension ref="A2:AC18"/>
  <sheetViews>
    <sheetView zoomScale="110" zoomScaleNormal="110" workbookViewId="0">
      <pane ySplit="1" topLeftCell="A2" activePane="bottomLeft" state="frozen"/>
      <selection pane="bottomLeft" activeCell="A16" sqref="A16"/>
    </sheetView>
  </sheetViews>
  <sheetFormatPr baseColWidth="8" defaultRowHeight="14.4"/>
  <cols>
    <col width="11.33203125" bestFit="1" customWidth="1" style="179" min="1" max="1"/>
    <col width="12.44140625" bestFit="1" customWidth="1" style="179" min="2" max="2"/>
    <col width="14.6640625" bestFit="1" customWidth="1" style="179" min="3" max="3"/>
    <col width="10.44140625" bestFit="1" customWidth="1" style="179" min="4" max="4"/>
    <col width="11.5546875" bestFit="1" customWidth="1" style="179" min="5" max="5"/>
    <col width="9.77734375" customWidth="1" style="179" min="6" max="6"/>
    <col width="10.44140625" customWidth="1" style="179" min="7" max="7"/>
    <col width="16.109375" bestFit="1" customWidth="1" style="179" min="8" max="8"/>
    <col hidden="1" width="11" customWidth="1" style="179" min="9" max="11"/>
    <col hidden="1" width="15.109375" customWidth="1" style="179" min="12" max="12"/>
    <col hidden="1" width="12.44140625" customWidth="1" style="179" min="13" max="13"/>
    <col hidden="1" width="8.77734375" customWidth="1" style="179" min="16" max="16"/>
    <col hidden="1" width="27.109375" customWidth="1" style="179" min="17" max="17"/>
    <col hidden="1" width="13" customWidth="1" style="179" min="18" max="18"/>
    <col width="7.21875" bestFit="1" customWidth="1" style="179" min="19" max="19"/>
    <col hidden="1" width="13" customWidth="1" style="179" min="20" max="25"/>
    <col hidden="1" width="13.33203125" customWidth="1" style="179" min="26" max="26"/>
    <col width="1.44140625" customWidth="1" style="179" min="27" max="27"/>
    <col width="11.5546875" bestFit="1" customWidth="1" style="179" min="29" max="29"/>
    <col width="8.44140625" customWidth="1" style="179" min="34" max="34"/>
  </cols>
  <sheetData>
    <row r="2">
      <c r="A2" s="233" t="inlineStr">
        <is>
          <t>CQT FINAL</t>
        </is>
      </c>
      <c r="B2" s="246">
        <f>VLOOKUP("RAMAL",DIR_ATUAL[[PONTO]:[ETA]],15,0)</f>
        <v/>
      </c>
      <c r="C2" s="246">
        <f>VLOOKUP("RAMAL",DIR_ATUAL[],14,0)</f>
        <v/>
      </c>
      <c r="D2" s="201" t="n"/>
      <c r="E2" s="201" t="n"/>
      <c r="F2" s="64" t="n"/>
      <c r="H2" s="55" t="inlineStr">
        <is>
          <t>16 Al_CONC_Tri</t>
        </is>
      </c>
      <c r="AB2" s="190" t="inlineStr">
        <is>
          <t>CENTRO DE CARGA</t>
        </is>
      </c>
      <c r="AC2" s="191" t="n"/>
    </row>
    <row r="3">
      <c r="B3" s="232" t="n"/>
      <c r="C3" s="232" t="n"/>
      <c r="F3" s="64" t="n"/>
      <c r="AB3" s="192" t="n"/>
      <c r="AC3" s="192" t="n"/>
    </row>
    <row r="4">
      <c r="AB4" s="196" t="inlineStr">
        <is>
          <t>X</t>
        </is>
      </c>
      <c r="AC4" s="188">
        <f>IFERROR(SUMPRODUCT(G8:G17,D8:D17)/SUM(G8:G17),"INSERIR DADOS")</f>
        <v/>
      </c>
    </row>
    <row r="5" ht="13.8" customHeight="1" s="179">
      <c r="A5" s="233" t="inlineStr">
        <is>
          <t>PONTO</t>
        </is>
      </c>
      <c r="B5" s="180" t="inlineStr">
        <is>
          <t>PONTO MONTANTE</t>
        </is>
      </c>
      <c r="C5" s="180" t="inlineStr">
        <is>
          <t>COMPRIMENTO (m)</t>
        </is>
      </c>
      <c r="D5" s="235" t="inlineStr">
        <is>
          <t>COORDENADAS UTM</t>
        </is>
      </c>
      <c r="E5" s="182" t="n"/>
      <c r="F5" s="176" t="inlineStr">
        <is>
          <t>CARGA PONTO (kVA)</t>
        </is>
      </c>
      <c r="G5" s="176" t="inlineStr">
        <is>
          <t>ACUMULADO (kVA)</t>
        </is>
      </c>
      <c r="H5" s="176" t="inlineStr">
        <is>
          <t>CONDUTOR</t>
        </is>
      </c>
      <c r="I5" s="176" t="n"/>
      <c r="J5" s="176" t="n"/>
      <c r="K5" s="176" t="n"/>
      <c r="L5" s="176" t="inlineStr">
        <is>
          <t>QT NO PONTO</t>
        </is>
      </c>
      <c r="M5" s="176" t="inlineStr">
        <is>
          <t>QT ACUMULADA</t>
        </is>
      </c>
      <c r="N5" s="176" t="inlineStr">
        <is>
          <t>QT %</t>
        </is>
      </c>
      <c r="O5" s="176" t="inlineStr">
        <is>
          <t>TENSÃO PONTO</t>
        </is>
      </c>
      <c r="P5" s="176" t="n"/>
      <c r="Q5" s="176" t="inlineStr">
        <is>
          <t>I trecho x I condutor</t>
        </is>
      </c>
      <c r="R5" s="176" t="n"/>
      <c r="S5" s="176" t="inlineStr">
        <is>
          <t>FASES</t>
        </is>
      </c>
      <c r="Z5" s="176" t="inlineStr">
        <is>
          <t>SNAP</t>
        </is>
      </c>
      <c r="AB5" s="12" t="inlineStr">
        <is>
          <t>Y</t>
        </is>
      </c>
      <c r="AC5" s="188">
        <f>IFERROR(SUMPRODUCT(G8:G17,E8:E17)/SUM(G8:G17),"INSERIR DADOS")</f>
        <v/>
      </c>
    </row>
    <row r="6" ht="34.2" customHeight="1" s="179">
      <c r="D6" s="233" t="inlineStr">
        <is>
          <t>LONG</t>
        </is>
      </c>
      <c r="E6" s="233" t="inlineStr">
        <is>
          <t>LAT</t>
        </is>
      </c>
      <c r="J6" s="178" t="n"/>
      <c r="K6" s="178" t="n"/>
      <c r="P6" s="178" t="n"/>
      <c r="R6" s="178" t="n"/>
    </row>
    <row r="7">
      <c r="A7" s="53" t="inlineStr">
        <is>
          <t>PONTO</t>
        </is>
      </c>
      <c r="B7" s="53" t="inlineStr">
        <is>
          <t>TRECHO</t>
        </is>
      </c>
      <c r="C7" s="53" t="inlineStr">
        <is>
          <t>M</t>
        </is>
      </c>
      <c r="D7" s="53" t="inlineStr">
        <is>
          <t>X</t>
        </is>
      </c>
      <c r="E7" s="53" t="inlineStr">
        <is>
          <t>Y</t>
        </is>
      </c>
      <c r="F7" s="53" t="inlineStr">
        <is>
          <t>KVA PONTO</t>
        </is>
      </c>
      <c r="G7" s="53" t="inlineStr">
        <is>
          <t>ACUMULADA</t>
        </is>
      </c>
      <c r="H7" s="53" t="inlineStr">
        <is>
          <t>CONDUTOR</t>
        </is>
      </c>
      <c r="I7" s="67" t="inlineStr">
        <is>
          <t>(A)</t>
        </is>
      </c>
      <c r="J7" s="67" t="inlineStr">
        <is>
          <t>T</t>
        </is>
      </c>
      <c r="K7" s="67" t="inlineStr">
        <is>
          <t>R CORR</t>
        </is>
      </c>
      <c r="L7" s="53" t="inlineStr">
        <is>
          <t>QT-PONTO</t>
        </is>
      </c>
      <c r="M7" s="53" t="inlineStr">
        <is>
          <t>Coluna1</t>
        </is>
      </c>
      <c r="N7" s="53" t="inlineStr">
        <is>
          <t>QT %</t>
        </is>
      </c>
      <c r="O7" s="67" t="inlineStr">
        <is>
          <t>127</t>
        </is>
      </c>
      <c r="P7" s="67" t="inlineStr">
        <is>
          <t>220</t>
        </is>
      </c>
      <c r="Q7" s="53" t="inlineStr">
        <is>
          <t>TEMP2</t>
        </is>
      </c>
      <c r="R7" s="53" t="inlineStr">
        <is>
          <t>FASE</t>
        </is>
      </c>
      <c r="S7" s="53" t="inlineStr">
        <is>
          <t>ETA</t>
        </is>
      </c>
      <c r="T7" s="53" t="inlineStr">
        <is>
          <t>METODO_INST</t>
        </is>
      </c>
      <c r="U7" s="53" t="inlineStr">
        <is>
          <t>TEMP_AMB</t>
        </is>
      </c>
      <c r="V7" s="53" t="inlineStr">
        <is>
          <t>Ib</t>
        </is>
      </c>
      <c r="W7" s="53" t="inlineStr">
        <is>
          <t>In</t>
        </is>
      </c>
      <c r="X7" s="53" t="inlineStr">
        <is>
          <t>Iz</t>
        </is>
      </c>
      <c r="Y7" s="53" t="inlineStr">
        <is>
          <t>PROTECAO</t>
        </is>
      </c>
      <c r="Z7" s="53" t="inlineStr">
        <is>
          <t>Coluna2</t>
        </is>
      </c>
    </row>
    <row r="8">
      <c r="A8" s="54">
        <f>GERAL!A9</f>
        <v/>
      </c>
      <c r="B8" s="54">
        <f>IFERROR(IF(DIR_ATUAL[[#This Row],[PONTO]]="RAMAL",A7,VLOOKUP(DIR_ATUAL[[#This Row],[PONTO]],GERAL[],2,0)),"")</f>
        <v/>
      </c>
      <c r="C8" s="54">
        <f>IFERROR(IF(DIR_ATUAL[[#This Row],[PONTO]]="RAMAL",15,VLOOKUP(DIR_ATUAL[[#This Row],[PONTO]],GERAL[],3,0)),"")</f>
        <v/>
      </c>
      <c r="D8" s="55">
        <f>IFERROR(IF(DIR_ATUAL[[#This Row],[PONTO]]="RAMAL","",VLOOKUP(DIR_ATUAL[[#This Row],[PONTO]],GERAL[],4,0)),"")</f>
        <v/>
      </c>
      <c r="E8" s="55">
        <f>IFERROR(IF(DIR_ATUAL[[#This Row],[PONTO]]="RAMAL","",VLOOKUP(DIR_ATUAL[[#This Row],[PONTO]],GERAL[],5,0)),"")</f>
        <v/>
      </c>
      <c r="F8" s="55">
        <f>IFERROR(IF(DIR_ATUAL[[#This Row],[PONTO]]="RAMAL",DMDI,VLOOKUP(DIR_ATUAL[[#This Row],[PONTO]],GERAL[],8,0)),"")</f>
        <v/>
      </c>
      <c r="G8" s="55">
        <f>IFERROR(IF(DIR_ATUAL[[#This Row],[PONTO]]="RAMAL",DIR_ATUAL[[#This Row],[KVA PONTO]],VLOOKUP(DIR_ATUAL[[#This Row],[PONTO]],GERAL[],9,0)),"")</f>
        <v/>
      </c>
      <c r="H8" s="55">
        <f>IFERROR(VLOOKUP(DIR_ATUAL[[#This Row],[PONTO]],GERAL[],12,0),"")</f>
        <v/>
      </c>
      <c r="I8" s="61">
        <f>IFERROR(DIR_ATUAL[[#This Row],[Ib]],"")</f>
        <v/>
      </c>
      <c r="J8" s="61">
        <f>IFERROR(IFERROR(DIR_ATUAL[[#This Row],[ACUMULADA]]/((IF(DIR_ATUAL[[#This Row],[FASE]]="MONO",T_LINHA_MONO,IF(DIR_ATUAL[[#This Row],[FASE]]="BIF",T_LINHA_TRF,T_LINHA_TRF*SQRT(3)))/1000)*VLOOKUP(H8,CABOS[],9,0))+30,U8+60*(V8/X8)),"")</f>
        <v/>
      </c>
      <c r="K8" s="69">
        <f>IFERROR((VLOOKUP(DIR_ATUAL[[#This Row],[CONDUTOR]],CABOS[],3,0)/VLOOKUP(DIR_ATUAL[[#This Row],[CONDUTOR]],CABOS[],6,0))*(1+VLOOKUP(DIR_ATUAL[[#This Row],[CONDUTOR]],CABOS[],5,0)*(DIR_ATUAL[[#This Row],[T]]-20)),"")</f>
        <v/>
      </c>
      <c r="L8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8" s="63">
        <f>IFERROR(SUMIF(DIR_ATUAL[PONTO],DIR_ATUAL[[#This Row],[TRECHO]],DIR_ATUAL[Coluna1])+DIR_ATUAL[[#This Row],[QT-PONTO]],"")</f>
        <v/>
      </c>
      <c r="N8" s="56">
        <f>IFERROR(DIR_ATUAL[[#This Row],[Coluna1]]/T_LINHA_MONO,"")</f>
        <v/>
      </c>
      <c r="O8" s="55">
        <f>IFERROR(T_LINHA_MONO*(1-DIR_ATUAL[[#This Row],[QT %]]),"")</f>
        <v/>
      </c>
      <c r="P8" s="55">
        <f>IFERROR(T_LINHA_TRF*(1-DIR_ATUAL[[#This Row],[QT %]]),"")</f>
        <v/>
      </c>
      <c r="Q8" s="68">
        <f>IFERROR(IF(DIR_ATUAL[[#This Row],[PROTECAO]]="OK","Protecao OK","Ajustar Disj/Condutor"),"")</f>
        <v/>
      </c>
      <c r="R8" s="54">
        <f>IF(DIR_ATUAL[[#This Row],[ETA]]=1,"MONO",IF(DIR_ATUAL[[#This Row],[ETA]]=2,"BIF","TRI"))</f>
        <v/>
      </c>
      <c r="S8" s="54" t="n">
        <v>3</v>
      </c>
      <c r="T8" s="74">
        <f>"AEREO"</f>
        <v/>
      </c>
      <c r="U8" s="74">
        <f>30</f>
        <v/>
      </c>
      <c r="V8" s="74">
        <f>IFERROR(IF(DIR_ATUAL[[#This Row],[FASE]]="MONO",DIR_ATUAL[[#This Row],[ACUMULADA]]*1000/(T_LINHA_TRF*DIR_ATUAL[[#This Row],[ETA]]),DIR_ATUAL[[#This Row],[ACUMULADA]]*1000/(SQRT(3)*$P$7*DIR_ATUAL[[#This Row],[ETA]])),"")</f>
        <v/>
      </c>
      <c r="W8" s="74">
        <f>IFERROR(VLOOKUP(DIR_ATUAL[[#This Row],[Ib]],TabelaDisjuntores[],2,TRUE),"")</f>
        <v/>
      </c>
      <c r="X8" s="74">
        <f>IFERROR(VLOOKUP(DIR_ATUAL[[#This Row],[CONDUTOR]],CABOS[],2,0),0)</f>
        <v/>
      </c>
      <c r="Y8" s="74">
        <f>IF(AND(DIR_ATUAL[[#This Row],[Ib]]&lt;=DIR_ATUAL[[#This Row],[In]],DIR_ATUAL[[#This Row],[In]]&lt;=DIR_ATUAL[[#This Row],[Iz]]),"OK","VERIFICAR")</f>
        <v/>
      </c>
      <c r="Z8" s="109">
        <f>IFERROR(SQRT((DIR_ATUAL[[#This Row],[X]]-$AC$4)^2+(DIR_ATUAL[[#This Row],[Y]]-$AC$5)^2),0)</f>
        <v/>
      </c>
    </row>
    <row r="9">
      <c r="A9" s="169" t="n">
        <v>10</v>
      </c>
      <c r="B9" s="54">
        <f>IFERROR(IF(DIR_ATUAL[[#This Row],[PONTO]]="RAMAL",A8,VLOOKUP(DIR_ATUAL[[#This Row],[PONTO]],GERAL[],2,0)),"")</f>
        <v/>
      </c>
      <c r="C9" s="54">
        <f>IFERROR(IF(DIR_ATUAL[[#This Row],[PONTO]]="RAMAL",15,VLOOKUP(DIR_ATUAL[[#This Row],[PONTO]],GERAL[],3,0)),"")</f>
        <v/>
      </c>
      <c r="D9" s="55">
        <f>IFERROR(IF(DIR_ATUAL[[#This Row],[PONTO]]="RAMAL","",VLOOKUP(DIR_ATUAL[[#This Row],[PONTO]],GERAL[],4,0)),"")</f>
        <v/>
      </c>
      <c r="E9" s="55">
        <f>IFERROR(IF(DIR_ATUAL[[#This Row],[PONTO]]="RAMAL","",VLOOKUP(DIR_ATUAL[[#This Row],[PONTO]],GERAL[],5,0)),"")</f>
        <v/>
      </c>
      <c r="F9" s="55">
        <f>IFERROR(IF(DIR_ATUAL[[#This Row],[PONTO]]="RAMAL",DMDI,VLOOKUP(DIR_ATUAL[[#This Row],[PONTO]],GERAL[],8,0)),"")</f>
        <v/>
      </c>
      <c r="G9" s="55">
        <f>IFERROR(IF(DIR_ATUAL[[#This Row],[PONTO]]="RAMAL",DIR_ATUAL[[#This Row],[KVA PONTO]],VLOOKUP(DIR_ATUAL[[#This Row],[PONTO]],GERAL[],9,0)),"")</f>
        <v/>
      </c>
      <c r="H9" s="55">
        <f>IFERROR(VLOOKUP(DIR_ATUAL[[#This Row],[PONTO]],GERAL[],12,0),"")</f>
        <v/>
      </c>
      <c r="I9" s="61">
        <f>IFERROR(DIR_ATUAL[[#This Row],[Ib]],"")</f>
        <v/>
      </c>
      <c r="J9" s="61">
        <f>IFERROR(IFERROR(DIR_ATUAL[[#This Row],[ACUMULADA]]/((IF(DIR_ATUAL[[#This Row],[FASE]]="MONO",T_LINHA_MONO,IF(DIR_ATUAL[[#This Row],[FASE]]="BIF",T_LINHA_TRF,T_LINHA_TRF*SQRT(3)))/1000)*VLOOKUP(H9,CABOS[],9,0))+30,U9+60*(V9/X9)),"")</f>
        <v/>
      </c>
      <c r="K9" s="69">
        <f>IFERROR((VLOOKUP(DIR_ATUAL[[#This Row],[CONDUTOR]],CABOS[],3,0)/VLOOKUP(DIR_ATUAL[[#This Row],[CONDUTOR]],CABOS[],6,0))*(1+VLOOKUP(DIR_ATUAL[[#This Row],[CONDUTOR]],CABOS[],5,0)*(DIR_ATUAL[[#This Row],[T]]-20)),"")</f>
        <v/>
      </c>
      <c r="L9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9" s="63">
        <f>IFERROR(SUMIF(DIR_ATUAL[PONTO],DIR_ATUAL[[#This Row],[TRECHO]],DIR_ATUAL[Coluna1])+DIR_ATUAL[[#This Row],[QT-PONTO]],"")</f>
        <v/>
      </c>
      <c r="N9" s="57">
        <f>IFERROR(DIR_ATUAL[[#This Row],[Coluna1]]/T_LINHA_MONO,"")</f>
        <v/>
      </c>
      <c r="O9" s="55">
        <f>IFERROR(T_LINHA_MONO*(1-DIR_ATUAL[[#This Row],[QT %]]),"")</f>
        <v/>
      </c>
      <c r="P9" s="55">
        <f>IFERROR(T_LINHA_TRF*(1-DIR_ATUAL[[#This Row],[QT %]]),"")</f>
        <v/>
      </c>
      <c r="Q9" s="68">
        <f>IFERROR(IF(DIR_ATUAL[[#This Row],[PROTECAO]]="OK","Protecao OK","Ajustar Disj/Condutor"),"")</f>
        <v/>
      </c>
      <c r="R9" s="54">
        <f>IF(DIR_ATUAL[[#This Row],[ETA]]=1,"MONO",IF(DIR_ATUAL[[#This Row],[ETA]]=2,"BIF","TRI"))</f>
        <v/>
      </c>
      <c r="S9" s="54" t="n">
        <v>3</v>
      </c>
      <c r="T9" s="54">
        <f>"AEREO"</f>
        <v/>
      </c>
      <c r="U9" s="54">
        <f>30</f>
        <v/>
      </c>
      <c r="V9" s="54">
        <f>IFERROR(IF(DIR_ATUAL[[#This Row],[FASE]]="MONO",DIR_ATUAL[[#This Row],[ACUMULADA]]*1000/(T_LINHA_TRF*DIR_ATUAL[[#This Row],[ETA]]),DIR_ATUAL[[#This Row],[ACUMULADA]]*1000/(SQRT(3)*$P$7*DIR_ATUAL[[#This Row],[ETA]])),"")</f>
        <v/>
      </c>
      <c r="W9" s="54">
        <f>IFERROR(VLOOKUP(DIR_ATUAL[[#This Row],[Ib]],TabelaDisjuntores[],2,TRUE),"")</f>
        <v/>
      </c>
      <c r="X9" s="54">
        <f>IFERROR(VLOOKUP(DIR_ATUAL[[#This Row],[CONDUTOR]],CABOS[],2,0),0)</f>
        <v/>
      </c>
      <c r="Y9" s="54">
        <f>IF(AND(DIR_ATUAL[[#This Row],[Ib]]&lt;=DIR_ATUAL[[#This Row],[In]],DIR_ATUAL[[#This Row],[In]]&lt;=DIR_ATUAL[[#This Row],[Iz]]),"OK","VERIFICAR")</f>
        <v/>
      </c>
      <c r="Z9" s="110">
        <f>IFERROR(SQRT((DIR_ATUAL[[#This Row],[X]]-$AC$4)^2+(DIR_ATUAL[[#This Row],[Y]]-$AC$5)^2),0)</f>
        <v/>
      </c>
    </row>
    <row r="10">
      <c r="A10" s="169" t="n">
        <v>4</v>
      </c>
      <c r="B10" s="54">
        <f>IFERROR(IF(DIR_ATUAL[[#This Row],[PONTO]]="RAMAL",A9,VLOOKUP(DIR_ATUAL[[#This Row],[PONTO]],GERAL[],2,0)),"")</f>
        <v/>
      </c>
      <c r="C10" s="54">
        <f>IFERROR(IF(DIR_ATUAL[[#This Row],[PONTO]]="RAMAL",15,VLOOKUP(DIR_ATUAL[[#This Row],[PONTO]],GERAL[],3,0)),"")</f>
        <v/>
      </c>
      <c r="D10" s="55">
        <f>IFERROR(IF(DIR_ATUAL[[#This Row],[PONTO]]="RAMAL","",VLOOKUP(DIR_ATUAL[[#This Row],[PONTO]],GERAL[],4,0)),"")</f>
        <v/>
      </c>
      <c r="E10" s="55">
        <f>IFERROR(IF(DIR_ATUAL[[#This Row],[PONTO]]="RAMAL","",VLOOKUP(DIR_ATUAL[[#This Row],[PONTO]],GERAL[],5,0)),"")</f>
        <v/>
      </c>
      <c r="F10" s="55">
        <f>IFERROR(IF(DIR_ATUAL[[#This Row],[PONTO]]="RAMAL",DMDI,VLOOKUP(DIR_ATUAL[[#This Row],[PONTO]],GERAL[],8,0)),"")</f>
        <v/>
      </c>
      <c r="G10" s="55">
        <f>IFERROR(IF(DIR_ATUAL[[#This Row],[PONTO]]="RAMAL",DIR_ATUAL[[#This Row],[KVA PONTO]],VLOOKUP(DIR_ATUAL[[#This Row],[PONTO]],GERAL[],9,0)),"")</f>
        <v/>
      </c>
      <c r="H10" s="55">
        <f>IFERROR(VLOOKUP(DIR_ATUAL[[#This Row],[PONTO]],GERAL[],12,0),"")</f>
        <v/>
      </c>
      <c r="I10" s="61">
        <f>IFERROR(DIR_ATUAL[[#This Row],[Ib]],"")</f>
        <v/>
      </c>
      <c r="J10" s="61">
        <f>IFERROR(IFERROR(DIR_ATUAL[[#This Row],[ACUMULADA]]/((IF(DIR_ATUAL[[#This Row],[FASE]]="MONO",T_LINHA_MONO,IF(DIR_ATUAL[[#This Row],[FASE]]="BIF",T_LINHA_TRF,T_LINHA_TRF*SQRT(3)))/1000)*VLOOKUP(H10,CABOS[],9,0))+30,U10+60*(V10/X10)),"")</f>
        <v/>
      </c>
      <c r="K10" s="69">
        <f>IFERROR((VLOOKUP(DIR_ATUAL[[#This Row],[CONDUTOR]],CABOS[],3,0)/VLOOKUP(DIR_ATUAL[[#This Row],[CONDUTOR]],CABOS[],6,0))*(1+VLOOKUP(DIR_ATUAL[[#This Row],[CONDUTOR]],CABOS[],5,0)*(DIR_ATUAL[[#This Row],[T]]-20)),"")</f>
        <v/>
      </c>
      <c r="L10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10" s="63">
        <f>IFERROR(SUMIF(DIR_ATUAL[PONTO],DIR_ATUAL[[#This Row],[TRECHO]],DIR_ATUAL[Coluna1])+DIR_ATUAL[[#This Row],[QT-PONTO]],"")</f>
        <v/>
      </c>
      <c r="N10" s="57">
        <f>IFERROR(DIR_ATUAL[[#This Row],[Coluna1]]/T_LINHA_MONO,"")</f>
        <v/>
      </c>
      <c r="O10" s="55">
        <f>IFERROR(T_LINHA_MONO*(1-DIR_ATUAL[[#This Row],[QT %]]),"")</f>
        <v/>
      </c>
      <c r="P10" s="55">
        <f>IFERROR(T_LINHA_TRF*(1-DIR_ATUAL[[#This Row],[QT %]]),"")</f>
        <v/>
      </c>
      <c r="Q10" s="68">
        <f>IFERROR(IF(DIR_ATUAL[[#This Row],[PROTECAO]]="OK","Protecao OK","Ajustar Disj/Condutor"),"")</f>
        <v/>
      </c>
      <c r="R10" s="54">
        <f>IF(DIR_ATUAL[[#This Row],[ETA]]=1,"MONO",IF(DIR_ATUAL[[#This Row],[ETA]]=2,"BIF","TRI"))</f>
        <v/>
      </c>
      <c r="S10" s="54" t="n">
        <v>3</v>
      </c>
      <c r="T10" s="54">
        <f>"AEREO"</f>
        <v/>
      </c>
      <c r="U10" s="54">
        <f>30</f>
        <v/>
      </c>
      <c r="V10" s="54">
        <f>IFERROR(IF(DIR_ATUAL[[#This Row],[FASE]]="MONO",DIR_ATUAL[[#This Row],[ACUMULADA]]*1000/(T_LINHA_TRF*DIR_ATUAL[[#This Row],[ETA]]),DIR_ATUAL[[#This Row],[ACUMULADA]]*1000/(SQRT(3)*$P$7*DIR_ATUAL[[#This Row],[ETA]])),"")</f>
        <v/>
      </c>
      <c r="W10" s="54">
        <f>IFERROR(VLOOKUP(DIR_ATUAL[[#This Row],[Ib]],TabelaDisjuntores[],2,TRUE),"")</f>
        <v/>
      </c>
      <c r="X10" s="54">
        <f>IFERROR(VLOOKUP(DIR_ATUAL[[#This Row],[CONDUTOR]],CABOS[],2,0),0)</f>
        <v/>
      </c>
      <c r="Y10" s="54">
        <f>IF(AND(DIR_ATUAL[[#This Row],[Ib]]&lt;=DIR_ATUAL[[#This Row],[In]],DIR_ATUAL[[#This Row],[In]]&lt;=DIR_ATUAL[[#This Row],[Iz]]),"OK","VERIFICAR")</f>
        <v/>
      </c>
      <c r="Z10" s="110">
        <f>IFERROR(SQRT((DIR_ATUAL[[#This Row],[X]]-$AC$4)^2+(DIR_ATUAL[[#This Row],[Y]]-$AC$5)^2),0)</f>
        <v/>
      </c>
    </row>
    <row r="11">
      <c r="A11" s="169" t="n">
        <v>5</v>
      </c>
      <c r="B11" s="54">
        <f>IFERROR(IF(DIR_ATUAL[[#This Row],[PONTO]]="RAMAL",A10,VLOOKUP(DIR_ATUAL[[#This Row],[PONTO]],GERAL[],2,0)),"")</f>
        <v/>
      </c>
      <c r="C11" s="54">
        <f>IFERROR(IF(DIR_ATUAL[[#This Row],[PONTO]]="RAMAL",15,VLOOKUP(DIR_ATUAL[[#This Row],[PONTO]],GERAL[],3,0)),"")</f>
        <v/>
      </c>
      <c r="D11" s="55">
        <f>IFERROR(IF(DIR_ATUAL[[#This Row],[PONTO]]="RAMAL","",VLOOKUP(DIR_ATUAL[[#This Row],[PONTO]],GERAL[],4,0)),"")</f>
        <v/>
      </c>
      <c r="E11" s="55">
        <f>IFERROR(IF(DIR_ATUAL[[#This Row],[PONTO]]="RAMAL","",VLOOKUP(DIR_ATUAL[[#This Row],[PONTO]],GERAL[],5,0)),"")</f>
        <v/>
      </c>
      <c r="F11" s="55">
        <f>IFERROR(IF(DIR_ATUAL[[#This Row],[PONTO]]="RAMAL",DMDI,VLOOKUP(DIR_ATUAL[[#This Row],[PONTO]],GERAL[],8,0)),"")</f>
        <v/>
      </c>
      <c r="G11" s="55">
        <f>IFERROR(IF(DIR_ATUAL[[#This Row],[PONTO]]="RAMAL",DIR_ATUAL[[#This Row],[KVA PONTO]],VLOOKUP(DIR_ATUAL[[#This Row],[PONTO]],GERAL[],9,0)),"")</f>
        <v/>
      </c>
      <c r="H11" s="55">
        <f>IFERROR(VLOOKUP(DIR_ATUAL[[#This Row],[PONTO]],GERAL[],12,0),"")</f>
        <v/>
      </c>
      <c r="I11" s="61">
        <f>IFERROR(DIR_ATUAL[[#This Row],[Ib]],"")</f>
        <v/>
      </c>
      <c r="J11" s="61">
        <f>IFERROR(IFERROR(DIR_ATUAL[[#This Row],[ACUMULADA]]/((IF(DIR_ATUAL[[#This Row],[FASE]]="MONO",T_LINHA_MONO,IF(DIR_ATUAL[[#This Row],[FASE]]="BIF",T_LINHA_TRF,T_LINHA_TRF*SQRT(3)))/1000)*VLOOKUP(H11,CABOS[],9,0))+30,U11+60*(V11/X11)),"")</f>
        <v/>
      </c>
      <c r="K11" s="69">
        <f>IFERROR((VLOOKUP(DIR_ATUAL[[#This Row],[CONDUTOR]],CABOS[],3,0)/VLOOKUP(DIR_ATUAL[[#This Row],[CONDUTOR]],CABOS[],6,0))*(1+VLOOKUP(DIR_ATUAL[[#This Row],[CONDUTOR]],CABOS[],5,0)*(DIR_ATUAL[[#This Row],[T]]-20)),"")</f>
        <v/>
      </c>
      <c r="L11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11" s="63">
        <f>IFERROR(SUMIF(DIR_ATUAL[PONTO],DIR_ATUAL[[#This Row],[TRECHO]],DIR_ATUAL[Coluna1])+DIR_ATUAL[[#This Row],[QT-PONTO]],"")</f>
        <v/>
      </c>
      <c r="N11" s="57">
        <f>IFERROR(DIR_ATUAL[[#This Row],[Coluna1]]/T_LINHA_MONO,"")</f>
        <v/>
      </c>
      <c r="O11" s="55">
        <f>IFERROR(T_LINHA_MONO*(1-DIR_ATUAL[[#This Row],[QT %]]),"")</f>
        <v/>
      </c>
      <c r="P11" s="55">
        <f>IFERROR(T_LINHA_TRF*(1-DIR_ATUAL[[#This Row],[QT %]]),"")</f>
        <v/>
      </c>
      <c r="Q11" s="68">
        <f>IFERROR(IF(DIR_ATUAL[[#This Row],[PROTECAO]]="OK","Protecao OK","Ajustar Disj/Condutor"),"")</f>
        <v/>
      </c>
      <c r="R11" s="54">
        <f>IF(DIR_ATUAL[[#This Row],[ETA]]=1,"MONO",IF(DIR_ATUAL[[#This Row],[ETA]]=2,"BIF","TRI"))</f>
        <v/>
      </c>
      <c r="S11" s="54" t="n">
        <v>3</v>
      </c>
      <c r="T11" s="54">
        <f>"AEREO"</f>
        <v/>
      </c>
      <c r="U11" s="54">
        <f>30</f>
        <v/>
      </c>
      <c r="V11" s="54">
        <f>IFERROR(IF(DIR_ATUAL[[#This Row],[FASE]]="MONO",DIR_ATUAL[[#This Row],[ACUMULADA]]*1000/(T_LINHA_TRF*DIR_ATUAL[[#This Row],[ETA]]),DIR_ATUAL[[#This Row],[ACUMULADA]]*1000/(SQRT(3)*$P$7*DIR_ATUAL[[#This Row],[ETA]])),"")</f>
        <v/>
      </c>
      <c r="W11" s="54">
        <f>IFERROR(VLOOKUP(DIR_ATUAL[[#This Row],[Ib]],TabelaDisjuntores[],2,TRUE),"")</f>
        <v/>
      </c>
      <c r="X11" s="54">
        <f>IFERROR(VLOOKUP(DIR_ATUAL[[#This Row],[CONDUTOR]],CABOS[],2,0),0)</f>
        <v/>
      </c>
      <c r="Y11" s="54">
        <f>IF(AND(DIR_ATUAL[[#This Row],[Ib]]&lt;=DIR_ATUAL[[#This Row],[In]],DIR_ATUAL[[#This Row],[In]]&lt;=DIR_ATUAL[[#This Row],[Iz]]),"OK","VERIFICAR")</f>
        <v/>
      </c>
      <c r="Z11" s="110">
        <f>IFERROR(SQRT((DIR_ATUAL[[#This Row],[X]]-$AC$4)^2+(DIR_ATUAL[[#This Row],[Y]]-$AC$5)^2),0)</f>
        <v/>
      </c>
    </row>
    <row r="12">
      <c r="A12" s="169" t="n">
        <v>6</v>
      </c>
      <c r="B12" s="54">
        <f>IFERROR(IF(DIR_ATUAL[[#This Row],[PONTO]]="RAMAL",A11,VLOOKUP(DIR_ATUAL[[#This Row],[PONTO]],GERAL[],2,0)),"")</f>
        <v/>
      </c>
      <c r="C12" s="54">
        <f>IFERROR(IF(DIR_ATUAL[[#This Row],[PONTO]]="RAMAL",15,VLOOKUP(DIR_ATUAL[[#This Row],[PONTO]],GERAL[],3,0)),"")</f>
        <v/>
      </c>
      <c r="D12" s="55">
        <f>IFERROR(IF(DIR_ATUAL[[#This Row],[PONTO]]="RAMAL","",VLOOKUP(DIR_ATUAL[[#This Row],[PONTO]],GERAL[],4,0)),"")</f>
        <v/>
      </c>
      <c r="E12" s="55">
        <f>IFERROR(IF(DIR_ATUAL[[#This Row],[PONTO]]="RAMAL","",VLOOKUP(DIR_ATUAL[[#This Row],[PONTO]],GERAL[],5,0)),"")</f>
        <v/>
      </c>
      <c r="F12" s="55">
        <f>IFERROR(IF(DIR_ATUAL[[#This Row],[PONTO]]="RAMAL",DMDI,VLOOKUP(DIR_ATUAL[[#This Row],[PONTO]],GERAL[],8,0)),"")</f>
        <v/>
      </c>
      <c r="G12" s="55">
        <f>IFERROR(IF(DIR_ATUAL[[#This Row],[PONTO]]="RAMAL",DIR_ATUAL[[#This Row],[KVA PONTO]],VLOOKUP(DIR_ATUAL[[#This Row],[PONTO]],GERAL[],9,0)),"")</f>
        <v/>
      </c>
      <c r="H12" s="55">
        <f>IFERROR(VLOOKUP(DIR_ATUAL[[#This Row],[PONTO]],GERAL[],12,0),"")</f>
        <v/>
      </c>
      <c r="I12" s="61">
        <f>IFERROR(DIR_ATUAL[[#This Row],[Ib]],"")</f>
        <v/>
      </c>
      <c r="J12" s="61">
        <f>IFERROR(IFERROR(DIR_ATUAL[[#This Row],[ACUMULADA]]/((IF(DIR_ATUAL[[#This Row],[FASE]]="MONO",T_LINHA_MONO,IF(DIR_ATUAL[[#This Row],[FASE]]="BIF",T_LINHA_TRF,T_LINHA_TRF*SQRT(3)))/1000)*VLOOKUP(H12,CABOS[],9,0))+30,U12+60*(V12/X12)),"")</f>
        <v/>
      </c>
      <c r="K12" s="69">
        <f>IFERROR((VLOOKUP(DIR_ATUAL[[#This Row],[CONDUTOR]],CABOS[],3,0)/VLOOKUP(DIR_ATUAL[[#This Row],[CONDUTOR]],CABOS[],6,0))*(1+VLOOKUP(DIR_ATUAL[[#This Row],[CONDUTOR]],CABOS[],5,0)*(DIR_ATUAL[[#This Row],[T]]-20)),"")</f>
        <v/>
      </c>
      <c r="L12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12" s="63">
        <f>IFERROR(SUMIF(DIR_ATUAL[PONTO],DIR_ATUAL[[#This Row],[TRECHO]],DIR_ATUAL[Coluna1])+DIR_ATUAL[[#This Row],[QT-PONTO]],"")</f>
        <v/>
      </c>
      <c r="N12" s="57">
        <f>IFERROR(DIR_ATUAL[[#This Row],[Coluna1]]/T_LINHA_MONO,"")</f>
        <v/>
      </c>
      <c r="O12" s="55">
        <f>IFERROR(T_LINHA_MONO*(1-DIR_ATUAL[[#This Row],[QT %]]),"")</f>
        <v/>
      </c>
      <c r="P12" s="55">
        <f>IFERROR(T_LINHA_TRF*(1-DIR_ATUAL[[#This Row],[QT %]]),"")</f>
        <v/>
      </c>
      <c r="Q12" s="68">
        <f>IFERROR(IF(DIR_ATUAL[[#This Row],[PROTECAO]]="OK","Protecao OK","Ajustar Disj/Condutor"),"")</f>
        <v/>
      </c>
      <c r="R12" s="54">
        <f>IF(DIR_ATUAL[[#This Row],[ETA]]=1,"MONO",IF(DIR_ATUAL[[#This Row],[ETA]]=2,"BIF","TRI"))</f>
        <v/>
      </c>
      <c r="S12" s="54" t="n">
        <v>3</v>
      </c>
      <c r="T12" s="54">
        <f>"AEREO"</f>
        <v/>
      </c>
      <c r="U12" s="54">
        <f>30</f>
        <v/>
      </c>
      <c r="V12" s="54">
        <f>IFERROR(IF(DIR_ATUAL[[#This Row],[FASE]]="MONO",DIR_ATUAL[[#This Row],[ACUMULADA]]*1000/(T_LINHA_TRF*DIR_ATUAL[[#This Row],[ETA]]),DIR_ATUAL[[#This Row],[ACUMULADA]]*1000/(SQRT(3)*$P$7*DIR_ATUAL[[#This Row],[ETA]])),"")</f>
        <v/>
      </c>
      <c r="W12" s="54">
        <f>IFERROR(VLOOKUP(DIR_ATUAL[[#This Row],[Ib]],TabelaDisjuntores[],2,TRUE),"")</f>
        <v/>
      </c>
      <c r="X12" s="54">
        <f>IFERROR(VLOOKUP(DIR_ATUAL[[#This Row],[CONDUTOR]],CABOS[],2,0),0)</f>
        <v/>
      </c>
      <c r="Y12" s="54">
        <f>IF(AND(DIR_ATUAL[[#This Row],[Ib]]&lt;=DIR_ATUAL[[#This Row],[In]],DIR_ATUAL[[#This Row],[In]]&lt;=DIR_ATUAL[[#This Row],[Iz]]),"OK","VERIFICAR")</f>
        <v/>
      </c>
      <c r="Z12" s="110">
        <f>IFERROR(SQRT((DIR_ATUAL[[#This Row],[X]]-$AC$4)^2+(DIR_ATUAL[[#This Row],[Y]]-$AC$5)^2),0)</f>
        <v/>
      </c>
    </row>
    <row r="13">
      <c r="A13" s="169" t="n">
        <v>7</v>
      </c>
      <c r="B13" s="54">
        <f>IFERROR(IF(DIR_ATUAL[[#This Row],[PONTO]]="RAMAL",A12,VLOOKUP(DIR_ATUAL[[#This Row],[PONTO]],GERAL[],2,0)),"")</f>
        <v/>
      </c>
      <c r="C13" s="54">
        <f>IFERROR(IF(DIR_ATUAL[[#This Row],[PONTO]]="RAMAL",15,VLOOKUP(DIR_ATUAL[[#This Row],[PONTO]],GERAL[],3,0)),"")</f>
        <v/>
      </c>
      <c r="D13" s="55">
        <f>IFERROR(IF(DIR_ATUAL[[#This Row],[PONTO]]="RAMAL","",VLOOKUP(DIR_ATUAL[[#This Row],[PONTO]],GERAL[],4,0)),"")</f>
        <v/>
      </c>
      <c r="E13" s="55">
        <f>IFERROR(IF(DIR_ATUAL[[#This Row],[PONTO]]="RAMAL","",VLOOKUP(DIR_ATUAL[[#This Row],[PONTO]],GERAL[],5,0)),"")</f>
        <v/>
      </c>
      <c r="F13" s="55">
        <f>IFERROR(IF(DIR_ATUAL[[#This Row],[PONTO]]="RAMAL",DMDI,VLOOKUP(DIR_ATUAL[[#This Row],[PONTO]],GERAL[],8,0)),"")</f>
        <v/>
      </c>
      <c r="G13" s="55">
        <f>IFERROR(IF(DIR_ATUAL[[#This Row],[PONTO]]="RAMAL",DIR_ATUAL[[#This Row],[KVA PONTO]],VLOOKUP(DIR_ATUAL[[#This Row],[PONTO]],GERAL[],9,0)),"")</f>
        <v/>
      </c>
      <c r="H13" s="55">
        <f>IFERROR(VLOOKUP(DIR_ATUAL[[#This Row],[PONTO]],GERAL[],12,0),"")</f>
        <v/>
      </c>
      <c r="I13" s="61">
        <f>IFERROR(DIR_ATUAL[[#This Row],[Ib]],"")</f>
        <v/>
      </c>
      <c r="J13" s="61">
        <f>IFERROR(IFERROR(DIR_ATUAL[[#This Row],[ACUMULADA]]/((IF(DIR_ATUAL[[#This Row],[FASE]]="MONO",T_LINHA_MONO,IF(DIR_ATUAL[[#This Row],[FASE]]="BIF",T_LINHA_TRF,T_LINHA_TRF*SQRT(3)))/1000)*VLOOKUP(H13,CABOS[],9,0))+30,U13+60*(V13/X13)),"")</f>
        <v/>
      </c>
      <c r="K13" s="69">
        <f>IFERROR((VLOOKUP(DIR_ATUAL[[#This Row],[CONDUTOR]],CABOS[],3,0)/VLOOKUP(DIR_ATUAL[[#This Row],[CONDUTOR]],CABOS[],6,0))*(1+VLOOKUP(DIR_ATUAL[[#This Row],[CONDUTOR]],CABOS[],5,0)*(DIR_ATUAL[[#This Row],[T]]-20)),"")</f>
        <v/>
      </c>
      <c r="L13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13" s="63">
        <f>IFERROR(SUMIF(DIR_ATUAL[PONTO],DIR_ATUAL[[#This Row],[TRECHO]],DIR_ATUAL[Coluna1])+DIR_ATUAL[[#This Row],[QT-PONTO]],"")</f>
        <v/>
      </c>
      <c r="N13" s="57">
        <f>IFERROR(DIR_ATUAL[[#This Row],[Coluna1]]/T_LINHA_MONO,"")</f>
        <v/>
      </c>
      <c r="O13" s="55">
        <f>IFERROR(T_LINHA_MONO*(1-DIR_ATUAL[[#This Row],[QT %]]),"")</f>
        <v/>
      </c>
      <c r="P13" s="55">
        <f>IFERROR(T_LINHA_TRF*(1-DIR_ATUAL[[#This Row],[QT %]]),"")</f>
        <v/>
      </c>
      <c r="Q13" s="68">
        <f>IFERROR(IF(DIR_ATUAL[[#This Row],[PROTECAO]]="OK","Protecao OK","Ajustar Disj/Condutor"),"")</f>
        <v/>
      </c>
      <c r="R13" s="54">
        <f>IF(DIR_ATUAL[[#This Row],[ETA]]=1,"MONO",IF(DIR_ATUAL[[#This Row],[ETA]]=2,"BIF","TRI"))</f>
        <v/>
      </c>
      <c r="S13" s="54" t="n">
        <v>3</v>
      </c>
      <c r="T13" s="54">
        <f>"AEREO"</f>
        <v/>
      </c>
      <c r="U13" s="54">
        <f>30</f>
        <v/>
      </c>
      <c r="V13" s="54">
        <f>IFERROR(IF(DIR_ATUAL[[#This Row],[FASE]]="MONO",DIR_ATUAL[[#This Row],[ACUMULADA]]*1000/(T_LINHA_TRF*DIR_ATUAL[[#This Row],[ETA]]),DIR_ATUAL[[#This Row],[ACUMULADA]]*1000/(SQRT(3)*$P$7*DIR_ATUAL[[#This Row],[ETA]])),"")</f>
        <v/>
      </c>
      <c r="W13" s="54">
        <f>IFERROR(VLOOKUP(DIR_ATUAL[[#This Row],[Ib]],TabelaDisjuntores[],2,TRUE),"")</f>
        <v/>
      </c>
      <c r="X13" s="54">
        <f>IFERROR(VLOOKUP(DIR_ATUAL[[#This Row],[CONDUTOR]],CABOS[],2,0),0)</f>
        <v/>
      </c>
      <c r="Y13" s="54">
        <f>IF(AND(DIR_ATUAL[[#This Row],[Ib]]&lt;=DIR_ATUAL[[#This Row],[In]],DIR_ATUAL[[#This Row],[In]]&lt;=DIR_ATUAL[[#This Row],[Iz]]),"OK","VERIFICAR")</f>
        <v/>
      </c>
      <c r="Z13" s="110">
        <f>IFERROR(SQRT((DIR_ATUAL[[#This Row],[X]]-$AC$4)^2+(DIR_ATUAL[[#This Row],[Y]]-$AC$5)^2),0)</f>
        <v/>
      </c>
    </row>
    <row r="14">
      <c r="A14" s="169" t="n">
        <v>8</v>
      </c>
      <c r="B14" s="54">
        <f>IFERROR(IF(DIR_ATUAL[[#This Row],[PONTO]]="RAMAL",A13,VLOOKUP(DIR_ATUAL[[#This Row],[PONTO]],GERAL[],2,0)),"")</f>
        <v/>
      </c>
      <c r="C14" s="54">
        <f>IFERROR(IF(DIR_ATUAL[[#This Row],[PONTO]]="RAMAL",15,VLOOKUP(DIR_ATUAL[[#This Row],[PONTO]],GERAL[],3,0)),"")</f>
        <v/>
      </c>
      <c r="D14" s="55">
        <f>IFERROR(IF(DIR_ATUAL[[#This Row],[PONTO]]="RAMAL","",VLOOKUP(DIR_ATUAL[[#This Row],[PONTO]],GERAL[],4,0)),"")</f>
        <v/>
      </c>
      <c r="E14" s="55">
        <f>IFERROR(IF(DIR_ATUAL[[#This Row],[PONTO]]="RAMAL","",VLOOKUP(DIR_ATUAL[[#This Row],[PONTO]],GERAL[],5,0)),"")</f>
        <v/>
      </c>
      <c r="F14" s="55">
        <f>IFERROR(IF(DIR_ATUAL[[#This Row],[PONTO]]="RAMAL",DMDI,VLOOKUP(DIR_ATUAL[[#This Row],[PONTO]],GERAL[],8,0)),"")</f>
        <v/>
      </c>
      <c r="G14" s="55">
        <f>IFERROR(IF(DIR_ATUAL[[#This Row],[PONTO]]="RAMAL",DIR_ATUAL[[#This Row],[KVA PONTO]],VLOOKUP(DIR_ATUAL[[#This Row],[PONTO]],GERAL[],9,0)),"")</f>
        <v/>
      </c>
      <c r="H14" s="55">
        <f>IFERROR(VLOOKUP(DIR_ATUAL[[#This Row],[PONTO]],GERAL[],12,0),"")</f>
        <v/>
      </c>
      <c r="I14" s="61">
        <f>IFERROR(DIR_ATUAL[[#This Row],[Ib]],"")</f>
        <v/>
      </c>
      <c r="J14" s="61">
        <f>IFERROR(IFERROR(DIR_ATUAL[[#This Row],[ACUMULADA]]/((IF(DIR_ATUAL[[#This Row],[FASE]]="MONO",T_LINHA_MONO,IF(DIR_ATUAL[[#This Row],[FASE]]="BIF",T_LINHA_TRF,T_LINHA_TRF*SQRT(3)))/1000)*VLOOKUP(H14,CABOS[],9,0))+30,U14+60*(V14/X14)),"")</f>
        <v/>
      </c>
      <c r="K14" s="69">
        <f>IFERROR((VLOOKUP(DIR_ATUAL[[#This Row],[CONDUTOR]],CABOS[],3,0)/VLOOKUP(DIR_ATUAL[[#This Row],[CONDUTOR]],CABOS[],6,0))*(1+VLOOKUP(DIR_ATUAL[[#This Row],[CONDUTOR]],CABOS[],5,0)*(DIR_ATUAL[[#This Row],[T]]-20)),"")</f>
        <v/>
      </c>
      <c r="L14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14" s="63">
        <f>IFERROR(SUMIF(DIR_ATUAL[PONTO],DIR_ATUAL[[#This Row],[TRECHO]],DIR_ATUAL[Coluna1])+DIR_ATUAL[[#This Row],[QT-PONTO]],"")</f>
        <v/>
      </c>
      <c r="N14" s="57">
        <f>IFERROR(DIR_ATUAL[[#This Row],[Coluna1]]/T_LINHA_MONO,"")</f>
        <v/>
      </c>
      <c r="O14" s="55">
        <f>IFERROR(T_LINHA_MONO*(1-DIR_ATUAL[[#This Row],[QT %]]),"")</f>
        <v/>
      </c>
      <c r="P14" s="55">
        <f>IFERROR(T_LINHA_TRF*(1-DIR_ATUAL[[#This Row],[QT %]]),"")</f>
        <v/>
      </c>
      <c r="Q14" s="68">
        <f>IFERROR(IF(DIR_ATUAL[[#This Row],[PROTECAO]]="OK","Protecao OK","Ajustar Disj/Condutor"),"")</f>
        <v/>
      </c>
      <c r="R14" s="54">
        <f>IF(DIR_ATUAL[[#This Row],[ETA]]=1,"MONO",IF(DIR_ATUAL[[#This Row],[ETA]]=2,"BIF","TRI"))</f>
        <v/>
      </c>
      <c r="S14" s="54" t="n">
        <v>3</v>
      </c>
      <c r="T14" s="54">
        <f>"AEREO"</f>
        <v/>
      </c>
      <c r="U14" s="54">
        <f>30</f>
        <v/>
      </c>
      <c r="V14" s="54">
        <f>IFERROR(IF(DIR_ATUAL[[#This Row],[FASE]]="MONO",DIR_ATUAL[[#This Row],[ACUMULADA]]*1000/(T_LINHA_TRF*DIR_ATUAL[[#This Row],[ETA]]),DIR_ATUAL[[#This Row],[ACUMULADA]]*1000/(SQRT(3)*$P$7*DIR_ATUAL[[#This Row],[ETA]])),"")</f>
        <v/>
      </c>
      <c r="W14" s="54">
        <f>IFERROR(VLOOKUP(DIR_ATUAL[[#This Row],[Ib]],TabelaDisjuntores[],2,TRUE),"")</f>
        <v/>
      </c>
      <c r="X14" s="54">
        <f>IFERROR(VLOOKUP(DIR_ATUAL[[#This Row],[CONDUTOR]],CABOS[],2,0),0)</f>
        <v/>
      </c>
      <c r="Y14" s="54">
        <f>IF(AND(DIR_ATUAL[[#This Row],[Ib]]&lt;=DIR_ATUAL[[#This Row],[In]],DIR_ATUAL[[#This Row],[In]]&lt;=DIR_ATUAL[[#This Row],[Iz]]),"OK","VERIFICAR")</f>
        <v/>
      </c>
      <c r="Z14" s="110">
        <f>IFERROR(SQRT((DIR_ATUAL[[#This Row],[X]]-$AC$4)^2+(DIR_ATUAL[[#This Row],[Y]]-$AC$5)^2),0)</f>
        <v/>
      </c>
    </row>
    <row r="15">
      <c r="A15" s="169" t="n">
        <v>9</v>
      </c>
      <c r="B15" s="54">
        <f>IFERROR(IF(DIR_ATUAL[[#This Row],[PONTO]]="RAMAL",A14,VLOOKUP(DIR_ATUAL[[#This Row],[PONTO]],GERAL[],2,0)),"")</f>
        <v/>
      </c>
      <c r="C15" s="54">
        <f>IFERROR(IF(DIR_ATUAL[[#This Row],[PONTO]]="RAMAL",15,VLOOKUP(DIR_ATUAL[[#This Row],[PONTO]],GERAL[],3,0)),"")</f>
        <v/>
      </c>
      <c r="D15" s="55">
        <f>IFERROR(IF(DIR_ATUAL[[#This Row],[PONTO]]="RAMAL","",VLOOKUP(DIR_ATUAL[[#This Row],[PONTO]],GERAL[],4,0)),"")</f>
        <v/>
      </c>
      <c r="E15" s="55">
        <f>IFERROR(IF(DIR_ATUAL[[#This Row],[PONTO]]="RAMAL","",VLOOKUP(DIR_ATUAL[[#This Row],[PONTO]],GERAL[],5,0)),"")</f>
        <v/>
      </c>
      <c r="F15" s="55">
        <f>IFERROR(IF(DIR_ATUAL[[#This Row],[PONTO]]="RAMAL",DMDI,VLOOKUP(DIR_ATUAL[[#This Row],[PONTO]],GERAL[],8,0)),"")</f>
        <v/>
      </c>
      <c r="G15" s="55">
        <f>IFERROR(IF(DIR_ATUAL[[#This Row],[PONTO]]="RAMAL",DIR_ATUAL[[#This Row],[KVA PONTO]],VLOOKUP(DIR_ATUAL[[#This Row],[PONTO]],GERAL[],9,0)),"")</f>
        <v/>
      </c>
      <c r="H15" s="55">
        <f>IFERROR(VLOOKUP(DIR_ATUAL[[#This Row],[PONTO]],GERAL[],12,0),"")</f>
        <v/>
      </c>
      <c r="I15" s="61">
        <f>IFERROR(DIR_ATUAL[[#This Row],[Ib]],"")</f>
        <v/>
      </c>
      <c r="J15" s="61">
        <f>IFERROR(IFERROR(DIR_ATUAL[[#This Row],[ACUMULADA]]/((IF(DIR_ATUAL[[#This Row],[FASE]]="MONO",T_LINHA_MONO,IF(DIR_ATUAL[[#This Row],[FASE]]="BIF",T_LINHA_TRF,T_LINHA_TRF*SQRT(3)))/1000)*VLOOKUP(H15,CABOS[],9,0))+30,U15+60*(V15/X15)),"")</f>
        <v/>
      </c>
      <c r="K15" s="69">
        <f>IFERROR((VLOOKUP(DIR_ATUAL[[#This Row],[CONDUTOR]],CABOS[],3,0)/VLOOKUP(DIR_ATUAL[[#This Row],[CONDUTOR]],CABOS[],6,0))*(1+VLOOKUP(DIR_ATUAL[[#This Row],[CONDUTOR]],CABOS[],5,0)*(DIR_ATUAL[[#This Row],[T]]-20)),"")</f>
        <v/>
      </c>
      <c r="L15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15" s="63">
        <f>IFERROR(SUMIF(DIR_ATUAL[PONTO],DIR_ATUAL[[#This Row],[TRECHO]],DIR_ATUAL[Coluna1])+DIR_ATUAL[[#This Row],[QT-PONTO]],"")</f>
        <v/>
      </c>
      <c r="N15" s="57">
        <f>IFERROR(DIR_ATUAL[[#This Row],[Coluna1]]/T_LINHA_MONO,"")</f>
        <v/>
      </c>
      <c r="O15" s="55">
        <f>IFERROR(T_LINHA_MONO*(1-DIR_ATUAL[[#This Row],[QT %]]),"")</f>
        <v/>
      </c>
      <c r="P15" s="55">
        <f>IFERROR(T_LINHA_TRF*(1-DIR_ATUAL[[#This Row],[QT %]]),"")</f>
        <v/>
      </c>
      <c r="Q15" s="68">
        <f>IFERROR(IF(DIR_ATUAL[[#This Row],[PROTECAO]]="OK","Protecao OK","Ajustar Disj/Condutor"),"")</f>
        <v/>
      </c>
      <c r="R15" s="54">
        <f>IF(DIR_ATUAL[[#This Row],[ETA]]=1,"MONO",IF(DIR_ATUAL[[#This Row],[ETA]]=2,"BIF","TRI"))</f>
        <v/>
      </c>
      <c r="S15" s="54" t="n">
        <v>3</v>
      </c>
      <c r="T15" s="54">
        <f>"AEREO"</f>
        <v/>
      </c>
      <c r="U15" s="54">
        <f>30</f>
        <v/>
      </c>
      <c r="V15" s="54">
        <f>IFERROR(IF(DIR_ATUAL[[#This Row],[FASE]]="MONO",DIR_ATUAL[[#This Row],[ACUMULADA]]*1000/(T_LINHA_TRF*DIR_ATUAL[[#This Row],[ETA]]),DIR_ATUAL[[#This Row],[ACUMULADA]]*1000/(SQRT(3)*$P$7*DIR_ATUAL[[#This Row],[ETA]])),"")</f>
        <v/>
      </c>
      <c r="W15" s="54">
        <f>IFERROR(VLOOKUP(DIR_ATUAL[[#This Row],[Ib]],TabelaDisjuntores[],2,TRUE),"")</f>
        <v/>
      </c>
      <c r="X15" s="54">
        <f>IFERROR(VLOOKUP(DIR_ATUAL[[#This Row],[CONDUTOR]],CABOS[],2,0),0)</f>
        <v/>
      </c>
      <c r="Y15" s="54">
        <f>IF(AND(DIR_ATUAL[[#This Row],[Ib]]&lt;=DIR_ATUAL[[#This Row],[In]],DIR_ATUAL[[#This Row],[In]]&lt;=DIR_ATUAL[[#This Row],[Iz]]),"OK","VERIFICAR")</f>
        <v/>
      </c>
      <c r="Z15" s="110">
        <f>IFERROR(SQRT((DIR_ATUAL[[#This Row],[X]]-$AC$4)^2+(DIR_ATUAL[[#This Row],[Y]]-$AC$5)^2),0)</f>
        <v/>
      </c>
    </row>
    <row r="16">
      <c r="A16" s="169" t="n"/>
      <c r="B16" s="54">
        <f>IFERROR(IF(DIR_ATUAL[[#This Row],[PONTO]]="RAMAL",A15,VLOOKUP(DIR_ATUAL[[#This Row],[PONTO]],GERAL[],2,0)),"")</f>
        <v/>
      </c>
      <c r="C16" s="54">
        <f>IFERROR(IF(DIR_ATUAL[[#This Row],[PONTO]]="RAMAL",15,VLOOKUP(DIR_ATUAL[[#This Row],[PONTO]],GERAL[],3,0)),"")</f>
        <v/>
      </c>
      <c r="D16" s="55">
        <f>IFERROR(IF(DIR_ATUAL[[#This Row],[PONTO]]="RAMAL","",VLOOKUP(DIR_ATUAL[[#This Row],[PONTO]],GERAL[],4,0)),"")</f>
        <v/>
      </c>
      <c r="E16" s="55">
        <f>IFERROR(IF(DIR_ATUAL[[#This Row],[PONTO]]="RAMAL","",VLOOKUP(DIR_ATUAL[[#This Row],[PONTO]],GERAL[],5,0)),"")</f>
        <v/>
      </c>
      <c r="F16" s="55">
        <f>IFERROR(IF(DIR_ATUAL[[#This Row],[PONTO]]="RAMAL",DMDI,VLOOKUP(DIR_ATUAL[[#This Row],[PONTO]],GERAL[],8,0)),"")</f>
        <v/>
      </c>
      <c r="G16" s="55">
        <f>IFERROR(IF(DIR_ATUAL[[#This Row],[PONTO]]="RAMAL",DIR_ATUAL[[#This Row],[KVA PONTO]],VLOOKUP(DIR_ATUAL[[#This Row],[PONTO]],GERAL[],9,0)),"")</f>
        <v/>
      </c>
      <c r="H16" s="55">
        <f>IFERROR(VLOOKUP(DIR_ATUAL[[#This Row],[PONTO]],GERAL[],12,0),"")</f>
        <v/>
      </c>
      <c r="I16" s="61">
        <f>IFERROR(DIR_ATUAL[[#This Row],[Ib]],"")</f>
        <v/>
      </c>
      <c r="J16" s="61">
        <f>IFERROR(IFERROR(DIR_ATUAL[[#This Row],[ACUMULADA]]/((IF(DIR_ATUAL[[#This Row],[FASE]]="MONO",T_LINHA_MONO,IF(DIR_ATUAL[[#This Row],[FASE]]="BIF",T_LINHA_TRF,T_LINHA_TRF*SQRT(3)))/1000)*VLOOKUP(H16,CABOS[],9,0))+30,U16+60*(V16/X16)),"")</f>
        <v/>
      </c>
      <c r="K16" s="69">
        <f>IFERROR((VLOOKUP(DIR_ATUAL[[#This Row],[CONDUTOR]],CABOS[],3,0)/VLOOKUP(DIR_ATUAL[[#This Row],[CONDUTOR]],CABOS[],6,0))*(1+VLOOKUP(DIR_ATUAL[[#This Row],[CONDUTOR]],CABOS[],5,0)*(DIR_ATUAL[[#This Row],[T]]-20)),"")</f>
        <v/>
      </c>
      <c r="L16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16" s="63">
        <f>IFERROR(SUMIF(DIR_ATUAL[PONTO],DIR_ATUAL[[#This Row],[TRECHO]],DIR_ATUAL[Coluna1])+DIR_ATUAL[[#This Row],[QT-PONTO]],"")</f>
        <v/>
      </c>
      <c r="N16" s="57">
        <f>IFERROR(DIR_ATUAL[[#This Row],[Coluna1]]/T_LINHA_MONO,"")</f>
        <v/>
      </c>
      <c r="O16" s="55">
        <f>IFERROR(T_LINHA_MONO*(1-DIR_ATUAL[[#This Row],[QT %]]),"")</f>
        <v/>
      </c>
      <c r="P16" s="55">
        <f>IFERROR(T_LINHA_TRF*(1-DIR_ATUAL[[#This Row],[QT %]]),"")</f>
        <v/>
      </c>
      <c r="Q16" s="68">
        <f>IFERROR(IF(DIR_ATUAL[[#This Row],[PROTECAO]]="OK","Protecao OK","Ajustar Disj/Condutor"),"")</f>
        <v/>
      </c>
      <c r="R16" s="54">
        <f>IF(DIR_ATUAL[[#This Row],[ETA]]=1,"MONO",IF(DIR_ATUAL[[#This Row],[ETA]]=2,"BIF","TRI"))</f>
        <v/>
      </c>
      <c r="S16" s="54" t="n">
        <v>3</v>
      </c>
      <c r="T16" s="54">
        <f>"AEREO"</f>
        <v/>
      </c>
      <c r="U16" s="54">
        <f>30</f>
        <v/>
      </c>
      <c r="V16" s="54">
        <f>IFERROR(IF(DIR_ATUAL[[#This Row],[FASE]]="MONO",DIR_ATUAL[[#This Row],[ACUMULADA]]*1000/(T_LINHA_TRF*DIR_ATUAL[[#This Row],[ETA]]),DIR_ATUAL[[#This Row],[ACUMULADA]]*1000/(SQRT(3)*$P$7*DIR_ATUAL[[#This Row],[ETA]])),"")</f>
        <v/>
      </c>
      <c r="W16" s="54">
        <f>IFERROR(VLOOKUP(DIR_ATUAL[[#This Row],[Ib]],TabelaDisjuntores[],2,TRUE),"")</f>
        <v/>
      </c>
      <c r="X16" s="54">
        <f>IFERROR(VLOOKUP(DIR_ATUAL[[#This Row],[CONDUTOR]],CABOS[],2,0),0)</f>
        <v/>
      </c>
      <c r="Y16" s="54">
        <f>IF(AND(DIR_ATUAL[[#This Row],[Ib]]&lt;=DIR_ATUAL[[#This Row],[In]],DIR_ATUAL[[#This Row],[In]]&lt;=DIR_ATUAL[[#This Row],[Iz]]),"OK","VERIFICAR")</f>
        <v/>
      </c>
      <c r="Z16" s="110">
        <f>IFERROR(SQRT((DIR_ATUAL[[#This Row],[X]]-$AC$4)^2+(DIR_ATUAL[[#This Row],[Y]]-$AC$5)^2),0)</f>
        <v/>
      </c>
    </row>
    <row r="17">
      <c r="A17" s="169" t="n"/>
      <c r="B17" s="54">
        <f>IFERROR(IF(DIR_ATUAL[[#This Row],[PONTO]]="RAMAL",A16,VLOOKUP(DIR_ATUAL[[#This Row],[PONTO]],GERAL[],2,0)),"")</f>
        <v/>
      </c>
      <c r="C17" s="54">
        <f>IFERROR(IF(DIR_ATUAL[[#This Row],[PONTO]]="RAMAL",15,VLOOKUP(DIR_ATUAL[[#This Row],[PONTO]],GERAL[],3,0)),"")</f>
        <v/>
      </c>
      <c r="D17" s="55">
        <f>IFERROR(IF(DIR_ATUAL[[#This Row],[PONTO]]="RAMAL","",VLOOKUP(DIR_ATUAL[[#This Row],[PONTO]],GERAL[],4,0)),"")</f>
        <v/>
      </c>
      <c r="E17" s="55">
        <f>IFERROR(IF(DIR_ATUAL[[#This Row],[PONTO]]="RAMAL","",VLOOKUP(DIR_ATUAL[[#This Row],[PONTO]],GERAL[],5,0)),"")</f>
        <v/>
      </c>
      <c r="F17" s="55">
        <f>IFERROR(IF(DIR_ATUAL[[#This Row],[PONTO]]="RAMAL",DMDI,VLOOKUP(DIR_ATUAL[[#This Row],[PONTO]],GERAL[],8,0)),"")</f>
        <v/>
      </c>
      <c r="G17" s="55">
        <f>IFERROR(IF(DIR_ATUAL[[#This Row],[PONTO]]="RAMAL",DIR_ATUAL[[#This Row],[KVA PONTO]],VLOOKUP(DIR_ATUAL[[#This Row],[PONTO]],GERAL[],9,0)),"")</f>
        <v/>
      </c>
      <c r="H17" s="55">
        <f>IFERROR(VLOOKUP(DIR_ATUAL[[#This Row],[PONTO]],GERAL[],12,0),"")</f>
        <v/>
      </c>
      <c r="I17" s="61">
        <f>IFERROR(DIR_ATUAL[[#This Row],[Ib]],"")</f>
        <v/>
      </c>
      <c r="J17" s="61">
        <f>IFERROR(IFERROR(DIR_ATUAL[[#This Row],[ACUMULADA]]/((IF(DIR_ATUAL[[#This Row],[FASE]]="MONO",T_LINHA_MONO,IF(DIR_ATUAL[[#This Row],[FASE]]="BIF",T_LINHA_TRF,T_LINHA_TRF*SQRT(3)))/1000)*VLOOKUP(H17,CABOS[],9,0))+30,U17+60*(V17/X17)),"")</f>
        <v/>
      </c>
      <c r="K17" s="69">
        <f>IFERROR((VLOOKUP(DIR_ATUAL[[#This Row],[CONDUTOR]],CABOS[],3,0)/VLOOKUP(DIR_ATUAL[[#This Row],[CONDUTOR]],CABOS[],6,0))*(1+VLOOKUP(DIR_ATUAL[[#This Row],[CONDUTOR]],CABOS[],5,0)*(DIR_ATUAL[[#This Row],[T]]-20)),"")</f>
        <v/>
      </c>
      <c r="L17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17" s="63">
        <f>IFERROR(SUMIF(DIR_ATUAL[PONTO],DIR_ATUAL[[#This Row],[TRECHO]],DIR_ATUAL[Coluna1])+DIR_ATUAL[[#This Row],[QT-PONTO]],"")</f>
        <v/>
      </c>
      <c r="N17" s="57">
        <f>IFERROR(DIR_ATUAL[[#This Row],[Coluna1]]/T_LINHA_MONO,"")</f>
        <v/>
      </c>
      <c r="O17" s="55">
        <f>IFERROR(T_LINHA_MONO*(1-DIR_ATUAL[[#This Row],[QT %]]),"")</f>
        <v/>
      </c>
      <c r="P17" s="55">
        <f>IFERROR(T_LINHA_TRF*(1-DIR_ATUAL[[#This Row],[QT %]]),"")</f>
        <v/>
      </c>
      <c r="Q17" s="68">
        <f>IFERROR(IF(DIR_ATUAL[[#This Row],[PROTECAO]]="OK","Protecao OK","Ajustar Disj/Condutor"),"")</f>
        <v/>
      </c>
      <c r="R17" s="54">
        <f>IF(DIR_ATUAL[[#This Row],[ETA]]=1,"MONO",IF(DIR_ATUAL[[#This Row],[ETA]]=2,"BIF","TRI"))</f>
        <v/>
      </c>
      <c r="S17" s="54" t="n">
        <v>3</v>
      </c>
      <c r="T17" s="54">
        <f>"AEREO"</f>
        <v/>
      </c>
      <c r="U17" s="54">
        <f>30</f>
        <v/>
      </c>
      <c r="V17" s="54">
        <f>IFERROR(IF(DIR_ATUAL[[#This Row],[FASE]]="MONO",DIR_ATUAL[[#This Row],[ACUMULADA]]*1000/(T_LINHA_TRF*DIR_ATUAL[[#This Row],[ETA]]),DIR_ATUAL[[#This Row],[ACUMULADA]]*1000/(SQRT(3)*$P$7*DIR_ATUAL[[#This Row],[ETA]])),"")</f>
        <v/>
      </c>
      <c r="W17" s="54">
        <f>IFERROR(VLOOKUP(DIR_ATUAL[[#This Row],[Ib]],TabelaDisjuntores[],2,TRUE),"")</f>
        <v/>
      </c>
      <c r="X17" s="54">
        <f>IFERROR(VLOOKUP(DIR_ATUAL[[#This Row],[CONDUTOR]],CABOS[],2,0),0)</f>
        <v/>
      </c>
      <c r="Y17" s="54">
        <f>IF(AND(DIR_ATUAL[[#This Row],[Ib]]&lt;=DIR_ATUAL[[#This Row],[In]],DIR_ATUAL[[#This Row],[In]]&lt;=DIR_ATUAL[[#This Row],[Iz]]),"OK","VERIFICAR")</f>
        <v/>
      </c>
      <c r="Z17" s="110">
        <f>IFERROR(SQRT((DIR_ATUAL[[#This Row],[X]]-$AC$4)^2+(DIR_ATUAL[[#This Row],[Y]]-$AC$5)^2),0)</f>
        <v/>
      </c>
    </row>
    <row r="18">
      <c r="A18" s="54" t="inlineStr">
        <is>
          <t>RAMAL</t>
        </is>
      </c>
      <c r="B18" s="169" t="n">
        <v>9</v>
      </c>
      <c r="C18" s="54" t="n">
        <v>35</v>
      </c>
      <c r="D18" s="55">
        <f>IFERROR(IF(DIR_ATUAL[[#This Row],[PONTO]]="RAMAL","",VLOOKUP(DIR_ATUAL[[#This Row],[PONTO]],GERAL[],4,0)),"")</f>
        <v/>
      </c>
      <c r="E18" s="55">
        <f>IFERROR(IF(DIR_ATUAL[[#This Row],[PONTO]]="RAMAL","",VLOOKUP(DIR_ATUAL[[#This Row],[PONTO]],GERAL[],5,0)),"")</f>
        <v/>
      </c>
      <c r="F18" s="55">
        <f>IFERROR(IF(DIR_ATUAL[[#This Row],[PONTO]]="RAMAL",DMDI,VLOOKUP(DIR_ATUAL[[#This Row],[PONTO]],GERAL[],8,0)),"")</f>
        <v/>
      </c>
      <c r="G18" s="55">
        <f>IFERROR(IF(DIR_ATUAL[[#This Row],[PONTO]]="RAMAL",DIR_ATUAL[[#This Row],[KVA PONTO]],VLOOKUP(DIR_ATUAL[[#This Row],[PONTO]],GERAL[],9,0)),"")</f>
        <v/>
      </c>
      <c r="H18" s="175" t="inlineStr">
        <is>
          <t>16 Al_CONC_Tri</t>
        </is>
      </c>
      <c r="I18" s="61">
        <f>IFERROR(DIR_ATUAL[[#This Row],[Ib]],"")</f>
        <v/>
      </c>
      <c r="J18" s="61">
        <f>IFERROR(IFERROR(DIR_ATUAL[[#This Row],[ACUMULADA]]/((IF(DIR_ATUAL[[#This Row],[FASE]]="MONO",T_LINHA_MONO,IF(DIR_ATUAL[[#This Row],[FASE]]="BIF",T_LINHA_TRF,T_LINHA_TRF*SQRT(3)))/1000)*VLOOKUP(H18,CABOS[],9,0))+30,U18+60*(V18/X18)),"")</f>
        <v/>
      </c>
      <c r="K18" s="69">
        <f>IFERROR((VLOOKUP(DIR_ATUAL[[#This Row],[CONDUTOR]],CABOS[],3,0)/VLOOKUP(DIR_ATUAL[[#This Row],[CONDUTOR]],CABOS[],6,0))*(1+VLOOKUP(DIR_ATUAL[[#This Row],[CONDUTOR]],CABOS[],5,0)*(DIR_ATUAL[[#This Row],[T]]-20)),"")</f>
        <v/>
      </c>
      <c r="L18" s="62">
        <f>IFERROR(IF(DIR_ATUAL[[#This Row],[FASE]]="MONO",6,IF(DIR_ATUAL[[#This Row],[FASE]]="BIF",2,1))*DIR_ATUAL[[#This Row],[ACUMULADA]]*(SQRT(DIR_ATUAL[[#This Row],[R CORR]]^2+VLOOKUP(DIR_ATUAL[[#This Row],[CONDUTOR]],CABOS[],4,0)^2)/(($P$7^2)/100))*DIR_ATUAL[[#This Row],[M]]*T_LINHA_MONO/100+IF(DIR_ATUAL[[#This Row],[TRECHO]]=0,T_LINHA_MONO*QT_MTTR,0),"")</f>
        <v/>
      </c>
      <c r="M18" s="63">
        <f>IFERROR(SUMIF(DIR_ATUAL[PONTO],DIR_ATUAL[[#This Row],[TRECHO]],DIR_ATUAL[Coluna1])+DIR_ATUAL[[#This Row],[QT-PONTO]],"")</f>
        <v/>
      </c>
      <c r="N18" s="57">
        <f>IFERROR(DIR_ATUAL[[#This Row],[Coluna1]]/T_LINHA_MONO,"")</f>
        <v/>
      </c>
      <c r="O18" s="55">
        <f>IFERROR(T_LINHA_MONO*(1-DIR_ATUAL[[#This Row],[QT %]]),"")</f>
        <v/>
      </c>
      <c r="P18" s="55">
        <f>IFERROR(T_LINHA_TRF*(1-DIR_ATUAL[[#This Row],[QT %]]),"")</f>
        <v/>
      </c>
      <c r="Q18" s="68">
        <f>IFERROR(IF(DIR_ATUAL[[#This Row],[PROTECAO]]="OK","Protecao OK","Ajustar Disj/Condutor"),"")</f>
        <v/>
      </c>
      <c r="R18" s="54">
        <f>IF(DIR_ATUAL[[#This Row],[ETA]]=1,"MONO",IF(DIR_ATUAL[[#This Row],[ETA]]=2,"BIF","TRI"))</f>
        <v/>
      </c>
      <c r="S18" s="54" t="n">
        <v>3</v>
      </c>
      <c r="T18" s="107">
        <f>"AEREO"</f>
        <v/>
      </c>
      <c r="U18" s="95">
        <f>30</f>
        <v/>
      </c>
      <c r="V18" s="95">
        <f>IFERROR(IF(DIR_ATUAL[[#This Row],[FASE]]="MONO",DIR_ATUAL[[#This Row],[ACUMULADA]]*1000/(T_LINHA_TRF*DIR_ATUAL[[#This Row],[ETA]]),DIR_ATUAL[[#This Row],[ACUMULADA]]*1000/(SQRT(3)*$P$7*DIR_ATUAL[[#This Row],[ETA]])),"")</f>
        <v/>
      </c>
      <c r="W18" s="95">
        <f>IFERROR(VLOOKUP(DIR_ATUAL[[#This Row],[Ib]],TabelaDisjuntores[],2,TRUE),"")</f>
        <v/>
      </c>
      <c r="X18" s="95">
        <f>IFERROR(VLOOKUP(DIR_ATUAL[[#This Row],[CONDUTOR]],CABOS[],2,0),0)</f>
        <v/>
      </c>
      <c r="Y18" s="95">
        <f>IF(AND(DIR_ATUAL[[#This Row],[Ib]]&lt;=DIR_ATUAL[[#This Row],[In]],DIR_ATUAL[[#This Row],[In]]&lt;=DIR_ATUAL[[#This Row],[Iz]]),"OK","VERIFICAR")</f>
        <v/>
      </c>
      <c r="Z18" s="95">
        <f>IFERROR(SQRT((DIR_ATUAL[[#This Row],[X]]-$AC$4)^2+(DIR_ATUAL[[#This Row],[Y]]-$AC$5)^2),0)</f>
        <v/>
      </c>
    </row>
  </sheetData>
  <mergeCells count="21">
    <mergeCell ref="O5:O6"/>
    <mergeCell ref="Q5:Q6"/>
    <mergeCell ref="AB2:AC3"/>
    <mergeCell ref="B2:B3"/>
    <mergeCell ref="F5:F6"/>
    <mergeCell ref="D2:D3"/>
    <mergeCell ref="L5:L6"/>
    <mergeCell ref="N5:N6"/>
    <mergeCell ref="A2:A3"/>
    <mergeCell ref="C2:C3"/>
    <mergeCell ref="E2:E3"/>
    <mergeCell ref="I5:I6"/>
    <mergeCell ref="Z5:Z6"/>
    <mergeCell ref="A5:A6"/>
    <mergeCell ref="G5:G6"/>
    <mergeCell ref="S5:S6"/>
    <mergeCell ref="B5:B6"/>
    <mergeCell ref="H5:H6"/>
    <mergeCell ref="D5:E5"/>
    <mergeCell ref="C5:C6"/>
    <mergeCell ref="M5:M6"/>
  </mergeCells>
  <conditionalFormatting sqref="Q8:Y17">
    <cfRule type="cellIs" priority="1" operator="equal" dxfId="1">
      <formula>"Condutor Suporta Amperagem"</formula>
    </cfRule>
    <cfRule type="cellIs" priority="2" operator="equal" dxfId="0">
      <formula>"Condutor Sobrecarregado"</formula>
    </cfRule>
  </conditionalFormatting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425"/>
  <sheetViews>
    <sheetView showGridLines="0" zoomScale="85" zoomScaleNormal="85" workbookViewId="0">
      <pane ySplit="8" topLeftCell="A9" activePane="bottomLeft" state="frozen"/>
      <selection activeCell="A9" sqref="A9:A21"/>
      <selection pane="bottomLeft" activeCell="O3" sqref="O3"/>
    </sheetView>
  </sheetViews>
  <sheetFormatPr baseColWidth="8" defaultColWidth="14.77734375" defaultRowHeight="14.4"/>
  <cols>
    <col width="10.44140625" customWidth="1" style="184" min="1" max="1"/>
    <col width="11.44140625" customWidth="1" style="184" min="2" max="2"/>
    <col width="15.33203125" customWidth="1" style="184" min="3" max="3"/>
    <col width="11.109375" bestFit="1" customWidth="1" style="184" min="4" max="4"/>
    <col width="12.21875" bestFit="1" customWidth="1" style="184" min="5" max="5"/>
    <col width="7.88671875" customWidth="1" style="184" min="6" max="6"/>
    <col width="8.77734375" customWidth="1" style="184" min="7" max="7"/>
    <col width="10" customWidth="1" style="187" min="8" max="8"/>
    <col width="13.44140625" customWidth="1" style="187" min="9" max="9"/>
    <col hidden="1" width="14.77734375" customWidth="1" style="187" min="10" max="10"/>
    <col width="14.109375" customWidth="1" style="179" min="11" max="11"/>
    <col width="16.44140625" customWidth="1" style="179" min="12" max="12"/>
    <col width="15" bestFit="1" customWidth="1" style="179" min="13" max="13"/>
    <col width="1.88671875" customWidth="1" style="179" min="14" max="14"/>
  </cols>
  <sheetData>
    <row r="2">
      <c r="A2" s="183" t="inlineStr">
        <is>
          <t>ZNA 30460 - RUA JDÉCIO MUNIZ DA SILVA FILHO (ANTIGA 16 DE ABRIL) - CHAPERÓ - ITAGUAÍ RJ</t>
        </is>
      </c>
      <c r="H2" s="178" t="inlineStr">
        <is>
          <t>CLANDESTINO?</t>
        </is>
      </c>
      <c r="I2" s="201">
        <f>GERAL!I2</f>
        <v/>
      </c>
      <c r="K2" s="178" t="inlineStr">
        <is>
          <t>CONSIDERA CASAS COM:</t>
        </is>
      </c>
      <c r="L2" s="236">
        <f>GERAL!L2</f>
        <v/>
      </c>
      <c r="M2" s="178" t="inlineStr">
        <is>
          <t>RAMAL ESQ</t>
        </is>
      </c>
      <c r="O2" s="178" t="inlineStr">
        <is>
          <t>TRAFO</t>
        </is>
      </c>
      <c r="P2" s="201">
        <f>IF(O5&gt;O3,"SOBRECARGA","")</f>
        <v/>
      </c>
      <c r="Q2" s="178" t="inlineStr">
        <is>
          <t>CABO BT</t>
        </is>
      </c>
    </row>
    <row r="3">
      <c r="M3" s="243">
        <f>P31</f>
        <v/>
      </c>
      <c r="O3" s="172" t="n">
        <v>112.5</v>
      </c>
      <c r="Q3" s="128" t="inlineStr">
        <is>
          <t>70 Al - MX</t>
        </is>
      </c>
    </row>
    <row r="4">
      <c r="A4" s="3" t="n"/>
      <c r="B4" s="3" t="n"/>
      <c r="C4" s="3" t="n"/>
      <c r="D4" s="4" t="n"/>
      <c r="E4" s="3" t="n"/>
      <c r="F4" s="3" t="n"/>
      <c r="G4" s="3" t="n"/>
      <c r="J4" s="10" t="n"/>
      <c r="M4" s="178" t="inlineStr">
        <is>
          <t>RAMAL DIR</t>
        </is>
      </c>
      <c r="O4" s="178" t="inlineStr">
        <is>
          <t>DEMANDA</t>
        </is>
      </c>
      <c r="Q4" s="128" t="inlineStr">
        <is>
          <t>185 Al - MX</t>
        </is>
      </c>
    </row>
    <row r="5">
      <c r="A5" s="100" t="inlineStr">
        <is>
          <t>LEV 27/03/2026</t>
        </is>
      </c>
      <c r="B5" s="3" t="n"/>
      <c r="C5" s="3" t="inlineStr">
        <is>
          <t>EST 31/03/2026</t>
        </is>
      </c>
      <c r="D5" s="4" t="n"/>
      <c r="E5" s="3" t="n"/>
      <c r="F5" s="3" t="n"/>
      <c r="G5" s="3" t="n"/>
      <c r="J5" s="10" t="n"/>
      <c r="M5" s="243">
        <f>P32</f>
        <v/>
      </c>
      <c r="O5" s="93">
        <f>I9</f>
        <v/>
      </c>
      <c r="P5" s="141">
        <f>O5/0.85</f>
        <v/>
      </c>
      <c r="Q5" s="128" t="inlineStr">
        <is>
          <t>240 Al - MX</t>
        </is>
      </c>
    </row>
    <row r="6" ht="13.8" customFormat="1" customHeight="1" s="177">
      <c r="A6" s="180" t="inlineStr">
        <is>
          <t>PONTO</t>
        </is>
      </c>
      <c r="B6" s="180" t="inlineStr">
        <is>
          <t>TRECHO</t>
        </is>
      </c>
      <c r="C6" s="180" t="inlineStr">
        <is>
          <t>COMPRIMENTO</t>
        </is>
      </c>
      <c r="D6" s="181" t="inlineStr">
        <is>
          <t>COORDENADAS UTM</t>
        </is>
      </c>
      <c r="E6" s="182" t="n"/>
      <c r="F6" s="180" t="n"/>
      <c r="G6" s="180" t="n"/>
      <c r="H6" s="176" t="inlineStr">
        <is>
          <t>CARGA PONTO</t>
        </is>
      </c>
      <c r="I6" s="176" t="inlineStr">
        <is>
          <t>ACUMULADA</t>
        </is>
      </c>
      <c r="J6" s="176" t="inlineStr">
        <is>
          <t>DIST ATÉ O CENTRO DE CARGA</t>
        </is>
      </c>
      <c r="K6" s="176" t="n"/>
      <c r="L6" s="178" t="n"/>
      <c r="M6" s="178" t="n"/>
      <c r="O6" s="115">
        <f>O5/O3</f>
        <v/>
      </c>
      <c r="P6" s="64" t="n"/>
      <c r="Q6" s="128" t="inlineStr">
        <is>
          <t>53 Al - QX</t>
        </is>
      </c>
    </row>
    <row r="7" ht="13.8" customFormat="1" customHeight="1" s="177">
      <c r="B7" s="178" t="inlineStr">
        <is>
          <t>MONTATE</t>
        </is>
      </c>
      <c r="C7" s="178" t="inlineStr">
        <is>
          <t>metros</t>
        </is>
      </c>
      <c r="D7" s="180" t="inlineStr">
        <is>
          <t>LONG</t>
        </is>
      </c>
      <c r="E7" s="180" t="inlineStr">
        <is>
          <t>LAT</t>
        </is>
      </c>
      <c r="F7" s="78" t="n"/>
      <c r="G7" s="78" t="n"/>
      <c r="L7" s="178" t="n"/>
      <c r="M7" s="178" t="n"/>
    </row>
    <row r="8" ht="21.6" customFormat="1" customHeight="1" s="5">
      <c r="A8" s="97" t="inlineStr">
        <is>
          <t>PONTO</t>
        </is>
      </c>
      <c r="B8" s="98" t="inlineStr">
        <is>
          <t>TRECHO</t>
        </is>
      </c>
      <c r="C8" s="98" t="inlineStr">
        <is>
          <t>M</t>
        </is>
      </c>
      <c r="D8" s="97" t="inlineStr">
        <is>
          <t>X</t>
        </is>
      </c>
      <c r="E8" s="97" t="inlineStr">
        <is>
          <t>Y</t>
        </is>
      </c>
      <c r="F8" s="96" t="inlineStr">
        <is>
          <t>CLIENTES</t>
        </is>
      </c>
      <c r="G8" s="96" t="inlineStr">
        <is>
          <t>CLT ACUMULADO</t>
        </is>
      </c>
      <c r="H8" s="96" t="inlineStr">
        <is>
          <t>TOTAL DO TRECHO</t>
        </is>
      </c>
      <c r="I8" s="98" t="inlineStr">
        <is>
          <t>ACUMULADA</t>
        </is>
      </c>
      <c r="J8" s="98" t="inlineStr">
        <is>
          <t>SNAP</t>
        </is>
      </c>
      <c r="K8" s="96" t="inlineStr">
        <is>
          <t>LADO</t>
        </is>
      </c>
      <c r="L8" s="96" t="inlineStr">
        <is>
          <t>CONDUTOR</t>
        </is>
      </c>
      <c r="M8" s="96" t="inlineStr">
        <is>
          <t>CQT NO PONTO</t>
        </is>
      </c>
    </row>
    <row r="9" customFormat="1" s="6">
      <c r="A9" s="168" t="n">
        <v>11</v>
      </c>
      <c r="B9" s="168" t="n">
        <v>0</v>
      </c>
      <c r="C9" s="168" t="n">
        <v>4</v>
      </c>
      <c r="D9" s="125">
        <f>IFERROR(VLOOKUP(GERAL_PROJ[[#This Row],[PONTO]],Tabela13[],2,0),"")</f>
        <v/>
      </c>
      <c r="E9" s="125">
        <f>IFERROR(VLOOKUP(GERAL_PROJ[[#This Row],[PONTO]],Tabela13[],3,0),"")</f>
        <v/>
      </c>
      <c r="F9" s="126">
        <f>IFERROR(VLOOKUP(GERAL_PROJ[[#This Row],[PONTO]],RAMAIS_ATUAL,24,0),"")</f>
        <v/>
      </c>
      <c r="G9" s="126">
        <f>IFERROR(SUMIF(GERAL_PROJ[TRECHO],GERAL_PROJ[[#This Row],[PONTO]],GERAL_PROJ[CLT ACUMULADO])+GERAL_PROJ[[#This Row],[CLIENTES]],"")</f>
        <v/>
      </c>
      <c r="H9" s="127">
        <f>IFERROR(VLOOKUP(GERAL_PROJ[[#This Row],[PONTO]],RAMAIS_ATUAL,IF($I$2="SIM",25,23),0),"")</f>
        <v/>
      </c>
      <c r="I9" s="127">
        <f>IFERROR(IF($I$2="SIM",VLOOKUP(GERAL_PROJ[[#This Row],[CLT ACUMULADO]],AUX_CLAN,4,0),SUMIF(GERAL_PROJ[TRECHO],GERAL_PROJ[[#This Row],[PONTO]],GERAL_PROJ[ACUMULADA])+GERAL_PROJ[[#This Row],[TOTAL DO TRECHO]]),"")</f>
        <v/>
      </c>
      <c r="J9" s="127">
        <f>IFERROR(SQRT((GERAL_PROJ[[#This Row],[X]]-$P$11)^2+(GERAL_PROJ[[#This Row],[Y]]-$P$12)^2),"")</f>
        <v/>
      </c>
      <c r="K9" s="168" t="inlineStr">
        <is>
          <t>TRAFO</t>
        </is>
      </c>
      <c r="L9" s="170" t="inlineStr">
        <is>
          <t>240 Al</t>
        </is>
      </c>
      <c r="M9" s="125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9" s="190" t="inlineStr">
        <is>
          <t>CENTRO DE CARGA</t>
        </is>
      </c>
      <c r="P9" s="191" t="n"/>
    </row>
    <row r="10">
      <c r="A10" s="169" t="n">
        <v>12</v>
      </c>
      <c r="B10" s="169" t="n">
        <v>11</v>
      </c>
      <c r="C10" s="169" t="n">
        <v>30</v>
      </c>
      <c r="D10" s="128">
        <f>IFERROR(VLOOKUP(GERAL_PROJ[[#This Row],[PONTO]],Tabela13[],2,0),"")</f>
        <v/>
      </c>
      <c r="E10" s="128">
        <f>IFERROR(VLOOKUP(GERAL_PROJ[[#This Row],[PONTO]],Tabela13[],3,0),"")</f>
        <v/>
      </c>
      <c r="F10" s="129">
        <f>IFERROR(VLOOKUP(GERAL_PROJ[[#This Row],[PONTO]],RAMAIS_ATUAL,24,0),"")</f>
        <v/>
      </c>
      <c r="G10" s="129">
        <f>IFERROR(SUMIF(GERAL_PROJ[TRECHO],GERAL_PROJ[[#This Row],[PONTO]],GERAL_PROJ[CLT ACUMULADO])+GERAL_PROJ[[#This Row],[CLIENTES]],"")</f>
        <v/>
      </c>
      <c r="H10" s="55">
        <f>IFERROR(VLOOKUP(GERAL_PROJ[[#This Row],[PONTO]],RAMAIS_ATUAL,IF($I$2="SIM",25,23),0),"")</f>
        <v/>
      </c>
      <c r="I10" s="55">
        <f>IFERROR(IF($I$2="SIM",VLOOKUP(GERAL_PROJ[[#This Row],[CLT ACUMULADO]],AUX_CLAN,4,0),SUMIF(GERAL_PROJ[TRECHO],GERAL_PROJ[[#This Row],[PONTO]],GERAL_PROJ[ACUMULADA])+GERAL_PROJ[[#This Row],[TOTAL DO TRECHO]]),"")</f>
        <v/>
      </c>
      <c r="J10" s="55">
        <f>IFERROR(SQRT((GERAL_PROJ[[#This Row],[X]]-$P$11)^2+(GERAL_PROJ[[#This Row],[Y]]-$P$12)^2),"")</f>
        <v/>
      </c>
      <c r="K10" s="169" t="inlineStr">
        <is>
          <t>DIREITO</t>
        </is>
      </c>
      <c r="L10" s="171" t="inlineStr">
        <is>
          <t>185 Al - MX</t>
        </is>
      </c>
      <c r="M10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10" s="192" t="n"/>
      <c r="P10" s="192" t="n"/>
    </row>
    <row r="11" customFormat="1" s="6">
      <c r="A11" s="169" t="n">
        <v>13</v>
      </c>
      <c r="B11" s="169" t="n">
        <v>12</v>
      </c>
      <c r="C11" s="169" t="n">
        <v>36</v>
      </c>
      <c r="D11" s="128">
        <f>IFERROR(VLOOKUP(GERAL_PROJ[[#This Row],[PONTO]],Tabela13[],2,0),"")</f>
        <v/>
      </c>
      <c r="E11" s="128">
        <f>IFERROR(VLOOKUP(GERAL_PROJ[[#This Row],[PONTO]],Tabela13[],3,0),"")</f>
        <v/>
      </c>
      <c r="F11" s="129">
        <f>IFERROR(VLOOKUP(GERAL_PROJ[[#This Row],[PONTO]],RAMAIS_ATUAL,24,0),"")</f>
        <v/>
      </c>
      <c r="G11" s="129">
        <f>IFERROR(SUMIF(GERAL_PROJ[TRECHO],GERAL_PROJ[[#This Row],[PONTO]],GERAL_PROJ[CLT ACUMULADO])+GERAL_PROJ[[#This Row],[CLIENTES]],"")</f>
        <v/>
      </c>
      <c r="H11" s="55">
        <f>IFERROR(VLOOKUP(GERAL_PROJ[[#This Row],[PONTO]],RAMAIS_ATUAL,IF($I$2="SIM",25,23),0),"")</f>
        <v/>
      </c>
      <c r="I11" s="55">
        <f>IFERROR(IF($I$2="SIM",VLOOKUP(GERAL_PROJ[[#This Row],[CLT ACUMULADO]],AUX_CLAN,4,0),SUMIF(GERAL_PROJ[TRECHO],GERAL_PROJ[[#This Row],[PONTO]],GERAL_PROJ[ACUMULADA])+GERAL_PROJ[[#This Row],[TOTAL DO TRECHO]]),"")</f>
        <v/>
      </c>
      <c r="J11" s="55">
        <f>IFERROR(SQRT((GERAL_PROJ[[#This Row],[X]]-$P$11)^2+(GERAL_PROJ[[#This Row],[Y]]-$P$12)^2),"")</f>
        <v/>
      </c>
      <c r="K11" s="169" t="inlineStr">
        <is>
          <t>DIREITO</t>
        </is>
      </c>
      <c r="L11" s="171" t="inlineStr">
        <is>
          <t>70 Al - MX</t>
        </is>
      </c>
      <c r="M11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11" s="196" t="inlineStr">
        <is>
          <t>X</t>
        </is>
      </c>
      <c r="P11" s="188">
        <f>IFERROR(SUMPRODUCT(GERAL[TOTAL DO TRECHO],GERAL[X])/SUM(GERAL[TOTAL DO TRECHO]),"INSERIR DADOS")</f>
        <v/>
      </c>
    </row>
    <row r="12">
      <c r="A12" s="169" t="n">
        <v>14</v>
      </c>
      <c r="B12" s="169" t="n">
        <v>13</v>
      </c>
      <c r="C12" s="169" t="n">
        <v>36</v>
      </c>
      <c r="D12" s="128">
        <f>IFERROR(VLOOKUP(GERAL_PROJ[[#This Row],[PONTO]],Tabela13[],2,0),"")</f>
        <v/>
      </c>
      <c r="E12" s="128">
        <f>IFERROR(VLOOKUP(GERAL_PROJ[[#This Row],[PONTO]],Tabela13[],3,0),"")</f>
        <v/>
      </c>
      <c r="F12" s="129">
        <f>IFERROR(VLOOKUP(GERAL_PROJ[[#This Row],[PONTO]],RAMAIS_ATUAL,24,0),"")</f>
        <v/>
      </c>
      <c r="G12" s="129">
        <f>IFERROR(SUMIF(GERAL_PROJ[TRECHO],GERAL_PROJ[[#This Row],[PONTO]],GERAL_PROJ[CLT ACUMULADO])+GERAL_PROJ[[#This Row],[CLIENTES]],"")</f>
        <v/>
      </c>
      <c r="H12" s="55">
        <f>IFERROR(VLOOKUP(GERAL_PROJ[[#This Row],[PONTO]],RAMAIS_ATUAL,IF($I$2="SIM",25,23),0),"")</f>
        <v/>
      </c>
      <c r="I12" s="55">
        <f>IFERROR(IF($I$2="SIM",VLOOKUP(GERAL_PROJ[[#This Row],[CLT ACUMULADO]],AUX_CLAN,4,0),SUMIF(GERAL_PROJ[TRECHO],GERAL_PROJ[[#This Row],[PONTO]],GERAL_PROJ[ACUMULADA])+GERAL_PROJ[[#This Row],[TOTAL DO TRECHO]]),"")</f>
        <v/>
      </c>
      <c r="J12" s="55">
        <f>IFERROR(SQRT((GERAL_PROJ[[#This Row],[X]]-$P$11)^2+(GERAL_PROJ[[#This Row],[Y]]-$P$12)^2),"")</f>
        <v/>
      </c>
      <c r="K12" s="169" t="inlineStr">
        <is>
          <t>DIREITO</t>
        </is>
      </c>
      <c r="L12" s="171" t="inlineStr">
        <is>
          <t>70 Al - MX</t>
        </is>
      </c>
      <c r="M12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12" s="12" t="inlineStr">
        <is>
          <t>Y</t>
        </is>
      </c>
      <c r="P12" s="188">
        <f>IFERROR(SUMPRODUCT(GERAL[ACUMULADA],GERAL[Y])/SUM(GERAL[ACUMULADA]),"INSERIR DADOS")</f>
        <v/>
      </c>
    </row>
    <row r="13" customFormat="1" s="6">
      <c r="A13" s="169" t="n">
        <v>15</v>
      </c>
      <c r="B13" s="169" t="n">
        <v>14</v>
      </c>
      <c r="C13" s="169" t="n">
        <v>38</v>
      </c>
      <c r="D13" s="128">
        <f>IFERROR(VLOOKUP(GERAL_PROJ[[#This Row],[PONTO]],Tabela13[],2,0),"")</f>
        <v/>
      </c>
      <c r="E13" s="128">
        <f>IFERROR(VLOOKUP(GERAL_PROJ[[#This Row],[PONTO]],Tabela13[],3,0),"")</f>
        <v/>
      </c>
      <c r="F13" s="129">
        <f>IFERROR(VLOOKUP(GERAL_PROJ[[#This Row],[PONTO]],RAMAIS_ATUAL,24,0),"")</f>
        <v/>
      </c>
      <c r="G13" s="129">
        <f>IFERROR(SUMIF(GERAL_PROJ[TRECHO],GERAL_PROJ[[#This Row],[PONTO]],GERAL_PROJ[CLT ACUMULADO])+GERAL_PROJ[[#This Row],[CLIENTES]],"")</f>
        <v/>
      </c>
      <c r="H13" s="55">
        <f>IFERROR(VLOOKUP(GERAL_PROJ[[#This Row],[PONTO]],RAMAIS_ATUAL,IF($I$2="SIM",25,23),0),"")</f>
        <v/>
      </c>
      <c r="I13" s="55">
        <f>IFERROR(IF($I$2="SIM",VLOOKUP(GERAL_PROJ[[#This Row],[CLT ACUMULADO]],AUX_CLAN,4,0),SUMIF(GERAL_PROJ[TRECHO],GERAL_PROJ[[#This Row],[PONTO]],GERAL_PROJ[ACUMULADA])+GERAL_PROJ[[#This Row],[TOTAL DO TRECHO]]),"")</f>
        <v/>
      </c>
      <c r="J13" s="55">
        <f>IFERROR(SQRT((GERAL_PROJ[[#This Row],[X]]-$P$11)^2+(GERAL_PROJ[[#This Row],[Y]]-$P$12)^2),"")</f>
        <v/>
      </c>
      <c r="K13" s="169" t="inlineStr">
        <is>
          <t>DIREITO</t>
        </is>
      </c>
      <c r="L13" s="171" t="inlineStr">
        <is>
          <t>70 Al - MX</t>
        </is>
      </c>
      <c r="M13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</row>
    <row r="14">
      <c r="A14" s="169" t="n">
        <v>10</v>
      </c>
      <c r="B14" s="169" t="n">
        <v>11</v>
      </c>
      <c r="C14" s="169" t="n">
        <v>36</v>
      </c>
      <c r="D14" s="128">
        <f>IFERROR(VLOOKUP(GERAL_PROJ[[#This Row],[PONTO]],Tabela13[],2,0),"")</f>
        <v/>
      </c>
      <c r="E14" s="128">
        <f>IFERROR(VLOOKUP(GERAL_PROJ[[#This Row],[PONTO]],Tabela13[],3,0),"")</f>
        <v/>
      </c>
      <c r="F14" s="129">
        <f>IFERROR(VLOOKUP(GERAL_PROJ[[#This Row],[PONTO]],RAMAIS_ATUAL,24,0),"")</f>
        <v/>
      </c>
      <c r="G14" s="129">
        <f>IFERROR(SUMIF(GERAL_PROJ[TRECHO],GERAL_PROJ[[#This Row],[PONTO]],GERAL_PROJ[CLT ACUMULADO])+GERAL_PROJ[[#This Row],[CLIENTES]],"")</f>
        <v/>
      </c>
      <c r="H14" s="55">
        <f>IFERROR(VLOOKUP(GERAL_PROJ[[#This Row],[PONTO]],RAMAIS_ATUAL,IF($I$2="SIM",25,23),0),"")</f>
        <v/>
      </c>
      <c r="I14" s="55">
        <f>IFERROR(IF($I$2="SIM",VLOOKUP(GERAL_PROJ[[#This Row],[CLT ACUMULADO]],AUX_CLAN,4,0),SUMIF(GERAL_PROJ[TRECHO],GERAL_PROJ[[#This Row],[PONTO]],GERAL_PROJ[ACUMULADA])+GERAL_PROJ[[#This Row],[TOTAL DO TRECHO]]),"")</f>
        <v/>
      </c>
      <c r="J14" s="55">
        <f>IFERROR(SQRT((GERAL_PROJ[[#This Row],[X]]-$P$11)^2+(GERAL_PROJ[[#This Row],[Y]]-$P$12)^2),"")</f>
        <v/>
      </c>
      <c r="K14" s="169" t="inlineStr">
        <is>
          <t>ESQUERDO</t>
        </is>
      </c>
      <c r="L14" s="171" t="inlineStr">
        <is>
          <t>185 Al - MX</t>
        </is>
      </c>
      <c r="M14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14" s="190" t="inlineStr">
        <is>
          <t>POSTE IDEAL</t>
        </is>
      </c>
      <c r="P14" s="191" t="n"/>
    </row>
    <row r="15" customFormat="1" s="6">
      <c r="A15" s="169" t="n">
        <v>4</v>
      </c>
      <c r="B15" s="169" t="n">
        <v>10</v>
      </c>
      <c r="C15" s="169" t="n">
        <v>34</v>
      </c>
      <c r="D15" s="128">
        <f>IFERROR(VLOOKUP(GERAL_PROJ[[#This Row],[PONTO]],Tabela13[],2,0),"")</f>
        <v/>
      </c>
      <c r="E15" s="128">
        <f>IFERROR(VLOOKUP(GERAL_PROJ[[#This Row],[PONTO]],Tabela13[],3,0),"")</f>
        <v/>
      </c>
      <c r="F15" s="129">
        <f>IFERROR(VLOOKUP(GERAL_PROJ[[#This Row],[PONTO]],RAMAIS_ATUAL,24,0),"")</f>
        <v/>
      </c>
      <c r="G15" s="129">
        <f>IFERROR(SUMIF(GERAL_PROJ[TRECHO],GERAL_PROJ[[#This Row],[PONTO]],GERAL_PROJ[CLT ACUMULADO])+GERAL_PROJ[[#This Row],[CLIENTES]],"")</f>
        <v/>
      </c>
      <c r="H15" s="55">
        <f>IFERROR(VLOOKUP(GERAL_PROJ[[#This Row],[PONTO]],RAMAIS_ATUAL,IF($I$2="SIM",25,23),0),"")</f>
        <v/>
      </c>
      <c r="I15" s="55">
        <f>IFERROR(IF($I$2="SIM",VLOOKUP(GERAL_PROJ[[#This Row],[CLT ACUMULADO]],AUX_CLAN,4,0),SUMIF(GERAL_PROJ[TRECHO],GERAL_PROJ[[#This Row],[PONTO]],GERAL_PROJ[ACUMULADA])+GERAL_PROJ[[#This Row],[TOTAL DO TRECHO]]),"")</f>
        <v/>
      </c>
      <c r="J15" s="55">
        <f>IFERROR(SQRT((GERAL_PROJ[[#This Row],[X]]-$P$11)^2+(GERAL_PROJ[[#This Row],[Y]]-$P$12)^2),"")</f>
        <v/>
      </c>
      <c r="K15" s="169" t="inlineStr">
        <is>
          <t>ESQUERDO</t>
        </is>
      </c>
      <c r="L15" s="171" t="inlineStr">
        <is>
          <t>70 Al - MX</t>
        </is>
      </c>
      <c r="M15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15" s="192" t="n"/>
      <c r="P15" s="192" t="n"/>
    </row>
    <row r="16">
      <c r="A16" s="169" t="n">
        <v>3</v>
      </c>
      <c r="B16" s="169" t="n">
        <v>4</v>
      </c>
      <c r="C16" s="169" t="n">
        <v>34</v>
      </c>
      <c r="D16" s="128">
        <f>IFERROR(VLOOKUP(GERAL_PROJ[[#This Row],[PONTO]],Tabela13[],2,0),"")</f>
        <v/>
      </c>
      <c r="E16" s="128">
        <f>IFERROR(VLOOKUP(GERAL_PROJ[[#This Row],[PONTO]],Tabela13[],3,0),"")</f>
        <v/>
      </c>
      <c r="F16" s="129">
        <f>IFERROR(VLOOKUP(GERAL_PROJ[[#This Row],[PONTO]],RAMAIS_ATUAL,24,0),"")</f>
        <v/>
      </c>
      <c r="G16" s="129">
        <f>IFERROR(SUMIF(GERAL_PROJ[TRECHO],GERAL_PROJ[[#This Row],[PONTO]],GERAL_PROJ[CLT ACUMULADO])+GERAL_PROJ[[#This Row],[CLIENTES]],"")</f>
        <v/>
      </c>
      <c r="H16" s="55">
        <f>IFERROR(VLOOKUP(GERAL_PROJ[[#This Row],[PONTO]],RAMAIS_ATUAL,IF($I$2="SIM",25,23),0),"")</f>
        <v/>
      </c>
      <c r="I16" s="55">
        <f>IFERROR(IF($I$2="SIM",VLOOKUP(GERAL_PROJ[[#This Row],[CLT ACUMULADO]],AUX_CLAN,4,0),SUMIF(GERAL_PROJ[TRECHO],GERAL_PROJ[[#This Row],[PONTO]],GERAL_PROJ[ACUMULADA])+GERAL_PROJ[[#This Row],[TOTAL DO TRECHO]]),"")</f>
        <v/>
      </c>
      <c r="J16" s="55">
        <f>IFERROR(SQRT((GERAL_PROJ[[#This Row],[X]]-$P$11)^2+(GERAL_PROJ[[#This Row],[Y]]-$P$12)^2),"")</f>
        <v/>
      </c>
      <c r="K16" s="169" t="inlineStr">
        <is>
          <t>ESQUERDO</t>
        </is>
      </c>
      <c r="L16" s="171" t="inlineStr">
        <is>
          <t>70 Al - MX</t>
        </is>
      </c>
      <c r="M16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16" s="196">
        <f>INDEX(GERAL_PROJ[PONTO],MATCH(MIN(GERAL_PROJ[SNAP]),GERAL_PROJ[SNAP],0))</f>
        <v/>
      </c>
      <c r="P16" s="189" t="n"/>
      <c r="R16" s="6" t="n"/>
    </row>
    <row r="17" customFormat="1" s="6">
      <c r="A17" s="169" t="n"/>
      <c r="B17" s="169" t="n"/>
      <c r="C17" s="169" t="n"/>
      <c r="D17" s="128">
        <f>IFERROR(VLOOKUP(GERAL_PROJ[[#This Row],[PONTO]],Tabela13[],2,0),"")</f>
        <v/>
      </c>
      <c r="E17" s="128">
        <f>IFERROR(VLOOKUP(GERAL_PROJ[[#This Row],[PONTO]],Tabela13[],3,0),"")</f>
        <v/>
      </c>
      <c r="F17" s="129">
        <f>IFERROR(VLOOKUP(GERAL_PROJ[[#This Row],[PONTO]],RAMAIS_ATUAL,24,0),"")</f>
        <v/>
      </c>
      <c r="G17" s="129">
        <f>IFERROR(SUMIF(GERAL_PROJ[TRECHO],GERAL_PROJ[[#This Row],[PONTO]],GERAL_PROJ[CLT ACUMULADO])+GERAL_PROJ[[#This Row],[CLIENTES]],"")</f>
        <v/>
      </c>
      <c r="H17" s="55">
        <f>IFERROR(VLOOKUP(GERAL_PROJ[[#This Row],[PONTO]],RAMAIS_ATUAL,IF($I$2="SIM",25,23),0),"")</f>
        <v/>
      </c>
      <c r="I17" s="55">
        <f>IFERROR(IF($I$2="SIM",VLOOKUP(GERAL_PROJ[[#This Row],[CLT ACUMULADO]],AUX_CLAN,4,0),SUMIF(GERAL_PROJ[TRECHO],GERAL_PROJ[[#This Row],[PONTO]],GERAL_PROJ[ACUMULADA])+GERAL_PROJ[[#This Row],[TOTAL DO TRECHO]]),"")</f>
        <v/>
      </c>
      <c r="J17" s="55">
        <f>IFERROR(SQRT((GERAL_PROJ[[#This Row],[X]]-$P$11)^2+(GERAL_PROJ[[#This Row],[Y]]-$P$12)^2),"")</f>
        <v/>
      </c>
      <c r="K17" s="169" t="n"/>
      <c r="L17" s="171" t="n"/>
      <c r="M17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</row>
    <row r="18">
      <c r="A18" s="169" t="n"/>
      <c r="B18" s="169" t="n"/>
      <c r="C18" s="169" t="n"/>
      <c r="D18" s="128">
        <f>IFERROR(VLOOKUP(GERAL_PROJ[[#This Row],[PONTO]],Tabela13[],2,0),"")</f>
        <v/>
      </c>
      <c r="E18" s="128">
        <f>IFERROR(VLOOKUP(GERAL_PROJ[[#This Row],[PONTO]],Tabela13[],3,0),"")</f>
        <v/>
      </c>
      <c r="F18" s="129">
        <f>IFERROR(VLOOKUP(GERAL_PROJ[[#This Row],[PONTO]],RAMAIS_ATUAL,24,0),"")</f>
        <v/>
      </c>
      <c r="G18" s="129">
        <f>IFERROR(SUMIF(GERAL_PROJ[TRECHO],GERAL_PROJ[[#This Row],[PONTO]],GERAL_PROJ[CLT ACUMULADO])+GERAL_PROJ[[#This Row],[CLIENTES]],"")</f>
        <v/>
      </c>
      <c r="H18" s="55">
        <f>IFERROR(VLOOKUP(GERAL_PROJ[[#This Row],[PONTO]],RAMAIS_ATUAL,IF($I$2="SIM",25,23),0),"")</f>
        <v/>
      </c>
      <c r="I18" s="55">
        <f>IFERROR(IF($I$2="SIM",VLOOKUP(GERAL_PROJ[[#This Row],[CLT ACUMULADO]],AUX_CLAN,4,0),SUMIF(GERAL_PROJ[TRECHO],GERAL_PROJ[[#This Row],[PONTO]],GERAL_PROJ[ACUMULADA])+GERAL_PROJ[[#This Row],[TOTAL DO TRECHO]]),"")</f>
        <v/>
      </c>
      <c r="J18" s="55">
        <f>IFERROR(SQRT((GERAL_PROJ[[#This Row],[X]]-$P$11)^2+(GERAL_PROJ[[#This Row],[Y]]-$P$12)^2),"")</f>
        <v/>
      </c>
      <c r="K18" s="169" t="n"/>
      <c r="L18" s="171" t="n"/>
      <c r="M18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18" s="200" t="inlineStr">
        <is>
          <t>SUB-CIRCUITOS SUGERIDOS</t>
        </is>
      </c>
      <c r="P18" s="191" t="n"/>
    </row>
    <row r="19" customFormat="1" s="6">
      <c r="A19" s="169" t="n"/>
      <c r="B19" s="169" t="n"/>
      <c r="C19" s="169" t="n"/>
      <c r="D19" s="128">
        <f>IFERROR(VLOOKUP(GERAL_PROJ[[#This Row],[PONTO]],Tabela13[],2,0),"")</f>
        <v/>
      </c>
      <c r="E19" s="128">
        <f>IFERROR(VLOOKUP(GERAL_PROJ[[#This Row],[PONTO]],Tabela13[],3,0),"")</f>
        <v/>
      </c>
      <c r="F19" s="129">
        <f>IFERROR(VLOOKUP(GERAL_PROJ[[#This Row],[PONTO]],RAMAIS_ATUAL,24,0),"")</f>
        <v/>
      </c>
      <c r="G19" s="129">
        <f>IFERROR(SUMIF(GERAL_PROJ[TRECHO],GERAL_PROJ[[#This Row],[PONTO]],GERAL_PROJ[CLT ACUMULADO])+GERAL_PROJ[[#This Row],[CLIENTES]],"")</f>
        <v/>
      </c>
      <c r="H19" s="55">
        <f>IFERROR(VLOOKUP(GERAL_PROJ[[#This Row],[PONTO]],RAMAIS_ATUAL,IF($I$2="SIM",25,23),0),"")</f>
        <v/>
      </c>
      <c r="I19" s="55">
        <f>IFERROR(IF($I$2="SIM",VLOOKUP(GERAL_PROJ[[#This Row],[CLT ACUMULADO]],AUX_CLAN,4,0),SUMIF(GERAL_PROJ[TRECHO],GERAL_PROJ[[#This Row],[PONTO]],GERAL_PROJ[ACUMULADA])+GERAL_PROJ[[#This Row],[TOTAL DO TRECHO]]),"")</f>
        <v/>
      </c>
      <c r="J19" s="55">
        <f>IFERROR(SQRT((GERAL_PROJ[[#This Row],[X]]-$P$11)^2+(GERAL_PROJ[[#This Row],[Y]]-$P$12)^2),"")</f>
        <v/>
      </c>
      <c r="K19" s="169" t="n"/>
      <c r="L19" s="171" t="n"/>
      <c r="M19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19" s="192" t="n"/>
      <c r="P19" s="192" t="n"/>
    </row>
    <row r="20">
      <c r="A20" s="169" t="n"/>
      <c r="B20" s="169" t="n"/>
      <c r="C20" s="169" t="n"/>
      <c r="D20" s="128">
        <f>IFERROR(VLOOKUP(GERAL_PROJ[[#This Row],[PONTO]],Tabela13[],2,0),"")</f>
        <v/>
      </c>
      <c r="E20" s="128">
        <f>IFERROR(VLOOKUP(GERAL_PROJ[[#This Row],[PONTO]],Tabela13[],3,0),"")</f>
        <v/>
      </c>
      <c r="F20" s="129">
        <f>IFERROR(VLOOKUP(GERAL_PROJ[[#This Row],[PONTO]],RAMAIS_ATUAL,24,0),"")</f>
        <v/>
      </c>
      <c r="G20" s="129">
        <f>IFERROR(SUMIF(GERAL_PROJ[TRECHO],GERAL_PROJ[[#This Row],[PONTO]],GERAL_PROJ[CLT ACUMULADO])+GERAL_PROJ[[#This Row],[CLIENTES]],"")</f>
        <v/>
      </c>
      <c r="H20" s="55">
        <f>IFERROR(VLOOKUP(GERAL_PROJ[[#This Row],[PONTO]],RAMAIS_ATUAL,IF($I$2="SIM",25,23),0),"")</f>
        <v/>
      </c>
      <c r="I20" s="55">
        <f>IFERROR(IF($I$2="SIM",VLOOKUP(GERAL_PROJ[[#This Row],[CLT ACUMULADO]],AUX_CLAN,4,0),SUMIF(GERAL_PROJ[TRECHO],GERAL_PROJ[[#This Row],[PONTO]],GERAL_PROJ[ACUMULADA])+GERAL_PROJ[[#This Row],[TOTAL DO TRECHO]]),"")</f>
        <v/>
      </c>
      <c r="J20" s="55">
        <f>IFERROR(SQRT((GERAL_PROJ[[#This Row],[X]]-$P$11)^2+(GERAL_PROJ[[#This Row],[Y]]-$P$12)^2),"")</f>
        <v/>
      </c>
      <c r="K20" s="169" t="n"/>
      <c r="L20" s="171" t="n"/>
      <c r="M20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20" s="193">
        <f>O25/400</f>
        <v/>
      </c>
      <c r="P20" s="189" t="n"/>
    </row>
    <row r="21" customFormat="1" s="6">
      <c r="A21" s="169" t="n"/>
      <c r="B21" s="169" t="n"/>
      <c r="C21" s="169" t="n"/>
      <c r="D21" s="128">
        <f>IFERROR(VLOOKUP(GERAL_PROJ[[#This Row],[PONTO]],Tabela13[],2,0),"")</f>
        <v/>
      </c>
      <c r="E21" s="128">
        <f>IFERROR(VLOOKUP(GERAL_PROJ[[#This Row],[PONTO]],Tabela13[],3,0),"")</f>
        <v/>
      </c>
      <c r="F21" s="129">
        <f>IFERROR(VLOOKUP(GERAL_PROJ[[#This Row],[PONTO]],RAMAIS_ATUAL,24,0),"")</f>
        <v/>
      </c>
      <c r="G21" s="129">
        <f>IFERROR(SUMIF(GERAL_PROJ[TRECHO],GERAL_PROJ[[#This Row],[PONTO]],GERAL_PROJ[CLT ACUMULADO])+GERAL_PROJ[[#This Row],[CLIENTES]],"")</f>
        <v/>
      </c>
      <c r="H21" s="55">
        <f>IFERROR(VLOOKUP(GERAL_PROJ[[#This Row],[PONTO]],RAMAIS_ATUAL,IF($I$2="SIM",25,23),0),"")</f>
        <v/>
      </c>
      <c r="I21" s="55">
        <f>IFERROR(IF($I$2="SIM",VLOOKUP(GERAL_PROJ[[#This Row],[CLT ACUMULADO]],AUX_CLAN,4,0),SUMIF(GERAL_PROJ[TRECHO],GERAL_PROJ[[#This Row],[PONTO]],GERAL_PROJ[ACUMULADA])+GERAL_PROJ[[#This Row],[TOTAL DO TRECHO]]),"")</f>
        <v/>
      </c>
      <c r="J21" s="55">
        <f>IFERROR(SQRT((GERAL_PROJ[[#This Row],[X]]-$P$11)^2+(GERAL_PROJ[[#This Row],[Y]]-$P$12)^2),"")</f>
        <v/>
      </c>
      <c r="K21" s="169" t="n"/>
      <c r="L21" s="171" t="n"/>
      <c r="M21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21" s="198" t="inlineStr">
        <is>
          <t>ATENTAR-SE PARA CQT</t>
        </is>
      </c>
      <c r="P21" s="199" t="n"/>
    </row>
    <row r="22">
      <c r="A22" s="169" t="n"/>
      <c r="B22" s="169" t="n"/>
      <c r="C22" s="169" t="n"/>
      <c r="D22" s="128">
        <f>IFERROR(VLOOKUP(GERAL_PROJ[[#This Row],[PONTO]],Tabela13[],2,0),"")</f>
        <v/>
      </c>
      <c r="E22" s="128">
        <f>IFERROR(VLOOKUP(GERAL_PROJ[[#This Row],[PONTO]],Tabela13[],3,0),"")</f>
        <v/>
      </c>
      <c r="F22" s="129">
        <f>IFERROR(VLOOKUP(GERAL_PROJ[[#This Row],[PONTO]],RAMAIS_ATUAL,24,0),"")</f>
        <v/>
      </c>
      <c r="G22" s="129">
        <f>IFERROR(SUMIF(GERAL_PROJ[TRECHO],GERAL_PROJ[[#This Row],[PONTO]],GERAL_PROJ[CLT ACUMULADO])+GERAL_PROJ[[#This Row],[CLIENTES]],"")</f>
        <v/>
      </c>
      <c r="H22" s="55">
        <f>IFERROR(VLOOKUP(GERAL_PROJ[[#This Row],[PONTO]],RAMAIS_ATUAL,IF($I$2="SIM",25,23),0),"")</f>
        <v/>
      </c>
      <c r="I22" s="55">
        <f>IFERROR(IF($I$2="SIM",VLOOKUP(GERAL_PROJ[[#This Row],[CLT ACUMULADO]],AUX_CLAN,4,0),SUMIF(GERAL_PROJ[TRECHO],GERAL_PROJ[[#This Row],[PONTO]],GERAL_PROJ[ACUMULADA])+GERAL_PROJ[[#This Row],[TOTAL DO TRECHO]]),"")</f>
        <v/>
      </c>
      <c r="J22" s="55">
        <f>IFERROR(SQRT((GERAL_PROJ[[#This Row],[X]]-$P$11)^2+(GERAL_PROJ[[#This Row],[Y]]-$P$12)^2),"")</f>
        <v/>
      </c>
      <c r="K22" s="169" t="n"/>
      <c r="L22" s="171" t="n"/>
      <c r="M22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</row>
    <row r="23" customFormat="1" s="6">
      <c r="A23" s="169" t="n"/>
      <c r="B23" s="169" t="n"/>
      <c r="C23" s="169" t="n"/>
      <c r="D23" s="128">
        <f>IFERROR(VLOOKUP(GERAL_PROJ[[#This Row],[PONTO]],Tabela13[],2,0),"")</f>
        <v/>
      </c>
      <c r="E23" s="128">
        <f>IFERROR(VLOOKUP(GERAL_PROJ[[#This Row],[PONTO]],Tabela13[],3,0),"")</f>
        <v/>
      </c>
      <c r="F23" s="129">
        <f>IFERROR(VLOOKUP(GERAL_PROJ[[#This Row],[PONTO]],RAMAIS_ATUAL,24,0),"")</f>
        <v/>
      </c>
      <c r="G23" s="129">
        <f>IFERROR(SUMIF(GERAL_PROJ[TRECHO],GERAL_PROJ[[#This Row],[PONTO]],GERAL_PROJ[CLT ACUMULADO])+GERAL_PROJ[[#This Row],[CLIENTES]],"")</f>
        <v/>
      </c>
      <c r="H23" s="55">
        <f>IFERROR(VLOOKUP(GERAL_PROJ[[#This Row],[PONTO]],RAMAIS_ATUAL,IF($I$2="SIM",25,23),0),"")</f>
        <v/>
      </c>
      <c r="I23" s="55">
        <f>IFERROR(IF($I$2="SIM",VLOOKUP(GERAL_PROJ[[#This Row],[CLT ACUMULADO]],AUX_CLAN,4,0),SUMIF(GERAL_PROJ[TRECHO],GERAL_PROJ[[#This Row],[PONTO]],GERAL_PROJ[ACUMULADA])+GERAL_PROJ[[#This Row],[TOTAL DO TRECHO]]),"")</f>
        <v/>
      </c>
      <c r="J23" s="55">
        <f>IFERROR(SQRT((GERAL_PROJ[[#This Row],[X]]-$P$11)^2+(GERAL_PROJ[[#This Row],[Y]]-$P$12)^2),"")</f>
        <v/>
      </c>
      <c r="K23" s="169" t="n"/>
      <c r="L23" s="171" t="n"/>
      <c r="M23" s="128">
        <f>IFERROR(IF(GERAL_PROJ[[#This Row],[LADO]]="ESQUERDO",VLOOKUP(GERAL_PROJ[[#This Row],[PONTO]],ESQ_PROJ1[[PONTO]:[ETA]],15,0),IF(GERAL_PROJ[[#This Row],[LADO]]="DIREITO",VLOOKUP(GERAL_PROJ[[#This Row],[PONTO]],Tabela71020[],15,0),IF(GERAL_PROJ[[#This Row],[LADO]]="TRAFO",127-(127*(QT_MTTR2)),""))),"IGNORADO")</f>
        <v/>
      </c>
      <c r="O23" s="190" t="inlineStr">
        <is>
          <t>METROS REDE TOTAL</t>
        </is>
      </c>
      <c r="P23" s="191" t="n"/>
    </row>
    <row r="24">
      <c r="D24" s="7" t="n"/>
      <c r="E24" s="7" t="n"/>
      <c r="F24" s="7" t="n"/>
      <c r="G24" s="7" t="n"/>
      <c r="O24" s="192" t="n"/>
      <c r="P24" s="192" t="n"/>
    </row>
    <row r="25">
      <c r="D25" s="7" t="n"/>
      <c r="E25" s="7" t="n"/>
      <c r="F25" s="7" t="n"/>
      <c r="G25" s="7" t="n"/>
      <c r="O25" s="244">
        <f>SUM(GERAL_PROJ[M])</f>
        <v/>
      </c>
      <c r="P25" s="189" t="n"/>
    </row>
    <row r="26">
      <c r="D26" s="7" t="n"/>
      <c r="E26" s="7" t="n"/>
      <c r="F26" s="7" t="n"/>
      <c r="G26" s="7" t="n"/>
    </row>
    <row r="27">
      <c r="D27" s="7" t="n"/>
      <c r="E27" s="7" t="n"/>
      <c r="F27" s="7" t="n"/>
      <c r="G27" s="7" t="n"/>
      <c r="O27" s="190" t="inlineStr">
        <is>
          <t>RAMAL (DMDI)</t>
        </is>
      </c>
      <c r="P27" s="191" t="n"/>
    </row>
    <row r="28">
      <c r="D28" s="7" t="n"/>
      <c r="E28" s="7" t="n"/>
      <c r="F28" s="7" t="n"/>
      <c r="G28" s="7" t="n"/>
      <c r="O28" s="192" t="n"/>
      <c r="P28" s="192" t="n"/>
    </row>
    <row r="29">
      <c r="D29" s="7" t="n"/>
      <c r="E29" s="7" t="n"/>
      <c r="F29" s="7" t="n"/>
      <c r="G29" s="7" t="n"/>
      <c r="O29" s="188">
        <f>DMDI</f>
        <v/>
      </c>
      <c r="P29" s="189" t="n"/>
    </row>
    <row r="30">
      <c r="D30" s="7" t="n"/>
      <c r="E30" s="7" t="n"/>
      <c r="F30" s="7" t="n"/>
      <c r="G30" s="7" t="n"/>
    </row>
    <row r="31">
      <c r="D31" s="7" t="n"/>
      <c r="E31" s="7" t="n"/>
      <c r="F31" s="7" t="n"/>
      <c r="G31" s="7" t="n"/>
      <c r="O31" s="178" t="inlineStr">
        <is>
          <t>RAMAL ESQ</t>
        </is>
      </c>
      <c r="P31" s="245">
        <f>VLOOKUP("RAMAL",ESQ_PROJ1[[PONTO]:[ETA]],15,0)</f>
        <v/>
      </c>
    </row>
    <row r="32">
      <c r="D32" s="7" t="n"/>
      <c r="E32" s="7" t="n"/>
      <c r="F32" s="7" t="n"/>
      <c r="G32" s="7" t="n"/>
      <c r="O32" s="178" t="inlineStr">
        <is>
          <t>RAMAL DIR</t>
        </is>
      </c>
      <c r="P32" s="245">
        <f>VLOOKUP("RAMAL",Tabela71020[[PONTO]:[ETA]],15,0)</f>
        <v/>
      </c>
    </row>
    <row r="33">
      <c r="D33" s="7" t="n"/>
      <c r="E33" s="7" t="n"/>
      <c r="F33" s="7" t="n"/>
      <c r="G33" s="7" t="n"/>
    </row>
    <row r="34">
      <c r="D34" s="7" t="n"/>
      <c r="E34" s="7" t="n"/>
      <c r="F34" s="7" t="n"/>
      <c r="G34" s="7" t="n"/>
    </row>
    <row r="35">
      <c r="D35" s="7" t="n"/>
      <c r="E35" s="7" t="n"/>
      <c r="F35" s="7" t="n"/>
      <c r="G35" s="7" t="n"/>
    </row>
    <row r="36">
      <c r="D36" s="7" t="n"/>
      <c r="E36" s="7" t="n"/>
      <c r="F36" s="7" t="n"/>
      <c r="G36" s="7" t="n"/>
    </row>
    <row r="37">
      <c r="D37" s="7" t="n"/>
      <c r="E37" s="7" t="n"/>
      <c r="F37" s="7" t="n"/>
      <c r="G37" s="7" t="n"/>
    </row>
    <row r="38">
      <c r="D38" s="7" t="n"/>
      <c r="E38" s="7" t="n"/>
      <c r="F38" s="7" t="n"/>
      <c r="G38" s="7" t="n"/>
    </row>
    <row r="39">
      <c r="D39" s="7" t="n"/>
      <c r="E39" s="7" t="n"/>
      <c r="F39" s="7" t="n"/>
      <c r="G39" s="7" t="n"/>
    </row>
    <row r="40">
      <c r="D40" s="7" t="n"/>
      <c r="E40" s="7" t="n"/>
      <c r="F40" s="7" t="n"/>
      <c r="G40" s="7" t="n"/>
    </row>
    <row r="41">
      <c r="D41" s="7" t="n"/>
      <c r="E41" s="7" t="n"/>
      <c r="F41" s="7" t="n"/>
      <c r="G41" s="7" t="n"/>
    </row>
    <row r="42">
      <c r="D42" s="7" t="n"/>
      <c r="E42" s="7" t="n"/>
      <c r="F42" s="7" t="n"/>
      <c r="G42" s="7" t="n"/>
    </row>
    <row r="43">
      <c r="D43" s="7" t="n"/>
      <c r="E43" s="7" t="n"/>
      <c r="F43" s="7" t="n"/>
      <c r="G43" s="7" t="n"/>
    </row>
    <row r="44">
      <c r="D44" s="7" t="n"/>
      <c r="E44" s="7" t="n"/>
      <c r="F44" s="7" t="n"/>
      <c r="G44" s="7" t="n"/>
    </row>
    <row r="45">
      <c r="D45" s="7" t="n"/>
      <c r="E45" s="7" t="n"/>
      <c r="F45" s="7" t="n"/>
      <c r="G45" s="7" t="n"/>
    </row>
    <row r="46">
      <c r="D46" s="7" t="n"/>
      <c r="E46" s="7" t="n"/>
      <c r="F46" s="7" t="n"/>
      <c r="G46" s="7" t="n"/>
    </row>
    <row r="47">
      <c r="D47" s="7" t="n"/>
      <c r="E47" s="7" t="n"/>
      <c r="F47" s="7" t="n"/>
      <c r="G47" s="7" t="n"/>
    </row>
    <row r="48">
      <c r="D48" s="7" t="n"/>
      <c r="E48" s="7" t="n"/>
      <c r="F48" s="7" t="n"/>
      <c r="G48" s="7" t="n"/>
    </row>
    <row r="49">
      <c r="D49" s="7" t="n"/>
      <c r="E49" s="7" t="n"/>
      <c r="F49" s="7" t="n"/>
      <c r="G49" s="7" t="n"/>
    </row>
    <row r="50">
      <c r="D50" s="7" t="n"/>
      <c r="E50" s="7" t="n"/>
      <c r="F50" s="7" t="n"/>
      <c r="G50" s="7" t="n"/>
    </row>
    <row r="51">
      <c r="D51" s="7" t="n"/>
      <c r="E51" s="7" t="n"/>
      <c r="F51" s="7" t="n"/>
      <c r="G51" s="7" t="n"/>
    </row>
    <row r="52">
      <c r="D52" s="7" t="n"/>
      <c r="E52" s="7" t="n"/>
      <c r="F52" s="7" t="n"/>
      <c r="G52" s="7" t="n"/>
    </row>
    <row r="53">
      <c r="D53" s="7" t="n"/>
      <c r="E53" s="7" t="n"/>
      <c r="F53" s="7" t="n"/>
      <c r="G53" s="7" t="n"/>
    </row>
    <row r="54">
      <c r="D54" s="7" t="n"/>
      <c r="E54" s="7" t="n"/>
      <c r="F54" s="7" t="n"/>
      <c r="G54" s="7" t="n"/>
    </row>
    <row r="55">
      <c r="D55" s="7" t="n"/>
      <c r="E55" s="7" t="n"/>
      <c r="F55" s="7" t="n"/>
      <c r="G55" s="7" t="n"/>
    </row>
    <row r="56">
      <c r="D56" s="7" t="n"/>
      <c r="E56" s="7" t="n"/>
      <c r="F56" s="7" t="n"/>
      <c r="G56" s="7" t="n"/>
    </row>
    <row r="57">
      <c r="D57" s="7" t="n"/>
      <c r="E57" s="7" t="n"/>
      <c r="F57" s="7" t="n"/>
      <c r="G57" s="7" t="n"/>
    </row>
    <row r="58">
      <c r="D58" s="7" t="n"/>
      <c r="E58" s="7" t="n"/>
      <c r="F58" s="7" t="n"/>
      <c r="G58" s="7" t="n"/>
    </row>
    <row r="59">
      <c r="D59" s="7" t="n"/>
      <c r="E59" s="7" t="n"/>
      <c r="F59" s="7" t="n"/>
      <c r="G59" s="7" t="n"/>
    </row>
    <row r="60">
      <c r="D60" s="7" t="n"/>
      <c r="E60" s="7" t="n"/>
      <c r="F60" s="7" t="n"/>
      <c r="G60" s="7" t="n"/>
    </row>
    <row r="61">
      <c r="D61" s="7" t="n"/>
      <c r="E61" s="7" t="n"/>
      <c r="F61" s="7" t="n"/>
      <c r="G61" s="7" t="n"/>
    </row>
    <row r="62">
      <c r="D62" s="7" t="n"/>
      <c r="E62" s="7" t="n"/>
      <c r="F62" s="7" t="n"/>
      <c r="G62" s="7" t="n"/>
    </row>
    <row r="63">
      <c r="D63" s="7" t="n"/>
      <c r="E63" s="7" t="n"/>
      <c r="F63" s="7" t="n"/>
      <c r="G63" s="7" t="n"/>
    </row>
    <row r="64">
      <c r="D64" s="7" t="n"/>
      <c r="E64" s="7" t="n"/>
      <c r="F64" s="7" t="n"/>
      <c r="G64" s="7" t="n"/>
    </row>
    <row r="65">
      <c r="D65" s="7" t="n"/>
      <c r="E65" s="7" t="n"/>
      <c r="F65" s="7" t="n"/>
      <c r="G65" s="7" t="n"/>
    </row>
    <row r="66">
      <c r="D66" s="7" t="n"/>
      <c r="E66" s="7" t="n"/>
      <c r="F66" s="7" t="n"/>
      <c r="G66" s="7" t="n"/>
    </row>
    <row r="67">
      <c r="D67" s="7" t="n"/>
      <c r="E67" s="7" t="n"/>
      <c r="F67" s="7" t="n"/>
      <c r="G67" s="7" t="n"/>
    </row>
    <row r="68">
      <c r="D68" s="7" t="n"/>
      <c r="E68" s="7" t="n"/>
      <c r="F68" s="7" t="n"/>
      <c r="G68" s="7" t="n"/>
    </row>
    <row r="69">
      <c r="D69" s="7" t="n"/>
      <c r="E69" s="7" t="n"/>
      <c r="F69" s="7" t="n"/>
      <c r="G69" s="7" t="n"/>
    </row>
    <row r="70">
      <c r="D70" s="7" t="n"/>
      <c r="E70" s="7" t="n"/>
      <c r="F70" s="7" t="n"/>
      <c r="G70" s="7" t="n"/>
    </row>
    <row r="71">
      <c r="D71" s="7" t="n"/>
      <c r="E71" s="7" t="n"/>
      <c r="F71" s="7" t="n"/>
      <c r="G71" s="7" t="n"/>
    </row>
    <row r="72">
      <c r="D72" s="7" t="n"/>
      <c r="E72" s="7" t="n"/>
      <c r="F72" s="7" t="n"/>
      <c r="G72" s="7" t="n"/>
    </row>
    <row r="73">
      <c r="D73" s="7" t="n"/>
      <c r="E73" s="7" t="n"/>
      <c r="F73" s="7" t="n"/>
      <c r="G73" s="7" t="n"/>
    </row>
    <row r="74">
      <c r="D74" s="7" t="n"/>
      <c r="E74" s="7" t="n"/>
      <c r="F74" s="7" t="n"/>
      <c r="G74" s="7" t="n"/>
    </row>
    <row r="75">
      <c r="D75" s="7" t="n"/>
      <c r="E75" s="7" t="n"/>
      <c r="F75" s="7" t="n"/>
      <c r="G75" s="7" t="n"/>
    </row>
    <row r="76">
      <c r="D76" s="7" t="n"/>
      <c r="E76" s="7" t="n"/>
      <c r="F76" s="7" t="n"/>
      <c r="G76" s="7" t="n"/>
    </row>
    <row r="77">
      <c r="D77" s="7" t="n"/>
      <c r="E77" s="7" t="n"/>
      <c r="F77" s="7" t="n"/>
      <c r="G77" s="7" t="n"/>
    </row>
    <row r="78">
      <c r="D78" s="7" t="n"/>
      <c r="E78" s="7" t="n"/>
      <c r="F78" s="7" t="n"/>
      <c r="G78" s="7" t="n"/>
    </row>
    <row r="79">
      <c r="D79" s="7" t="n"/>
      <c r="E79" s="7" t="n"/>
      <c r="F79" s="7" t="n"/>
      <c r="G79" s="7" t="n"/>
    </row>
    <row r="80">
      <c r="D80" s="7" t="n"/>
      <c r="E80" s="7" t="n"/>
      <c r="F80" s="7" t="n"/>
      <c r="G80" s="7" t="n"/>
    </row>
    <row r="81">
      <c r="D81" s="7" t="n"/>
      <c r="E81" s="7" t="n"/>
      <c r="F81" s="7" t="n"/>
      <c r="G81" s="7" t="n"/>
    </row>
    <row r="82">
      <c r="D82" s="7" t="n"/>
      <c r="E82" s="7" t="n"/>
      <c r="F82" s="7" t="n"/>
      <c r="G82" s="7" t="n"/>
    </row>
    <row r="83">
      <c r="D83" s="7" t="n"/>
      <c r="E83" s="7" t="n"/>
      <c r="F83" s="7" t="n"/>
      <c r="G83" s="7" t="n"/>
    </row>
    <row r="84">
      <c r="D84" s="7" t="n"/>
      <c r="E84" s="7" t="n"/>
      <c r="F84" s="7" t="n"/>
      <c r="G84" s="7" t="n"/>
    </row>
    <row r="85">
      <c r="D85" s="7" t="n"/>
      <c r="E85" s="7" t="n"/>
      <c r="F85" s="7" t="n"/>
      <c r="G85" s="7" t="n"/>
    </row>
    <row r="86">
      <c r="D86" s="7" t="n"/>
      <c r="E86" s="7" t="n"/>
      <c r="F86" s="7" t="n"/>
      <c r="G86" s="7" t="n"/>
    </row>
    <row r="87">
      <c r="D87" s="7" t="n"/>
      <c r="E87" s="7" t="n"/>
      <c r="F87" s="7" t="n"/>
      <c r="G87" s="7" t="n"/>
    </row>
    <row r="88">
      <c r="D88" s="7" t="n"/>
      <c r="E88" s="7" t="n"/>
      <c r="F88" s="7" t="n"/>
      <c r="G88" s="7" t="n"/>
    </row>
    <row r="89">
      <c r="D89" s="7" t="n"/>
      <c r="E89" s="7" t="n"/>
      <c r="F89" s="7" t="n"/>
      <c r="G89" s="7" t="n"/>
    </row>
    <row r="90">
      <c r="D90" s="7" t="n"/>
      <c r="E90" s="7" t="n"/>
      <c r="F90" s="7" t="n"/>
      <c r="G90" s="7" t="n"/>
    </row>
    <row r="91">
      <c r="D91" s="7" t="n"/>
      <c r="E91" s="7" t="n"/>
      <c r="F91" s="7" t="n"/>
      <c r="G91" s="7" t="n"/>
    </row>
    <row r="92">
      <c r="D92" s="7" t="n"/>
      <c r="E92" s="7" t="n"/>
      <c r="F92" s="7" t="n"/>
      <c r="G92" s="7" t="n"/>
    </row>
    <row r="93">
      <c r="D93" s="7" t="n"/>
      <c r="E93" s="7" t="n"/>
      <c r="F93" s="7" t="n"/>
      <c r="G93" s="7" t="n"/>
    </row>
    <row r="94">
      <c r="D94" s="7" t="n"/>
      <c r="E94" s="7" t="n"/>
      <c r="F94" s="7" t="n"/>
      <c r="G94" s="7" t="n"/>
    </row>
    <row r="95">
      <c r="D95" s="7" t="n"/>
      <c r="E95" s="7" t="n"/>
      <c r="F95" s="7" t="n"/>
      <c r="G95" s="7" t="n"/>
    </row>
    <row r="96">
      <c r="D96" s="7" t="n"/>
      <c r="E96" s="7" t="n"/>
      <c r="F96" s="7" t="n"/>
      <c r="G96" s="7" t="n"/>
    </row>
    <row r="97">
      <c r="D97" s="7" t="n"/>
      <c r="E97" s="7" t="n"/>
      <c r="F97" s="7" t="n"/>
      <c r="G97" s="7" t="n"/>
    </row>
    <row r="98">
      <c r="D98" s="7" t="n"/>
      <c r="E98" s="7" t="n"/>
      <c r="F98" s="7" t="n"/>
      <c r="G98" s="7" t="n"/>
    </row>
    <row r="99">
      <c r="D99" s="7" t="n"/>
      <c r="E99" s="7" t="n"/>
      <c r="F99" s="7" t="n"/>
      <c r="G99" s="7" t="n"/>
    </row>
    <row r="100">
      <c r="D100" s="7" t="n"/>
      <c r="E100" s="7" t="n"/>
      <c r="F100" s="7" t="n"/>
      <c r="G100" s="7" t="n"/>
    </row>
    <row r="101">
      <c r="D101" s="7" t="n"/>
      <c r="E101" s="7" t="n"/>
      <c r="F101" s="7" t="n"/>
      <c r="G101" s="7" t="n"/>
    </row>
    <row r="102">
      <c r="D102" s="7" t="n"/>
      <c r="E102" s="7" t="n"/>
      <c r="F102" s="7" t="n"/>
      <c r="G102" s="7" t="n"/>
    </row>
    <row r="103">
      <c r="D103" s="7" t="n"/>
      <c r="E103" s="7" t="n"/>
      <c r="F103" s="7" t="n"/>
      <c r="G103" s="7" t="n"/>
    </row>
    <row r="104">
      <c r="D104" s="7" t="n"/>
      <c r="E104" s="7" t="n"/>
      <c r="F104" s="7" t="n"/>
      <c r="G104" s="7" t="n"/>
    </row>
    <row r="105">
      <c r="D105" s="7" t="n"/>
      <c r="E105" s="7" t="n"/>
      <c r="F105" s="7" t="n"/>
      <c r="G105" s="7" t="n"/>
    </row>
    <row r="106">
      <c r="D106" s="7" t="n"/>
      <c r="E106" s="7" t="n"/>
      <c r="F106" s="7" t="n"/>
      <c r="G106" s="7" t="n"/>
    </row>
    <row r="107">
      <c r="D107" s="7" t="n"/>
      <c r="E107" s="7" t="n"/>
      <c r="F107" s="7" t="n"/>
      <c r="G107" s="7" t="n"/>
    </row>
    <row r="108">
      <c r="D108" s="7" t="n"/>
      <c r="E108" s="7" t="n"/>
      <c r="F108" s="7" t="n"/>
      <c r="G108" s="7" t="n"/>
    </row>
    <row r="109">
      <c r="D109" s="7" t="n"/>
      <c r="E109" s="7" t="n"/>
      <c r="F109" s="7" t="n"/>
      <c r="G109" s="7" t="n"/>
    </row>
    <row r="110">
      <c r="D110" s="7" t="n"/>
      <c r="E110" s="7" t="n"/>
      <c r="F110" s="7" t="n"/>
      <c r="G110" s="7" t="n"/>
    </row>
    <row r="111">
      <c r="D111" s="7" t="n"/>
      <c r="E111" s="7" t="n"/>
      <c r="F111" s="7" t="n"/>
      <c r="G111" s="7" t="n"/>
    </row>
    <row r="112">
      <c r="D112" s="7" t="n"/>
      <c r="E112" s="7" t="n"/>
      <c r="F112" s="7" t="n"/>
      <c r="G112" s="7" t="n"/>
    </row>
    <row r="113">
      <c r="D113" s="7" t="n"/>
      <c r="E113" s="7" t="n"/>
      <c r="F113" s="7" t="n"/>
      <c r="G113" s="7" t="n"/>
    </row>
    <row r="114">
      <c r="D114" s="7" t="n"/>
      <c r="E114" s="7" t="n"/>
      <c r="F114" s="7" t="n"/>
      <c r="G114" s="7" t="n"/>
    </row>
    <row r="115">
      <c r="D115" s="7" t="n"/>
      <c r="E115" s="7" t="n"/>
      <c r="F115" s="7" t="n"/>
      <c r="G115" s="7" t="n"/>
    </row>
    <row r="116">
      <c r="D116" s="7" t="n"/>
      <c r="E116" s="7" t="n"/>
      <c r="F116" s="7" t="n"/>
      <c r="G116" s="7" t="n"/>
    </row>
    <row r="117">
      <c r="D117" s="7" t="n"/>
      <c r="E117" s="7" t="n"/>
      <c r="F117" s="7" t="n"/>
      <c r="G117" s="7" t="n"/>
    </row>
    <row r="118">
      <c r="D118" s="7" t="n"/>
      <c r="E118" s="7" t="n"/>
      <c r="F118" s="7" t="n"/>
      <c r="G118" s="7" t="n"/>
    </row>
    <row r="119">
      <c r="D119" s="7" t="n"/>
      <c r="E119" s="7" t="n"/>
      <c r="F119" s="7" t="n"/>
      <c r="G119" s="7" t="n"/>
    </row>
    <row r="120">
      <c r="D120" s="7" t="n"/>
      <c r="E120" s="7" t="n"/>
      <c r="F120" s="7" t="n"/>
      <c r="G120" s="7" t="n"/>
    </row>
    <row r="121">
      <c r="D121" s="7" t="n"/>
      <c r="E121" s="7" t="n"/>
      <c r="F121" s="7" t="n"/>
      <c r="G121" s="7" t="n"/>
    </row>
    <row r="122">
      <c r="D122" s="7" t="n"/>
      <c r="E122" s="7" t="n"/>
      <c r="F122" s="7" t="n"/>
      <c r="G122" s="7" t="n"/>
    </row>
    <row r="123">
      <c r="D123" s="7" t="n"/>
      <c r="E123" s="7" t="n"/>
      <c r="F123" s="7" t="n"/>
      <c r="G123" s="7" t="n"/>
    </row>
    <row r="124">
      <c r="D124" s="7" t="n"/>
      <c r="E124" s="7" t="n"/>
      <c r="F124" s="7" t="n"/>
      <c r="G124" s="7" t="n"/>
    </row>
    <row r="125">
      <c r="D125" s="7" t="n"/>
      <c r="E125" s="7" t="n"/>
      <c r="F125" s="7" t="n"/>
      <c r="G125" s="7" t="n"/>
    </row>
    <row r="126">
      <c r="D126" s="7" t="n"/>
      <c r="E126" s="7" t="n"/>
      <c r="F126" s="7" t="n"/>
      <c r="G126" s="7" t="n"/>
    </row>
    <row r="127">
      <c r="D127" s="7" t="n"/>
      <c r="E127" s="7" t="n"/>
      <c r="F127" s="7" t="n"/>
      <c r="G127" s="7" t="n"/>
    </row>
    <row r="128">
      <c r="D128" s="7" t="n"/>
      <c r="E128" s="7" t="n"/>
      <c r="F128" s="7" t="n"/>
      <c r="G128" s="7" t="n"/>
    </row>
    <row r="129">
      <c r="D129" s="7" t="n"/>
      <c r="E129" s="7" t="n"/>
      <c r="F129" s="7" t="n"/>
      <c r="G129" s="7" t="n"/>
    </row>
    <row r="130">
      <c r="D130" s="7" t="n"/>
      <c r="E130" s="7" t="n"/>
      <c r="F130" s="7" t="n"/>
      <c r="G130" s="7" t="n"/>
    </row>
    <row r="131">
      <c r="D131" s="7" t="n"/>
      <c r="E131" s="7" t="n"/>
      <c r="F131" s="7" t="n"/>
      <c r="G131" s="7" t="n"/>
    </row>
    <row r="132">
      <c r="D132" s="7" t="n"/>
      <c r="E132" s="7" t="n"/>
      <c r="F132" s="7" t="n"/>
      <c r="G132" s="7" t="n"/>
    </row>
    <row r="133">
      <c r="D133" s="7" t="n"/>
      <c r="E133" s="7" t="n"/>
      <c r="F133" s="7" t="n"/>
      <c r="G133" s="7" t="n"/>
    </row>
    <row r="134">
      <c r="D134" s="7" t="n"/>
      <c r="E134" s="7" t="n"/>
      <c r="F134" s="7" t="n"/>
      <c r="G134" s="7" t="n"/>
    </row>
    <row r="135">
      <c r="D135" s="7" t="n"/>
      <c r="E135" s="7" t="n"/>
      <c r="F135" s="7" t="n"/>
      <c r="G135" s="7" t="n"/>
    </row>
    <row r="136">
      <c r="D136" s="7" t="n"/>
      <c r="E136" s="7" t="n"/>
      <c r="F136" s="7" t="n"/>
      <c r="G136" s="7" t="n"/>
    </row>
    <row r="137">
      <c r="D137" s="7" t="n"/>
      <c r="E137" s="7" t="n"/>
      <c r="F137" s="7" t="n"/>
      <c r="G137" s="7" t="n"/>
    </row>
    <row r="138">
      <c r="D138" s="7" t="n"/>
      <c r="E138" s="7" t="n"/>
      <c r="F138" s="7" t="n"/>
      <c r="G138" s="7" t="n"/>
    </row>
    <row r="139">
      <c r="D139" s="7" t="n"/>
      <c r="E139" s="7" t="n"/>
      <c r="F139" s="7" t="n"/>
      <c r="G139" s="7" t="n"/>
    </row>
    <row r="140">
      <c r="D140" s="7" t="n"/>
      <c r="E140" s="7" t="n"/>
      <c r="F140" s="7" t="n"/>
      <c r="G140" s="7" t="n"/>
    </row>
    <row r="141">
      <c r="D141" s="7" t="n"/>
      <c r="E141" s="7" t="n"/>
      <c r="F141" s="7" t="n"/>
      <c r="G141" s="7" t="n"/>
    </row>
    <row r="142">
      <c r="D142" s="7" t="n"/>
      <c r="E142" s="7" t="n"/>
      <c r="F142" s="7" t="n"/>
      <c r="G142" s="7" t="n"/>
    </row>
    <row r="143">
      <c r="D143" s="7" t="n"/>
      <c r="E143" s="7" t="n"/>
      <c r="F143" s="7" t="n"/>
      <c r="G143" s="7" t="n"/>
    </row>
    <row r="144">
      <c r="D144" s="7" t="n"/>
      <c r="E144" s="7" t="n"/>
      <c r="F144" s="7" t="n"/>
      <c r="G144" s="7" t="n"/>
    </row>
    <row r="145">
      <c r="D145" s="7" t="n"/>
      <c r="E145" s="7" t="n"/>
      <c r="F145" s="7" t="n"/>
      <c r="G145" s="7" t="n"/>
    </row>
    <row r="146">
      <c r="D146" s="7" t="n"/>
      <c r="E146" s="7" t="n"/>
      <c r="F146" s="7" t="n"/>
      <c r="G146" s="7" t="n"/>
    </row>
    <row r="147">
      <c r="D147" s="7" t="n"/>
      <c r="E147" s="7" t="n"/>
      <c r="F147" s="7" t="n"/>
      <c r="G147" s="7" t="n"/>
    </row>
    <row r="148">
      <c r="D148" s="7" t="n"/>
      <c r="E148" s="7" t="n"/>
      <c r="F148" s="7" t="n"/>
      <c r="G148" s="7" t="n"/>
    </row>
    <row r="149">
      <c r="D149" s="7" t="n"/>
      <c r="E149" s="7" t="n"/>
      <c r="F149" s="7" t="n"/>
      <c r="G149" s="7" t="n"/>
    </row>
    <row r="150">
      <c r="D150" s="7" t="n"/>
      <c r="E150" s="7" t="n"/>
      <c r="F150" s="7" t="n"/>
      <c r="G150" s="7" t="n"/>
    </row>
    <row r="151">
      <c r="D151" s="7" t="n"/>
      <c r="E151" s="7" t="n"/>
      <c r="F151" s="7" t="n"/>
      <c r="G151" s="7" t="n"/>
    </row>
    <row r="152">
      <c r="D152" s="7" t="n"/>
      <c r="E152" s="7" t="n"/>
      <c r="F152" s="7" t="n"/>
      <c r="G152" s="7" t="n"/>
    </row>
    <row r="153">
      <c r="D153" s="7" t="n"/>
      <c r="E153" s="7" t="n"/>
      <c r="F153" s="7" t="n"/>
      <c r="G153" s="7" t="n"/>
    </row>
    <row r="154">
      <c r="D154" s="7" t="n"/>
      <c r="E154" s="7" t="n"/>
      <c r="F154" s="7" t="n"/>
      <c r="G154" s="7" t="n"/>
    </row>
    <row r="155">
      <c r="D155" s="7" t="n"/>
      <c r="E155" s="7" t="n"/>
      <c r="F155" s="7" t="n"/>
      <c r="G155" s="7" t="n"/>
    </row>
    <row r="156">
      <c r="D156" s="7" t="n"/>
      <c r="E156" s="7" t="n"/>
      <c r="F156" s="7" t="n"/>
      <c r="G156" s="7" t="n"/>
    </row>
    <row r="157">
      <c r="D157" s="7" t="n"/>
      <c r="E157" s="7" t="n"/>
      <c r="F157" s="7" t="n"/>
      <c r="G157" s="7" t="n"/>
    </row>
    <row r="158">
      <c r="D158" s="7" t="n"/>
      <c r="E158" s="7" t="n"/>
      <c r="F158" s="7" t="n"/>
      <c r="G158" s="7" t="n"/>
    </row>
    <row r="159">
      <c r="D159" s="7" t="n"/>
      <c r="E159" s="7" t="n"/>
      <c r="F159" s="7" t="n"/>
      <c r="G159" s="7" t="n"/>
    </row>
    <row r="160">
      <c r="D160" s="7" t="n"/>
      <c r="E160" s="7" t="n"/>
      <c r="F160" s="7" t="n"/>
      <c r="G160" s="7" t="n"/>
    </row>
    <row r="161">
      <c r="D161" s="7" t="n"/>
      <c r="E161" s="7" t="n"/>
      <c r="F161" s="7" t="n"/>
      <c r="G161" s="7" t="n"/>
    </row>
    <row r="162">
      <c r="D162" s="7" t="n"/>
      <c r="E162" s="7" t="n"/>
      <c r="F162" s="7" t="n"/>
      <c r="G162" s="7" t="n"/>
    </row>
    <row r="163">
      <c r="D163" s="7" t="n"/>
      <c r="E163" s="7" t="n"/>
      <c r="F163" s="7" t="n"/>
      <c r="G163" s="7" t="n"/>
    </row>
    <row r="164">
      <c r="D164" s="7" t="n"/>
      <c r="E164" s="7" t="n"/>
      <c r="F164" s="7" t="n"/>
      <c r="G164" s="7" t="n"/>
    </row>
    <row r="165">
      <c r="D165" s="7" t="n"/>
      <c r="E165" s="7" t="n"/>
      <c r="F165" s="7" t="n"/>
      <c r="G165" s="7" t="n"/>
    </row>
    <row r="166">
      <c r="D166" s="7" t="n"/>
      <c r="E166" s="7" t="n"/>
      <c r="F166" s="7" t="n"/>
      <c r="G166" s="7" t="n"/>
    </row>
    <row r="167">
      <c r="D167" s="7" t="n"/>
      <c r="E167" s="7" t="n"/>
      <c r="F167" s="7" t="n"/>
      <c r="G167" s="7" t="n"/>
    </row>
    <row r="168">
      <c r="D168" s="7" t="n"/>
      <c r="E168" s="7" t="n"/>
      <c r="F168" s="7" t="n"/>
      <c r="G168" s="7" t="n"/>
    </row>
    <row r="169">
      <c r="D169" s="7" t="n"/>
      <c r="E169" s="7" t="n"/>
      <c r="F169" s="7" t="n"/>
      <c r="G169" s="7" t="n"/>
    </row>
    <row r="170">
      <c r="D170" s="7" t="n"/>
      <c r="E170" s="7" t="n"/>
      <c r="F170" s="7" t="n"/>
      <c r="G170" s="7" t="n"/>
    </row>
    <row r="171">
      <c r="D171" s="7" t="n"/>
      <c r="E171" s="7" t="n"/>
      <c r="F171" s="7" t="n"/>
      <c r="G171" s="7" t="n"/>
    </row>
    <row r="172">
      <c r="D172" s="7" t="n"/>
      <c r="E172" s="7" t="n"/>
      <c r="F172" s="7" t="n"/>
      <c r="G172" s="7" t="n"/>
    </row>
    <row r="173">
      <c r="D173" s="7" t="n"/>
      <c r="E173" s="7" t="n"/>
      <c r="F173" s="7" t="n"/>
      <c r="G173" s="7" t="n"/>
    </row>
    <row r="174">
      <c r="D174" s="7" t="n"/>
      <c r="E174" s="7" t="n"/>
      <c r="F174" s="7" t="n"/>
      <c r="G174" s="7" t="n"/>
    </row>
    <row r="175">
      <c r="D175" s="7" t="n"/>
      <c r="E175" s="7" t="n"/>
      <c r="F175" s="7" t="n"/>
      <c r="G175" s="7" t="n"/>
    </row>
    <row r="176">
      <c r="D176" s="7" t="n"/>
      <c r="E176" s="7" t="n"/>
      <c r="F176" s="7" t="n"/>
      <c r="G176" s="7" t="n"/>
    </row>
    <row r="177">
      <c r="D177" s="7" t="n"/>
      <c r="E177" s="7" t="n"/>
      <c r="F177" s="7" t="n"/>
      <c r="G177" s="7" t="n"/>
    </row>
    <row r="178">
      <c r="D178" s="7" t="n"/>
      <c r="E178" s="7" t="n"/>
      <c r="F178" s="7" t="n"/>
      <c r="G178" s="7" t="n"/>
    </row>
    <row r="179">
      <c r="D179" s="7" t="n"/>
      <c r="E179" s="7" t="n"/>
      <c r="F179" s="7" t="n"/>
      <c r="G179" s="7" t="n"/>
    </row>
    <row r="180">
      <c r="D180" s="7" t="n"/>
      <c r="E180" s="7" t="n"/>
      <c r="F180" s="7" t="n"/>
      <c r="G180" s="7" t="n"/>
    </row>
    <row r="181">
      <c r="D181" s="7" t="n"/>
      <c r="E181" s="7" t="n"/>
      <c r="F181" s="7" t="n"/>
      <c r="G181" s="7" t="n"/>
    </row>
    <row r="182">
      <c r="D182" s="7" t="n"/>
      <c r="E182" s="7" t="n"/>
      <c r="F182" s="7" t="n"/>
      <c r="G182" s="7" t="n"/>
    </row>
    <row r="183">
      <c r="D183" s="7" t="n"/>
      <c r="E183" s="7" t="n"/>
      <c r="F183" s="7" t="n"/>
      <c r="G183" s="7" t="n"/>
    </row>
    <row r="184">
      <c r="D184" s="7" t="n"/>
      <c r="E184" s="7" t="n"/>
      <c r="F184" s="7" t="n"/>
      <c r="G184" s="7" t="n"/>
    </row>
    <row r="185">
      <c r="D185" s="7" t="n"/>
      <c r="E185" s="7" t="n"/>
      <c r="F185" s="7" t="n"/>
      <c r="G185" s="7" t="n"/>
    </row>
    <row r="186">
      <c r="D186" s="7" t="n"/>
      <c r="E186" s="7" t="n"/>
      <c r="F186" s="7" t="n"/>
      <c r="G186" s="7" t="n"/>
    </row>
    <row r="187">
      <c r="D187" s="7" t="n"/>
      <c r="E187" s="7" t="n"/>
      <c r="F187" s="7" t="n"/>
      <c r="G187" s="7" t="n"/>
    </row>
    <row r="188">
      <c r="D188" s="7" t="n"/>
      <c r="E188" s="7" t="n"/>
      <c r="F188" s="7" t="n"/>
      <c r="G188" s="7" t="n"/>
    </row>
    <row r="189">
      <c r="D189" s="7" t="n"/>
      <c r="E189" s="7" t="n"/>
      <c r="F189" s="7" t="n"/>
      <c r="G189" s="7" t="n"/>
    </row>
    <row r="190">
      <c r="D190" s="7" t="n"/>
      <c r="E190" s="7" t="n"/>
      <c r="F190" s="7" t="n"/>
      <c r="G190" s="7" t="n"/>
    </row>
    <row r="191">
      <c r="D191" s="7" t="n"/>
      <c r="E191" s="7" t="n"/>
      <c r="F191" s="7" t="n"/>
      <c r="G191" s="7" t="n"/>
    </row>
    <row r="192">
      <c r="D192" s="7" t="n"/>
      <c r="E192" s="7" t="n"/>
      <c r="F192" s="7" t="n"/>
      <c r="G192" s="7" t="n"/>
    </row>
    <row r="193">
      <c r="D193" s="7" t="n"/>
      <c r="E193" s="7" t="n"/>
      <c r="F193" s="7" t="n"/>
      <c r="G193" s="7" t="n"/>
    </row>
    <row r="194">
      <c r="D194" s="7" t="n"/>
      <c r="E194" s="7" t="n"/>
      <c r="F194" s="7" t="n"/>
      <c r="G194" s="7" t="n"/>
    </row>
    <row r="195">
      <c r="D195" s="7" t="n"/>
      <c r="E195" s="7" t="n"/>
      <c r="F195" s="7" t="n"/>
      <c r="G195" s="7" t="n"/>
    </row>
    <row r="196">
      <c r="D196" s="7" t="n"/>
      <c r="E196" s="7" t="n"/>
      <c r="F196" s="7" t="n"/>
      <c r="G196" s="7" t="n"/>
    </row>
    <row r="197">
      <c r="D197" s="7" t="n"/>
      <c r="E197" s="7" t="n"/>
      <c r="F197" s="7" t="n"/>
      <c r="G197" s="7" t="n"/>
    </row>
    <row r="198">
      <c r="D198" s="7" t="n"/>
      <c r="E198" s="7" t="n"/>
      <c r="F198" s="7" t="n"/>
      <c r="G198" s="7" t="n"/>
    </row>
    <row r="199">
      <c r="D199" s="7" t="n"/>
      <c r="E199" s="7" t="n"/>
      <c r="F199" s="7" t="n"/>
      <c r="G199" s="7" t="n"/>
    </row>
    <row r="200">
      <c r="D200" s="7" t="n"/>
      <c r="E200" s="7" t="n"/>
      <c r="F200" s="7" t="n"/>
      <c r="G200" s="7" t="n"/>
    </row>
    <row r="201">
      <c r="D201" s="7" t="n"/>
      <c r="E201" s="7" t="n"/>
      <c r="F201" s="7" t="n"/>
      <c r="G201" s="7" t="n"/>
    </row>
    <row r="202">
      <c r="D202" s="7" t="n"/>
      <c r="E202" s="7" t="n"/>
      <c r="F202" s="7" t="n"/>
      <c r="G202" s="7" t="n"/>
    </row>
    <row r="203">
      <c r="D203" s="7" t="n"/>
      <c r="E203" s="7" t="n"/>
      <c r="F203" s="7" t="n"/>
      <c r="G203" s="7" t="n"/>
    </row>
    <row r="204">
      <c r="D204" s="7" t="n"/>
      <c r="E204" s="7" t="n"/>
      <c r="F204" s="7" t="n"/>
      <c r="G204" s="7" t="n"/>
    </row>
    <row r="205">
      <c r="D205" s="7" t="n"/>
      <c r="E205" s="7" t="n"/>
      <c r="F205" s="7" t="n"/>
      <c r="G205" s="7" t="n"/>
    </row>
    <row r="206">
      <c r="D206" s="7" t="n"/>
      <c r="E206" s="7" t="n"/>
      <c r="F206" s="7" t="n"/>
      <c r="G206" s="7" t="n"/>
    </row>
    <row r="207">
      <c r="D207" s="7" t="n"/>
      <c r="E207" s="7" t="n"/>
      <c r="F207" s="7" t="n"/>
      <c r="G207" s="7" t="n"/>
    </row>
    <row r="208">
      <c r="D208" s="7" t="n"/>
      <c r="E208" s="7" t="n"/>
      <c r="F208" s="7" t="n"/>
      <c r="G208" s="7" t="n"/>
    </row>
    <row r="209">
      <c r="D209" s="7" t="n"/>
      <c r="E209" s="7" t="n"/>
      <c r="F209" s="7" t="n"/>
      <c r="G209" s="7" t="n"/>
    </row>
    <row r="210">
      <c r="D210" s="7" t="n"/>
      <c r="E210" s="7" t="n"/>
      <c r="F210" s="7" t="n"/>
      <c r="G210" s="7" t="n"/>
    </row>
    <row r="211">
      <c r="D211" s="7" t="n"/>
      <c r="E211" s="7" t="n"/>
      <c r="F211" s="7" t="n"/>
      <c r="G211" s="7" t="n"/>
    </row>
    <row r="212">
      <c r="D212" s="7" t="n"/>
      <c r="E212" s="7" t="n"/>
      <c r="F212" s="7" t="n"/>
      <c r="G212" s="7" t="n"/>
    </row>
    <row r="213">
      <c r="D213" s="7" t="n"/>
      <c r="E213" s="7" t="n"/>
      <c r="F213" s="7" t="n"/>
      <c r="G213" s="7" t="n"/>
    </row>
    <row r="214">
      <c r="D214" s="7" t="n"/>
      <c r="E214" s="7" t="n"/>
      <c r="F214" s="7" t="n"/>
      <c r="G214" s="7" t="n"/>
    </row>
    <row r="215">
      <c r="D215" s="7" t="n"/>
      <c r="E215" s="7" t="n"/>
      <c r="F215" s="7" t="n"/>
      <c r="G215" s="7" t="n"/>
    </row>
    <row r="216">
      <c r="D216" s="7" t="n"/>
      <c r="E216" s="7" t="n"/>
      <c r="F216" s="7" t="n"/>
      <c r="G216" s="7" t="n"/>
    </row>
    <row r="217">
      <c r="D217" s="7" t="n"/>
      <c r="E217" s="7" t="n"/>
      <c r="F217" s="7" t="n"/>
      <c r="G217" s="7" t="n"/>
    </row>
    <row r="218">
      <c r="D218" s="7" t="n"/>
      <c r="E218" s="7" t="n"/>
      <c r="F218" s="7" t="n"/>
      <c r="G218" s="7" t="n"/>
    </row>
    <row r="219">
      <c r="D219" s="7" t="n"/>
      <c r="E219" s="7" t="n"/>
      <c r="F219" s="7" t="n"/>
      <c r="G219" s="7" t="n"/>
    </row>
    <row r="220">
      <c r="D220" s="7" t="n"/>
      <c r="E220" s="7" t="n"/>
      <c r="F220" s="7" t="n"/>
      <c r="G220" s="7" t="n"/>
    </row>
    <row r="221">
      <c r="D221" s="7" t="n"/>
      <c r="E221" s="7" t="n"/>
      <c r="F221" s="7" t="n"/>
      <c r="G221" s="7" t="n"/>
    </row>
    <row r="222">
      <c r="D222" s="7" t="n"/>
      <c r="E222" s="7" t="n"/>
      <c r="F222" s="7" t="n"/>
      <c r="G222" s="7" t="n"/>
    </row>
    <row r="223">
      <c r="D223" s="7" t="n"/>
      <c r="E223" s="7" t="n"/>
      <c r="F223" s="7" t="n"/>
      <c r="G223" s="7" t="n"/>
    </row>
    <row r="224">
      <c r="D224" s="7" t="n"/>
      <c r="E224" s="7" t="n"/>
      <c r="F224" s="7" t="n"/>
      <c r="G224" s="7" t="n"/>
    </row>
    <row r="225">
      <c r="D225" s="7" t="n"/>
      <c r="E225" s="7" t="n"/>
      <c r="F225" s="7" t="n"/>
      <c r="G225" s="7" t="n"/>
    </row>
    <row r="226">
      <c r="D226" s="7" t="n"/>
      <c r="E226" s="7" t="n"/>
      <c r="F226" s="7" t="n"/>
      <c r="G226" s="7" t="n"/>
    </row>
    <row r="227">
      <c r="D227" s="7" t="n"/>
      <c r="E227" s="7" t="n"/>
      <c r="F227" s="7" t="n"/>
      <c r="G227" s="7" t="n"/>
    </row>
    <row r="228">
      <c r="D228" s="7" t="n"/>
      <c r="E228" s="7" t="n"/>
      <c r="F228" s="7" t="n"/>
      <c r="G228" s="7" t="n"/>
    </row>
    <row r="229">
      <c r="D229" s="7" t="n"/>
      <c r="E229" s="7" t="n"/>
      <c r="F229" s="7" t="n"/>
      <c r="G229" s="7" t="n"/>
    </row>
    <row r="230">
      <c r="D230" s="7" t="n"/>
      <c r="E230" s="7" t="n"/>
      <c r="F230" s="7" t="n"/>
      <c r="G230" s="7" t="n"/>
    </row>
    <row r="231">
      <c r="D231" s="7" t="n"/>
      <c r="E231" s="7" t="n"/>
      <c r="F231" s="7" t="n"/>
      <c r="G231" s="7" t="n"/>
    </row>
    <row r="232">
      <c r="D232" s="7" t="n"/>
      <c r="E232" s="7" t="n"/>
      <c r="F232" s="7" t="n"/>
      <c r="G232" s="7" t="n"/>
    </row>
    <row r="233">
      <c r="D233" s="7" t="n"/>
      <c r="E233" s="7" t="n"/>
      <c r="F233" s="7" t="n"/>
      <c r="G233" s="7" t="n"/>
    </row>
    <row r="234">
      <c r="D234" s="7" t="n"/>
      <c r="E234" s="7" t="n"/>
      <c r="F234" s="7" t="n"/>
      <c r="G234" s="7" t="n"/>
    </row>
    <row r="235">
      <c r="D235" s="7" t="n"/>
      <c r="E235" s="7" t="n"/>
      <c r="F235" s="7" t="n"/>
      <c r="G235" s="7" t="n"/>
    </row>
    <row r="236">
      <c r="D236" s="7" t="n"/>
      <c r="E236" s="7" t="n"/>
      <c r="F236" s="7" t="n"/>
      <c r="G236" s="7" t="n"/>
    </row>
    <row r="237">
      <c r="D237" s="7" t="n"/>
      <c r="E237" s="7" t="n"/>
      <c r="F237" s="7" t="n"/>
      <c r="G237" s="7" t="n"/>
    </row>
    <row r="238">
      <c r="D238" s="7" t="n"/>
      <c r="E238" s="7" t="n"/>
      <c r="F238" s="7" t="n"/>
      <c r="G238" s="7" t="n"/>
    </row>
    <row r="239">
      <c r="D239" s="7" t="n"/>
      <c r="E239" s="7" t="n"/>
      <c r="F239" s="7" t="n"/>
      <c r="G239" s="7" t="n"/>
    </row>
    <row r="240">
      <c r="D240" s="7" t="n"/>
      <c r="E240" s="7" t="n"/>
      <c r="F240" s="7" t="n"/>
      <c r="G240" s="7" t="n"/>
    </row>
    <row r="241">
      <c r="D241" s="7" t="n"/>
      <c r="E241" s="7" t="n"/>
      <c r="F241" s="7" t="n"/>
      <c r="G241" s="7" t="n"/>
    </row>
    <row r="242">
      <c r="D242" s="7" t="n"/>
      <c r="E242" s="7" t="n"/>
      <c r="F242" s="7" t="n"/>
      <c r="G242" s="7" t="n"/>
    </row>
    <row r="243">
      <c r="D243" s="7" t="n"/>
      <c r="E243" s="7" t="n"/>
      <c r="F243" s="7" t="n"/>
      <c r="G243" s="7" t="n"/>
    </row>
    <row r="244">
      <c r="D244" s="7" t="n"/>
      <c r="E244" s="7" t="n"/>
      <c r="F244" s="7" t="n"/>
      <c r="G244" s="7" t="n"/>
    </row>
    <row r="245">
      <c r="D245" s="7" t="n"/>
      <c r="E245" s="7" t="n"/>
      <c r="F245" s="7" t="n"/>
      <c r="G245" s="7" t="n"/>
    </row>
    <row r="246">
      <c r="D246" s="7" t="n"/>
      <c r="E246" s="7" t="n"/>
      <c r="F246" s="7" t="n"/>
      <c r="G246" s="7" t="n"/>
    </row>
    <row r="247">
      <c r="D247" s="7" t="n"/>
      <c r="E247" s="7" t="n"/>
      <c r="F247" s="7" t="n"/>
      <c r="G247" s="7" t="n"/>
    </row>
    <row r="248">
      <c r="D248" s="7" t="n"/>
      <c r="E248" s="7" t="n"/>
      <c r="F248" s="7" t="n"/>
      <c r="G248" s="7" t="n"/>
    </row>
    <row r="249">
      <c r="D249" s="7" t="n"/>
      <c r="E249" s="7" t="n"/>
      <c r="F249" s="7" t="n"/>
      <c r="G249" s="7" t="n"/>
    </row>
    <row r="250">
      <c r="D250" s="7" t="n"/>
      <c r="E250" s="7" t="n"/>
      <c r="F250" s="7" t="n"/>
      <c r="G250" s="7" t="n"/>
    </row>
    <row r="251">
      <c r="D251" s="7" t="n"/>
      <c r="E251" s="7" t="n"/>
      <c r="F251" s="7" t="n"/>
      <c r="G251" s="7" t="n"/>
    </row>
    <row r="252">
      <c r="D252" s="7" t="n"/>
      <c r="E252" s="7" t="n"/>
      <c r="F252" s="7" t="n"/>
      <c r="G252" s="7" t="n"/>
    </row>
    <row r="253">
      <c r="D253" s="7" t="n"/>
      <c r="E253" s="7" t="n"/>
      <c r="F253" s="7" t="n"/>
      <c r="G253" s="7" t="n"/>
    </row>
    <row r="254">
      <c r="D254" s="7" t="n"/>
      <c r="E254" s="7" t="n"/>
      <c r="F254" s="7" t="n"/>
      <c r="G254" s="7" t="n"/>
    </row>
    <row r="255">
      <c r="D255" s="7" t="n"/>
      <c r="E255" s="7" t="n"/>
      <c r="F255" s="7" t="n"/>
      <c r="G255" s="7" t="n"/>
    </row>
    <row r="256">
      <c r="D256" s="7" t="n"/>
      <c r="E256" s="7" t="n"/>
      <c r="F256" s="7" t="n"/>
      <c r="G256" s="7" t="n"/>
    </row>
    <row r="257">
      <c r="D257" s="7" t="n"/>
      <c r="E257" s="7" t="n"/>
      <c r="F257" s="7" t="n"/>
      <c r="G257" s="7" t="n"/>
    </row>
    <row r="258">
      <c r="D258" s="7" t="n"/>
      <c r="E258" s="7" t="n"/>
      <c r="F258" s="7" t="n"/>
      <c r="G258" s="7" t="n"/>
    </row>
    <row r="259">
      <c r="D259" s="7" t="n"/>
      <c r="E259" s="7" t="n"/>
      <c r="F259" s="7" t="n"/>
      <c r="G259" s="7" t="n"/>
    </row>
    <row r="260">
      <c r="D260" s="7" t="n"/>
      <c r="E260" s="7" t="n"/>
      <c r="F260" s="7" t="n"/>
      <c r="G260" s="7" t="n"/>
    </row>
    <row r="261">
      <c r="D261" s="7" t="n"/>
      <c r="E261" s="7" t="n"/>
      <c r="F261" s="7" t="n"/>
      <c r="G261" s="7" t="n"/>
    </row>
    <row r="262">
      <c r="D262" s="7" t="n"/>
      <c r="E262" s="7" t="n"/>
      <c r="F262" s="7" t="n"/>
      <c r="G262" s="7" t="n"/>
    </row>
    <row r="263">
      <c r="D263" s="7" t="n"/>
      <c r="E263" s="7" t="n"/>
      <c r="F263" s="7" t="n"/>
      <c r="G263" s="7" t="n"/>
    </row>
    <row r="264">
      <c r="D264" s="7" t="n"/>
      <c r="E264" s="7" t="n"/>
      <c r="F264" s="7" t="n"/>
      <c r="G264" s="7" t="n"/>
    </row>
    <row r="265">
      <c r="D265" s="7" t="n"/>
      <c r="E265" s="7" t="n"/>
      <c r="F265" s="7" t="n"/>
      <c r="G265" s="7" t="n"/>
    </row>
    <row r="266">
      <c r="D266" s="7" t="n"/>
      <c r="E266" s="7" t="n"/>
      <c r="F266" s="7" t="n"/>
      <c r="G266" s="7" t="n"/>
    </row>
    <row r="267">
      <c r="D267" s="7" t="n"/>
      <c r="E267" s="7" t="n"/>
      <c r="F267" s="7" t="n"/>
      <c r="G267" s="7" t="n"/>
    </row>
    <row r="268">
      <c r="D268" s="7" t="n"/>
      <c r="E268" s="7" t="n"/>
      <c r="F268" s="7" t="n"/>
      <c r="G268" s="7" t="n"/>
    </row>
    <row r="269">
      <c r="D269" s="7" t="n"/>
      <c r="E269" s="7" t="n"/>
      <c r="F269" s="7" t="n"/>
      <c r="G269" s="7" t="n"/>
    </row>
    <row r="270">
      <c r="D270" s="7" t="n"/>
      <c r="E270" s="7" t="n"/>
      <c r="F270" s="7" t="n"/>
      <c r="G270" s="7" t="n"/>
    </row>
    <row r="271">
      <c r="D271" s="7" t="n"/>
      <c r="E271" s="7" t="n"/>
      <c r="F271" s="7" t="n"/>
      <c r="G271" s="7" t="n"/>
    </row>
    <row r="272">
      <c r="D272" s="7" t="n"/>
      <c r="E272" s="7" t="n"/>
      <c r="F272" s="7" t="n"/>
      <c r="G272" s="7" t="n"/>
    </row>
    <row r="273">
      <c r="D273" s="7" t="n"/>
      <c r="E273" s="7" t="n"/>
      <c r="F273" s="7" t="n"/>
      <c r="G273" s="7" t="n"/>
    </row>
    <row r="274">
      <c r="D274" s="7" t="n"/>
      <c r="E274" s="7" t="n"/>
      <c r="F274" s="7" t="n"/>
      <c r="G274" s="7" t="n"/>
    </row>
    <row r="275">
      <c r="D275" s="7" t="n"/>
      <c r="E275" s="7" t="n"/>
      <c r="F275" s="7" t="n"/>
      <c r="G275" s="7" t="n"/>
    </row>
    <row r="276">
      <c r="D276" s="7" t="n"/>
      <c r="E276" s="7" t="n"/>
      <c r="F276" s="7" t="n"/>
      <c r="G276" s="7" t="n"/>
    </row>
    <row r="277">
      <c r="D277" s="7" t="n"/>
      <c r="E277" s="7" t="n"/>
      <c r="F277" s="7" t="n"/>
      <c r="G277" s="7" t="n"/>
    </row>
    <row r="278">
      <c r="D278" s="7" t="n"/>
      <c r="E278" s="7" t="n"/>
      <c r="F278" s="7" t="n"/>
      <c r="G278" s="7" t="n"/>
    </row>
    <row r="279">
      <c r="D279" s="7" t="n"/>
      <c r="E279" s="7" t="n"/>
      <c r="F279" s="7" t="n"/>
      <c r="G279" s="7" t="n"/>
    </row>
    <row r="280">
      <c r="D280" s="7" t="n"/>
      <c r="E280" s="7" t="n"/>
      <c r="F280" s="7" t="n"/>
      <c r="G280" s="7" t="n"/>
    </row>
    <row r="281">
      <c r="D281" s="7" t="n"/>
      <c r="E281" s="7" t="n"/>
      <c r="F281" s="7" t="n"/>
      <c r="G281" s="7" t="n"/>
    </row>
    <row r="282">
      <c r="D282" s="7" t="n"/>
      <c r="E282" s="7" t="n"/>
      <c r="F282" s="7" t="n"/>
      <c r="G282" s="7" t="n"/>
    </row>
    <row r="283">
      <c r="D283" s="7" t="n"/>
      <c r="E283" s="7" t="n"/>
      <c r="F283" s="7" t="n"/>
      <c r="G283" s="7" t="n"/>
    </row>
    <row r="284">
      <c r="D284" s="7" t="n"/>
      <c r="E284" s="7" t="n"/>
      <c r="F284" s="7" t="n"/>
      <c r="G284" s="7" t="n"/>
    </row>
    <row r="285">
      <c r="D285" s="7" t="n"/>
      <c r="E285" s="7" t="n"/>
      <c r="F285" s="7" t="n"/>
      <c r="G285" s="7" t="n"/>
    </row>
    <row r="286">
      <c r="D286" s="7" t="n"/>
      <c r="E286" s="7" t="n"/>
      <c r="F286" s="7" t="n"/>
      <c r="G286" s="7" t="n"/>
    </row>
    <row r="287">
      <c r="D287" s="7" t="n"/>
      <c r="E287" s="7" t="n"/>
      <c r="F287" s="7" t="n"/>
      <c r="G287" s="7" t="n"/>
    </row>
    <row r="288">
      <c r="D288" s="7" t="n"/>
      <c r="E288" s="7" t="n"/>
      <c r="F288" s="7" t="n"/>
      <c r="G288" s="7" t="n"/>
    </row>
    <row r="289">
      <c r="D289" s="7" t="n"/>
      <c r="E289" s="7" t="n"/>
      <c r="F289" s="7" t="n"/>
      <c r="G289" s="7" t="n"/>
    </row>
    <row r="290">
      <c r="D290" s="7" t="n"/>
      <c r="E290" s="7" t="n"/>
      <c r="F290" s="7" t="n"/>
      <c r="G290" s="7" t="n"/>
    </row>
    <row r="291">
      <c r="D291" s="7" t="n"/>
      <c r="E291" s="7" t="n"/>
      <c r="F291" s="7" t="n"/>
      <c r="G291" s="7" t="n"/>
    </row>
    <row r="292">
      <c r="D292" s="7" t="n"/>
      <c r="E292" s="7" t="n"/>
      <c r="F292" s="7" t="n"/>
      <c r="G292" s="7" t="n"/>
    </row>
    <row r="293">
      <c r="D293" s="7" t="n"/>
      <c r="E293" s="7" t="n"/>
      <c r="F293" s="7" t="n"/>
      <c r="G293" s="7" t="n"/>
    </row>
    <row r="294">
      <c r="D294" s="7" t="n"/>
      <c r="E294" s="7" t="n"/>
      <c r="F294" s="7" t="n"/>
      <c r="G294" s="7" t="n"/>
    </row>
    <row r="295">
      <c r="D295" s="7" t="n"/>
      <c r="E295" s="7" t="n"/>
      <c r="F295" s="7" t="n"/>
      <c r="G295" s="7" t="n"/>
    </row>
    <row r="296">
      <c r="D296" s="7" t="n"/>
      <c r="E296" s="7" t="n"/>
      <c r="F296" s="7" t="n"/>
      <c r="G296" s="7" t="n"/>
    </row>
    <row r="297">
      <c r="D297" s="7" t="n"/>
      <c r="E297" s="7" t="n"/>
      <c r="F297" s="7" t="n"/>
      <c r="G297" s="7" t="n"/>
    </row>
    <row r="298">
      <c r="D298" s="7" t="n"/>
      <c r="E298" s="7" t="n"/>
      <c r="F298" s="7" t="n"/>
      <c r="G298" s="7" t="n"/>
    </row>
    <row r="299">
      <c r="D299" s="7" t="n"/>
      <c r="E299" s="7" t="n"/>
      <c r="F299" s="7" t="n"/>
      <c r="G299" s="7" t="n"/>
    </row>
    <row r="300">
      <c r="D300" s="7" t="n"/>
      <c r="E300" s="7" t="n"/>
      <c r="F300" s="7" t="n"/>
      <c r="G300" s="7" t="n"/>
    </row>
    <row r="301">
      <c r="D301" s="7" t="n"/>
      <c r="E301" s="7" t="n"/>
      <c r="F301" s="7" t="n"/>
      <c r="G301" s="7" t="n"/>
    </row>
    <row r="302">
      <c r="D302" s="7" t="n"/>
      <c r="E302" s="7" t="n"/>
      <c r="F302" s="7" t="n"/>
      <c r="G302" s="7" t="n"/>
    </row>
    <row r="303">
      <c r="D303" s="7" t="n"/>
      <c r="E303" s="7" t="n"/>
      <c r="F303" s="7" t="n"/>
      <c r="G303" s="7" t="n"/>
    </row>
    <row r="304">
      <c r="D304" s="7" t="n"/>
      <c r="E304" s="7" t="n"/>
      <c r="F304" s="7" t="n"/>
      <c r="G304" s="7" t="n"/>
    </row>
    <row r="305">
      <c r="D305" s="7" t="n"/>
      <c r="E305" s="7" t="n"/>
      <c r="F305" s="7" t="n"/>
      <c r="G305" s="7" t="n"/>
    </row>
    <row r="306">
      <c r="D306" s="7" t="n"/>
      <c r="E306" s="7" t="n"/>
      <c r="F306" s="7" t="n"/>
      <c r="G306" s="7" t="n"/>
    </row>
    <row r="307">
      <c r="D307" s="7" t="n"/>
      <c r="E307" s="7" t="n"/>
      <c r="F307" s="7" t="n"/>
      <c r="G307" s="7" t="n"/>
    </row>
    <row r="308">
      <c r="D308" s="7" t="n"/>
      <c r="E308" s="7" t="n"/>
      <c r="F308" s="7" t="n"/>
      <c r="G308" s="7" t="n"/>
    </row>
    <row r="309">
      <c r="D309" s="7" t="n"/>
      <c r="E309" s="7" t="n"/>
      <c r="F309" s="7" t="n"/>
      <c r="G309" s="7" t="n"/>
    </row>
    <row r="310">
      <c r="D310" s="7" t="n"/>
      <c r="E310" s="7" t="n"/>
      <c r="F310" s="7" t="n"/>
      <c r="G310" s="7" t="n"/>
    </row>
    <row r="311">
      <c r="D311" s="7" t="n"/>
      <c r="E311" s="7" t="n"/>
      <c r="F311" s="7" t="n"/>
      <c r="G311" s="7" t="n"/>
    </row>
    <row r="312">
      <c r="D312" s="7" t="n"/>
      <c r="E312" s="7" t="n"/>
      <c r="F312" s="7" t="n"/>
      <c r="G312" s="7" t="n"/>
    </row>
    <row r="313">
      <c r="D313" s="7" t="n"/>
      <c r="E313" s="7" t="n"/>
      <c r="F313" s="7" t="n"/>
      <c r="G313" s="7" t="n"/>
    </row>
    <row r="314">
      <c r="D314" s="7" t="n"/>
      <c r="E314" s="7" t="n"/>
      <c r="F314" s="7" t="n"/>
      <c r="G314" s="7" t="n"/>
    </row>
    <row r="315">
      <c r="D315" s="7" t="n"/>
      <c r="E315" s="7" t="n"/>
      <c r="F315" s="7" t="n"/>
      <c r="G315" s="7" t="n"/>
    </row>
    <row r="316">
      <c r="D316" s="7" t="n"/>
      <c r="E316" s="7" t="n"/>
      <c r="F316" s="7" t="n"/>
      <c r="G316" s="7" t="n"/>
    </row>
    <row r="317">
      <c r="D317" s="7" t="n"/>
      <c r="E317" s="7" t="n"/>
      <c r="F317" s="7" t="n"/>
      <c r="G317" s="7" t="n"/>
    </row>
    <row r="318">
      <c r="D318" s="7" t="n"/>
      <c r="E318" s="7" t="n"/>
      <c r="F318" s="7" t="n"/>
      <c r="G318" s="7" t="n"/>
    </row>
    <row r="319">
      <c r="D319" s="7" t="n"/>
      <c r="E319" s="7" t="n"/>
      <c r="F319" s="7" t="n"/>
      <c r="G319" s="7" t="n"/>
    </row>
    <row r="320">
      <c r="D320" s="7" t="n"/>
      <c r="E320" s="7" t="n"/>
      <c r="F320" s="7" t="n"/>
      <c r="G320" s="7" t="n"/>
    </row>
    <row r="321">
      <c r="D321" s="7" t="n"/>
      <c r="E321" s="7" t="n"/>
      <c r="F321" s="7" t="n"/>
      <c r="G321" s="7" t="n"/>
    </row>
    <row r="322">
      <c r="D322" s="7" t="n"/>
      <c r="E322" s="7" t="n"/>
      <c r="F322" s="7" t="n"/>
      <c r="G322" s="7" t="n"/>
    </row>
    <row r="323">
      <c r="D323" s="7" t="n"/>
      <c r="E323" s="7" t="n"/>
      <c r="F323" s="7" t="n"/>
      <c r="G323" s="7" t="n"/>
    </row>
    <row r="324">
      <c r="D324" s="7" t="n"/>
      <c r="E324" s="7" t="n"/>
      <c r="F324" s="7" t="n"/>
      <c r="G324" s="7" t="n"/>
    </row>
    <row r="325">
      <c r="D325" s="7" t="n"/>
      <c r="E325" s="7" t="n"/>
      <c r="F325" s="7" t="n"/>
      <c r="G325" s="7" t="n"/>
    </row>
    <row r="326">
      <c r="D326" s="7" t="n"/>
      <c r="E326" s="7" t="n"/>
      <c r="F326" s="7" t="n"/>
      <c r="G326" s="7" t="n"/>
    </row>
    <row r="327">
      <c r="D327" s="7" t="n"/>
      <c r="E327" s="7" t="n"/>
      <c r="F327" s="7" t="n"/>
      <c r="G327" s="7" t="n"/>
    </row>
    <row r="328">
      <c r="D328" s="7" t="n"/>
      <c r="E328" s="7" t="n"/>
      <c r="F328" s="7" t="n"/>
      <c r="G328" s="7" t="n"/>
    </row>
    <row r="329">
      <c r="D329" s="7" t="n"/>
      <c r="E329" s="7" t="n"/>
      <c r="F329" s="7" t="n"/>
      <c r="G329" s="7" t="n"/>
    </row>
    <row r="330">
      <c r="D330" s="7" t="n"/>
      <c r="E330" s="7" t="n"/>
      <c r="F330" s="7" t="n"/>
      <c r="G330" s="7" t="n"/>
    </row>
    <row r="331">
      <c r="D331" s="7" t="n"/>
      <c r="E331" s="7" t="n"/>
      <c r="F331" s="7" t="n"/>
      <c r="G331" s="7" t="n"/>
    </row>
    <row r="332">
      <c r="D332" s="7" t="n"/>
      <c r="E332" s="7" t="n"/>
      <c r="F332" s="7" t="n"/>
      <c r="G332" s="7" t="n"/>
    </row>
    <row r="333">
      <c r="D333" s="7" t="n"/>
      <c r="E333" s="7" t="n"/>
      <c r="F333" s="7" t="n"/>
      <c r="G333" s="7" t="n"/>
    </row>
    <row r="334">
      <c r="D334" s="7" t="n"/>
      <c r="E334" s="7" t="n"/>
      <c r="F334" s="7" t="n"/>
      <c r="G334" s="7" t="n"/>
    </row>
    <row r="335">
      <c r="D335" s="7" t="n"/>
      <c r="E335" s="7" t="n"/>
      <c r="F335" s="7" t="n"/>
      <c r="G335" s="7" t="n"/>
    </row>
    <row r="336">
      <c r="D336" s="7" t="n"/>
      <c r="E336" s="7" t="n"/>
      <c r="F336" s="7" t="n"/>
      <c r="G336" s="7" t="n"/>
    </row>
    <row r="337">
      <c r="D337" s="7" t="n"/>
      <c r="E337" s="7" t="n"/>
      <c r="F337" s="7" t="n"/>
      <c r="G337" s="7" t="n"/>
    </row>
    <row r="338">
      <c r="D338" s="7" t="n"/>
      <c r="E338" s="7" t="n"/>
      <c r="F338" s="7" t="n"/>
      <c r="G338" s="7" t="n"/>
    </row>
    <row r="339">
      <c r="D339" s="7" t="n"/>
      <c r="E339" s="7" t="n"/>
      <c r="F339" s="7" t="n"/>
      <c r="G339" s="7" t="n"/>
    </row>
    <row r="340">
      <c r="D340" s="7" t="n"/>
      <c r="E340" s="7" t="n"/>
      <c r="F340" s="7" t="n"/>
      <c r="G340" s="7" t="n"/>
    </row>
    <row r="341">
      <c r="D341" s="7" t="n"/>
      <c r="E341" s="7" t="n"/>
      <c r="F341" s="7" t="n"/>
      <c r="G341" s="7" t="n"/>
    </row>
    <row r="342">
      <c r="D342" s="7" t="n"/>
      <c r="E342" s="7" t="n"/>
      <c r="F342" s="7" t="n"/>
      <c r="G342" s="7" t="n"/>
    </row>
    <row r="343">
      <c r="D343" s="7" t="n"/>
      <c r="E343" s="7" t="n"/>
      <c r="F343" s="7" t="n"/>
      <c r="G343" s="7" t="n"/>
    </row>
    <row r="344">
      <c r="D344" s="7" t="n"/>
      <c r="E344" s="7" t="n"/>
      <c r="F344" s="7" t="n"/>
      <c r="G344" s="7" t="n"/>
    </row>
    <row r="345">
      <c r="D345" s="7" t="n"/>
      <c r="E345" s="7" t="n"/>
      <c r="F345" s="7" t="n"/>
      <c r="G345" s="7" t="n"/>
    </row>
    <row r="346">
      <c r="D346" s="7" t="n"/>
      <c r="E346" s="7" t="n"/>
      <c r="F346" s="7" t="n"/>
      <c r="G346" s="7" t="n"/>
    </row>
    <row r="347">
      <c r="D347" s="7" t="n"/>
      <c r="E347" s="7" t="n"/>
      <c r="F347" s="7" t="n"/>
      <c r="G347" s="7" t="n"/>
    </row>
    <row r="348">
      <c r="D348" s="7" t="n"/>
      <c r="E348" s="7" t="n"/>
      <c r="F348" s="7" t="n"/>
      <c r="G348" s="7" t="n"/>
    </row>
    <row r="349">
      <c r="D349" s="7" t="n"/>
      <c r="E349" s="7" t="n"/>
      <c r="F349" s="7" t="n"/>
      <c r="G349" s="7" t="n"/>
    </row>
    <row r="350">
      <c r="D350" s="7" t="n"/>
      <c r="E350" s="7" t="n"/>
      <c r="F350" s="7" t="n"/>
      <c r="G350" s="7" t="n"/>
    </row>
    <row r="351">
      <c r="D351" s="7" t="n"/>
      <c r="E351" s="7" t="n"/>
      <c r="F351" s="7" t="n"/>
      <c r="G351" s="7" t="n"/>
    </row>
    <row r="352">
      <c r="D352" s="7" t="n"/>
      <c r="E352" s="7" t="n"/>
      <c r="F352" s="7" t="n"/>
      <c r="G352" s="7" t="n"/>
    </row>
    <row r="353">
      <c r="D353" s="7" t="n"/>
      <c r="E353" s="7" t="n"/>
      <c r="F353" s="7" t="n"/>
      <c r="G353" s="7" t="n"/>
    </row>
    <row r="354">
      <c r="D354" s="7" t="n"/>
      <c r="E354" s="7" t="n"/>
      <c r="F354" s="7" t="n"/>
      <c r="G354" s="7" t="n"/>
    </row>
    <row r="355">
      <c r="D355" s="7" t="n"/>
      <c r="E355" s="7" t="n"/>
      <c r="F355" s="7" t="n"/>
      <c r="G355" s="7" t="n"/>
    </row>
    <row r="356">
      <c r="D356" s="7" t="n"/>
      <c r="E356" s="7" t="n"/>
      <c r="F356" s="7" t="n"/>
      <c r="G356" s="7" t="n"/>
    </row>
    <row r="357">
      <c r="D357" s="7" t="n"/>
      <c r="E357" s="7" t="n"/>
      <c r="F357" s="7" t="n"/>
      <c r="G357" s="7" t="n"/>
    </row>
    <row r="358">
      <c r="D358" s="7" t="n"/>
      <c r="E358" s="7" t="n"/>
      <c r="F358" s="7" t="n"/>
      <c r="G358" s="7" t="n"/>
    </row>
    <row r="359">
      <c r="D359" s="7" t="n"/>
      <c r="E359" s="7" t="n"/>
      <c r="F359" s="7" t="n"/>
      <c r="G359" s="7" t="n"/>
    </row>
    <row r="360">
      <c r="D360" s="7" t="n"/>
      <c r="E360" s="7" t="n"/>
      <c r="F360" s="7" t="n"/>
      <c r="G360" s="7" t="n"/>
    </row>
    <row r="361">
      <c r="D361" s="7" t="n"/>
      <c r="E361" s="7" t="n"/>
      <c r="F361" s="7" t="n"/>
      <c r="G361" s="7" t="n"/>
    </row>
    <row r="362">
      <c r="D362" s="7" t="n"/>
      <c r="E362" s="7" t="n"/>
      <c r="F362" s="7" t="n"/>
      <c r="G362" s="7" t="n"/>
    </row>
    <row r="363">
      <c r="D363" s="7" t="n"/>
      <c r="E363" s="7" t="n"/>
      <c r="F363" s="7" t="n"/>
      <c r="G363" s="7" t="n"/>
    </row>
    <row r="364">
      <c r="D364" s="7" t="n"/>
      <c r="E364" s="7" t="n"/>
      <c r="F364" s="7" t="n"/>
      <c r="G364" s="7" t="n"/>
    </row>
    <row r="365">
      <c r="D365" s="7" t="n"/>
      <c r="E365" s="7" t="n"/>
      <c r="F365" s="7" t="n"/>
      <c r="G365" s="7" t="n"/>
    </row>
    <row r="366">
      <c r="D366" s="7" t="n"/>
      <c r="E366" s="7" t="n"/>
      <c r="F366" s="7" t="n"/>
      <c r="G366" s="7" t="n"/>
    </row>
    <row r="367">
      <c r="D367" s="7" t="n"/>
      <c r="E367" s="7" t="n"/>
      <c r="F367" s="7" t="n"/>
      <c r="G367" s="7" t="n"/>
    </row>
    <row r="368">
      <c r="D368" s="7" t="n"/>
      <c r="E368" s="7" t="n"/>
      <c r="F368" s="7" t="n"/>
      <c r="G368" s="7" t="n"/>
    </row>
    <row r="369">
      <c r="D369" s="7" t="n"/>
      <c r="E369" s="7" t="n"/>
      <c r="F369" s="7" t="n"/>
      <c r="G369" s="7" t="n"/>
    </row>
    <row r="370">
      <c r="D370" s="7" t="n"/>
      <c r="E370" s="7" t="n"/>
      <c r="F370" s="7" t="n"/>
      <c r="G370" s="7" t="n"/>
    </row>
    <row r="371">
      <c r="D371" s="7" t="n"/>
      <c r="E371" s="7" t="n"/>
      <c r="F371" s="7" t="n"/>
      <c r="G371" s="7" t="n"/>
    </row>
    <row r="372">
      <c r="D372" s="7" t="n"/>
      <c r="E372" s="7" t="n"/>
      <c r="F372" s="7" t="n"/>
      <c r="G372" s="7" t="n"/>
    </row>
    <row r="373">
      <c r="D373" s="7" t="n"/>
      <c r="E373" s="7" t="n"/>
      <c r="F373" s="7" t="n"/>
      <c r="G373" s="7" t="n"/>
    </row>
    <row r="374">
      <c r="D374" s="7" t="n"/>
      <c r="E374" s="7" t="n"/>
      <c r="F374" s="7" t="n"/>
      <c r="G374" s="7" t="n"/>
    </row>
    <row r="375">
      <c r="D375" s="7" t="n"/>
      <c r="E375" s="7" t="n"/>
      <c r="F375" s="7" t="n"/>
      <c r="G375" s="7" t="n"/>
    </row>
    <row r="376">
      <c r="D376" s="7" t="n"/>
      <c r="E376" s="7" t="n"/>
      <c r="F376" s="7" t="n"/>
      <c r="G376" s="7" t="n"/>
    </row>
    <row r="377">
      <c r="D377" s="7" t="n"/>
      <c r="E377" s="7" t="n"/>
      <c r="F377" s="7" t="n"/>
      <c r="G377" s="7" t="n"/>
    </row>
    <row r="378">
      <c r="D378" s="7" t="n"/>
      <c r="E378" s="7" t="n"/>
      <c r="F378" s="7" t="n"/>
      <c r="G378" s="7" t="n"/>
    </row>
    <row r="379">
      <c r="D379" s="7" t="n"/>
      <c r="E379" s="7" t="n"/>
      <c r="F379" s="7" t="n"/>
      <c r="G379" s="7" t="n"/>
    </row>
    <row r="380">
      <c r="D380" s="7" t="n"/>
      <c r="E380" s="7" t="n"/>
      <c r="F380" s="7" t="n"/>
      <c r="G380" s="7" t="n"/>
    </row>
    <row r="381">
      <c r="D381" s="7" t="n"/>
      <c r="E381" s="7" t="n"/>
      <c r="F381" s="7" t="n"/>
      <c r="G381" s="7" t="n"/>
    </row>
    <row r="382">
      <c r="D382" s="7" t="n"/>
      <c r="E382" s="7" t="n"/>
      <c r="F382" s="7" t="n"/>
      <c r="G382" s="7" t="n"/>
    </row>
    <row r="383">
      <c r="D383" s="7" t="n"/>
      <c r="E383" s="7" t="n"/>
      <c r="F383" s="7" t="n"/>
      <c r="G383" s="7" t="n"/>
    </row>
    <row r="384">
      <c r="D384" s="7" t="n"/>
      <c r="E384" s="7" t="n"/>
      <c r="F384" s="7" t="n"/>
      <c r="G384" s="7" t="n"/>
    </row>
    <row r="385">
      <c r="D385" s="7" t="n"/>
      <c r="E385" s="7" t="n"/>
      <c r="F385" s="7" t="n"/>
      <c r="G385" s="7" t="n"/>
    </row>
    <row r="386">
      <c r="D386" s="7" t="n"/>
      <c r="E386" s="7" t="n"/>
      <c r="F386" s="7" t="n"/>
      <c r="G386" s="7" t="n"/>
    </row>
    <row r="387">
      <c r="D387" s="7" t="n"/>
      <c r="E387" s="7" t="n"/>
      <c r="F387" s="7" t="n"/>
      <c r="G387" s="7" t="n"/>
    </row>
    <row r="388">
      <c r="D388" s="7" t="n"/>
      <c r="E388" s="7" t="n"/>
      <c r="F388" s="7" t="n"/>
      <c r="G388" s="7" t="n"/>
    </row>
    <row r="389">
      <c r="D389" s="7" t="n"/>
      <c r="E389" s="7" t="n"/>
      <c r="F389" s="7" t="n"/>
      <c r="G389" s="7" t="n"/>
    </row>
    <row r="390">
      <c r="D390" s="7" t="n"/>
      <c r="E390" s="7" t="n"/>
      <c r="F390" s="7" t="n"/>
      <c r="G390" s="7" t="n"/>
    </row>
    <row r="391">
      <c r="D391" s="7" t="n"/>
      <c r="E391" s="7" t="n"/>
      <c r="F391" s="7" t="n"/>
      <c r="G391" s="7" t="n"/>
    </row>
    <row r="392">
      <c r="D392" s="7" t="n"/>
      <c r="E392" s="7" t="n"/>
      <c r="F392" s="7" t="n"/>
      <c r="G392" s="7" t="n"/>
    </row>
    <row r="393">
      <c r="D393" s="7" t="n"/>
      <c r="E393" s="7" t="n"/>
      <c r="F393" s="7" t="n"/>
      <c r="G393" s="7" t="n"/>
    </row>
    <row r="394">
      <c r="D394" s="7" t="n"/>
      <c r="E394" s="7" t="n"/>
      <c r="F394" s="7" t="n"/>
      <c r="G394" s="7" t="n"/>
    </row>
    <row r="395">
      <c r="D395" s="7" t="n"/>
      <c r="E395" s="7" t="n"/>
      <c r="F395" s="7" t="n"/>
      <c r="G395" s="7" t="n"/>
    </row>
    <row r="396">
      <c r="D396" s="7" t="n"/>
      <c r="E396" s="7" t="n"/>
      <c r="F396" s="7" t="n"/>
      <c r="G396" s="7" t="n"/>
    </row>
    <row r="397">
      <c r="D397" s="7" t="n"/>
      <c r="E397" s="7" t="n"/>
      <c r="F397" s="7" t="n"/>
      <c r="G397" s="7" t="n"/>
    </row>
    <row r="398">
      <c r="D398" s="7" t="n"/>
      <c r="E398" s="7" t="n"/>
      <c r="F398" s="7" t="n"/>
      <c r="G398" s="7" t="n"/>
    </row>
    <row r="399">
      <c r="D399" s="7" t="n"/>
      <c r="E399" s="7" t="n"/>
      <c r="F399" s="7" t="n"/>
      <c r="G399" s="7" t="n"/>
    </row>
    <row r="400">
      <c r="D400" s="7" t="n"/>
      <c r="E400" s="7" t="n"/>
      <c r="F400" s="7" t="n"/>
      <c r="G400" s="7" t="n"/>
    </row>
    <row r="401">
      <c r="D401" s="7" t="n"/>
      <c r="E401" s="7" t="n"/>
      <c r="F401" s="7" t="n"/>
      <c r="G401" s="7" t="n"/>
    </row>
    <row r="402">
      <c r="D402" s="7" t="n"/>
      <c r="E402" s="7" t="n"/>
      <c r="F402" s="7" t="n"/>
      <c r="G402" s="7" t="n"/>
    </row>
    <row r="403">
      <c r="D403" s="7" t="n"/>
      <c r="E403" s="7" t="n"/>
      <c r="F403" s="7" t="n"/>
      <c r="G403" s="7" t="n"/>
    </row>
    <row r="404">
      <c r="D404" s="7" t="n"/>
      <c r="E404" s="7" t="n"/>
      <c r="F404" s="7" t="n"/>
      <c r="G404" s="7" t="n"/>
    </row>
    <row r="405">
      <c r="D405" s="7" t="n"/>
      <c r="E405" s="7" t="n"/>
      <c r="F405" s="7" t="n"/>
      <c r="G405" s="7" t="n"/>
    </row>
    <row r="406">
      <c r="D406" s="7" t="n"/>
      <c r="E406" s="7" t="n"/>
      <c r="F406" s="7" t="n"/>
      <c r="G406" s="7" t="n"/>
    </row>
    <row r="407">
      <c r="D407" s="7" t="n"/>
      <c r="E407" s="7" t="n"/>
      <c r="F407" s="7" t="n"/>
      <c r="G407" s="7" t="n"/>
    </row>
    <row r="408">
      <c r="D408" s="7" t="n"/>
      <c r="E408" s="7" t="n"/>
      <c r="F408" s="7" t="n"/>
      <c r="G408" s="7" t="n"/>
    </row>
    <row r="409">
      <c r="D409" s="7" t="n"/>
      <c r="E409" s="7" t="n"/>
      <c r="F409" s="7" t="n"/>
      <c r="G409" s="7" t="n"/>
    </row>
    <row r="410">
      <c r="D410" s="7" t="n"/>
      <c r="E410" s="7" t="n"/>
      <c r="F410" s="7" t="n"/>
      <c r="G410" s="7" t="n"/>
    </row>
    <row r="411">
      <c r="D411" s="7" t="n"/>
      <c r="E411" s="7" t="n"/>
      <c r="F411" s="7" t="n"/>
      <c r="G411" s="7" t="n"/>
    </row>
    <row r="412">
      <c r="D412" s="7" t="n"/>
      <c r="E412" s="7" t="n"/>
      <c r="F412" s="7" t="n"/>
      <c r="G412" s="7" t="n"/>
    </row>
    <row r="413">
      <c r="D413" s="7" t="n"/>
      <c r="E413" s="7" t="n"/>
      <c r="F413" s="7" t="n"/>
      <c r="G413" s="7" t="n"/>
    </row>
    <row r="414">
      <c r="D414" s="7" t="n"/>
      <c r="E414" s="7" t="n"/>
      <c r="F414" s="7" t="n"/>
      <c r="G414" s="7" t="n"/>
    </row>
    <row r="415">
      <c r="D415" s="7" t="n"/>
      <c r="E415" s="7" t="n"/>
      <c r="F415" s="7" t="n"/>
      <c r="G415" s="7" t="n"/>
    </row>
    <row r="416">
      <c r="D416" s="7" t="n"/>
      <c r="E416" s="7" t="n"/>
      <c r="F416" s="7" t="n"/>
      <c r="G416" s="7" t="n"/>
    </row>
    <row r="417">
      <c r="D417" s="7" t="n"/>
      <c r="E417" s="7" t="n"/>
      <c r="F417" s="7" t="n"/>
      <c r="G417" s="7" t="n"/>
    </row>
    <row r="418">
      <c r="D418" s="7" t="n"/>
      <c r="E418" s="7" t="n"/>
      <c r="F418" s="7" t="n"/>
      <c r="G418" s="7" t="n"/>
    </row>
    <row r="419">
      <c r="D419" s="7" t="n"/>
      <c r="E419" s="7" t="n"/>
      <c r="F419" s="7" t="n"/>
      <c r="G419" s="7" t="n"/>
    </row>
    <row r="420">
      <c r="D420" s="7" t="n"/>
      <c r="E420" s="7" t="n"/>
      <c r="F420" s="7" t="n"/>
      <c r="G420" s="7" t="n"/>
    </row>
    <row r="421">
      <c r="D421" s="7" t="n"/>
      <c r="E421" s="7" t="n"/>
      <c r="F421" s="7" t="n"/>
      <c r="G421" s="7" t="n"/>
    </row>
    <row r="422">
      <c r="D422" s="7" t="n"/>
      <c r="E422" s="7" t="n"/>
      <c r="F422" s="7" t="n"/>
      <c r="G422" s="7" t="n"/>
    </row>
    <row r="423">
      <c r="D423" s="7" t="n"/>
      <c r="E423" s="7" t="n"/>
      <c r="F423" s="7" t="n"/>
      <c r="G423" s="7" t="n"/>
    </row>
    <row r="424">
      <c r="D424" s="7" t="n"/>
      <c r="E424" s="7" t="n"/>
      <c r="F424" s="7" t="n"/>
      <c r="G424" s="7" t="n"/>
    </row>
    <row r="425">
      <c r="D425" s="7" t="n"/>
      <c r="E425" s="7" t="n"/>
      <c r="F425" s="7" t="n"/>
      <c r="G425" s="7" t="n"/>
    </row>
  </sheetData>
  <mergeCells count="22">
    <mergeCell ref="K2:K4"/>
    <mergeCell ref="H6:H7"/>
    <mergeCell ref="J6:J7"/>
    <mergeCell ref="A6:A7"/>
    <mergeCell ref="D6:E6"/>
    <mergeCell ref="O29:P29"/>
    <mergeCell ref="O27:P28"/>
    <mergeCell ref="O20:P20"/>
    <mergeCell ref="O23:P24"/>
    <mergeCell ref="L2:L4"/>
    <mergeCell ref="O14:P15"/>
    <mergeCell ref="A2:G3"/>
    <mergeCell ref="I2:I4"/>
    <mergeCell ref="O16:P16"/>
    <mergeCell ref="O25:P25"/>
    <mergeCell ref="O9:P10"/>
    <mergeCell ref="O21:P21"/>
    <mergeCell ref="O18:P19"/>
    <mergeCell ref="P2:P4"/>
    <mergeCell ref="I6:I7"/>
    <mergeCell ref="H2:H4"/>
    <mergeCell ref="K6:K7"/>
  </mergeCells>
  <conditionalFormatting sqref="K9:K23">
    <cfRule type="cellIs" priority="1" operator="equal" dxfId="1">
      <formula>"DIREITO"</formula>
    </cfRule>
    <cfRule type="cellIs" priority="2" operator="equal" dxfId="4">
      <formula>"ESQUERDO"</formula>
    </cfRule>
  </conditionalFormatting>
  <dataValidations count="2">
    <dataValidation sqref="I2:I5" showDropDown="0" showInputMessage="1" showErrorMessage="1" allowBlank="1" type="list">
      <formula1>",SIM,NÃO"</formula1>
    </dataValidation>
    <dataValidation sqref="K9:K23" showDropDown="0" showInputMessage="1" showErrorMessage="1" allowBlank="1" type="list">
      <formula1>"DIREITO,ESQUERDO,TRAFO, ,"</formula1>
    </dataValidation>
  </dataValidations>
  <pageMargins left="0.511805555555555" right="0.511805555555555" top="0.7875" bottom="0.7875" header="0.511805555555555" footer="0.511805555555555"/>
  <pageSetup orientation="portrait" paperSize="9" firstPageNumber="0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C12"/>
  <sheetViews>
    <sheetView zoomScale="110" zoomScaleNormal="110" workbookViewId="0">
      <selection activeCell="C5" sqref="C5:C6"/>
    </sheetView>
  </sheetViews>
  <sheetFormatPr baseColWidth="8" defaultRowHeight="14.4"/>
  <cols>
    <col width="11.33203125" bestFit="1" customWidth="1" style="179" min="1" max="1"/>
    <col width="12.44140625" bestFit="1" customWidth="1" style="179" min="2" max="2"/>
    <col width="21.33203125" customWidth="1" style="179" min="3" max="3"/>
    <col width="10.44140625" bestFit="1" customWidth="1" style="179" min="4" max="4"/>
    <col width="11.5546875" bestFit="1" customWidth="1" style="179" min="5" max="5"/>
    <col width="9.77734375" customWidth="1" style="179" min="6" max="6"/>
    <col width="10.44140625" customWidth="1" style="179" min="7" max="7"/>
    <col width="14.88671875" customWidth="1" style="179" min="8" max="8"/>
    <col hidden="1" width="11" customWidth="1" style="179" min="9" max="11"/>
    <col hidden="1" width="15.109375" customWidth="1" style="179" min="12" max="12"/>
    <col hidden="1" width="12.44140625" customWidth="1" style="179" min="13" max="13"/>
    <col hidden="1" width="8.77734375" customWidth="1" style="179" min="16" max="16"/>
    <col hidden="1" width="27.109375" customWidth="1" style="179" min="17" max="17"/>
    <col hidden="1" width="8.77734375" customWidth="1" style="179" min="18" max="18"/>
    <col width="7.5546875" customWidth="1" style="179" min="19" max="19"/>
    <col hidden="1" width="14" customWidth="1" style="179" min="20" max="20"/>
    <col hidden="1" width="8.77734375" customWidth="1" style="179" min="21" max="25"/>
    <col hidden="1" width="7.5546875" customWidth="1" style="179" min="26" max="26"/>
    <col width="4.33203125" customWidth="1" style="179" min="27" max="27"/>
    <col width="10.44140625" bestFit="1" customWidth="1" style="179" min="28" max="28"/>
    <col width="11.5546875" bestFit="1" customWidth="1" style="179" min="29" max="29"/>
  </cols>
  <sheetData>
    <row r="2">
      <c r="A2" s="233" t="inlineStr">
        <is>
          <t>CQT FINAL</t>
        </is>
      </c>
      <c r="B2" s="246">
        <f>SMALL(ESQ_PROJ1[127],1)</f>
        <v/>
      </c>
      <c r="C2" s="234">
        <f>LARGE(ESQ_PROJ1[QT %],1)</f>
        <v/>
      </c>
      <c r="D2" s="201" t="n"/>
      <c r="E2" s="201" t="n"/>
      <c r="F2" s="64" t="n"/>
      <c r="H2" s="147" t="inlineStr">
        <is>
          <t>16 Al_CONC_Tri</t>
        </is>
      </c>
      <c r="AB2" s="190" t="inlineStr">
        <is>
          <t>CENTRO DE CARGA</t>
        </is>
      </c>
      <c r="AC2" s="191" t="n"/>
    </row>
    <row r="3">
      <c r="B3" s="232" t="n"/>
      <c r="C3" s="232" t="n"/>
      <c r="F3" s="64" t="n"/>
      <c r="AB3" s="192" t="n"/>
      <c r="AC3" s="192" t="n"/>
    </row>
    <row r="4">
      <c r="AB4" s="196" t="inlineStr">
        <is>
          <t>X</t>
        </is>
      </c>
      <c r="AC4" s="188">
        <f>IFERROR(SUMPRODUCT(G8:G11,D8:D11)/SUM(G8:G11),"INSERIR DADOS")</f>
        <v/>
      </c>
    </row>
    <row r="5" ht="13.8" customHeight="1" s="179">
      <c r="A5" s="233" t="inlineStr">
        <is>
          <t>PONTO</t>
        </is>
      </c>
      <c r="B5" s="180" t="inlineStr">
        <is>
          <t>PONTO MONTANTE</t>
        </is>
      </c>
      <c r="C5" s="180" t="inlineStr">
        <is>
          <t>COMPRIMENTO (m)</t>
        </is>
      </c>
      <c r="D5" s="235" t="inlineStr">
        <is>
          <t>COORDENADAS UTM</t>
        </is>
      </c>
      <c r="E5" s="182" t="n"/>
      <c r="F5" s="176" t="inlineStr">
        <is>
          <t>CARGA PONTO (kVA)</t>
        </is>
      </c>
      <c r="G5" s="176" t="inlineStr">
        <is>
          <t>ACUMULADO (kVA)</t>
        </is>
      </c>
      <c r="H5" s="176" t="inlineStr">
        <is>
          <t>CONDUTOR</t>
        </is>
      </c>
      <c r="I5" s="176" t="n"/>
      <c r="J5" s="176" t="n"/>
      <c r="K5" s="176" t="n"/>
      <c r="L5" s="176" t="inlineStr">
        <is>
          <t>QT NO PONTO</t>
        </is>
      </c>
      <c r="M5" s="176" t="inlineStr">
        <is>
          <t>QT ACUMULADA</t>
        </is>
      </c>
      <c r="N5" s="176" t="inlineStr">
        <is>
          <t>QT %</t>
        </is>
      </c>
      <c r="O5" s="176" t="inlineStr">
        <is>
          <t>TENSÃO PONTO</t>
        </is>
      </c>
      <c r="P5" s="176" t="n"/>
      <c r="Q5" s="176" t="inlineStr">
        <is>
          <t>I trecho x I condutor</t>
        </is>
      </c>
      <c r="S5" s="176" t="inlineStr">
        <is>
          <t>FASES</t>
        </is>
      </c>
      <c r="Z5" s="176" t="inlineStr">
        <is>
          <t>SNAP</t>
        </is>
      </c>
      <c r="AB5" s="12" t="inlineStr">
        <is>
          <t>Y</t>
        </is>
      </c>
      <c r="AC5" s="188">
        <f>IFERROR(SUMPRODUCT(G8:G11,E8:E11)/SUM(G8:G11),"INSERIR DADOS")</f>
        <v/>
      </c>
    </row>
    <row r="6" ht="34.2" customHeight="1" s="179">
      <c r="D6" s="233" t="inlineStr">
        <is>
          <t>LONG</t>
        </is>
      </c>
      <c r="E6" s="233" t="inlineStr">
        <is>
          <t>LAT</t>
        </is>
      </c>
      <c r="J6" s="178" t="n"/>
      <c r="K6" s="178" t="n"/>
      <c r="P6" s="178" t="n"/>
    </row>
    <row r="7">
      <c r="A7" s="53" t="inlineStr">
        <is>
          <t>PONTO</t>
        </is>
      </c>
      <c r="B7" s="53" t="inlineStr">
        <is>
          <t>TRECHO</t>
        </is>
      </c>
      <c r="C7" s="53" t="inlineStr">
        <is>
          <t>M</t>
        </is>
      </c>
      <c r="D7" s="53" t="inlineStr">
        <is>
          <t>X</t>
        </is>
      </c>
      <c r="E7" s="53" t="inlineStr">
        <is>
          <t>Y</t>
        </is>
      </c>
      <c r="F7" s="53" t="inlineStr">
        <is>
          <t>KVA PONTO</t>
        </is>
      </c>
      <c r="G7" s="53" t="inlineStr">
        <is>
          <t>ACUMULADA</t>
        </is>
      </c>
      <c r="H7" s="53" t="inlineStr">
        <is>
          <t>CONDUTOR</t>
        </is>
      </c>
      <c r="I7" s="67" t="inlineStr">
        <is>
          <t>(A)</t>
        </is>
      </c>
      <c r="J7" s="67" t="inlineStr">
        <is>
          <t>T</t>
        </is>
      </c>
      <c r="K7" s="67" t="inlineStr">
        <is>
          <t>R CORR</t>
        </is>
      </c>
      <c r="L7" s="53" t="inlineStr">
        <is>
          <t>QT-PONTO</t>
        </is>
      </c>
      <c r="M7" s="53" t="inlineStr">
        <is>
          <t>Coluna1</t>
        </is>
      </c>
      <c r="N7" s="53" t="inlineStr">
        <is>
          <t>QT %</t>
        </is>
      </c>
      <c r="O7" s="67" t="inlineStr">
        <is>
          <t>127</t>
        </is>
      </c>
      <c r="P7" s="67" t="inlineStr">
        <is>
          <t>220</t>
        </is>
      </c>
      <c r="Q7" s="53" t="inlineStr">
        <is>
          <t>TEMP2</t>
        </is>
      </c>
      <c r="R7" s="75" t="inlineStr">
        <is>
          <t>FASE</t>
        </is>
      </c>
      <c r="S7" s="75" t="inlineStr">
        <is>
          <t>ETA</t>
        </is>
      </c>
      <c r="T7" s="75" t="inlineStr">
        <is>
          <t>METODO_INST</t>
        </is>
      </c>
      <c r="U7" s="75" t="inlineStr">
        <is>
          <t>TEMP_AMB</t>
        </is>
      </c>
      <c r="V7" s="75" t="inlineStr">
        <is>
          <t>Ib</t>
        </is>
      </c>
      <c r="W7" s="75" t="inlineStr">
        <is>
          <t>In</t>
        </is>
      </c>
      <c r="X7" s="75" t="inlineStr">
        <is>
          <t>Iz</t>
        </is>
      </c>
      <c r="Y7" s="75" t="inlineStr">
        <is>
          <t>PROTECAO</t>
        </is>
      </c>
      <c r="Z7" s="53" t="inlineStr">
        <is>
          <t>Coluna2</t>
        </is>
      </c>
    </row>
    <row r="8">
      <c r="A8" s="54">
        <f>'GERAL PROJ'!A9</f>
        <v/>
      </c>
      <c r="B8" s="54">
        <f>IFERROR(IF(ESQ_PROJ1[[#This Row],[PONTO]]="RAMAL",A7,VLOOKUP(ESQ_PROJ1[[#This Row],[PONTO]],GERAL_PROJ[],2,0)),0)</f>
        <v/>
      </c>
      <c r="C8" s="54">
        <f>IFERROR(IF(ESQ_PROJ1[[#This Row],[PONTO]]="RAMAL",15,VLOOKUP(ESQ_PROJ1[[#This Row],[PONTO]],GERAL_PROJ[],3,0)),0)</f>
        <v/>
      </c>
      <c r="D8" s="55">
        <f>IFERROR(IF(ESQ_PROJ1[[#This Row],[PONTO]]="RAMAL","",VLOOKUP(ESQ_PROJ1[[#This Row],[PONTO]],GERAL_PROJ[],4,0)),0)</f>
        <v/>
      </c>
      <c r="E8" s="55">
        <f>IFERROR(IF(ESQ_PROJ1[[#This Row],[PONTO]]="RAMAL","",VLOOKUP(ESQ_PROJ1[[#This Row],[PONTO]],GERAL_PROJ[],5,0)),0)</f>
        <v/>
      </c>
      <c r="F8" s="55">
        <f>IFERROR(IF(ESQ_PROJ1[[#This Row],[PONTO]]="RAMAL",DMDI,VLOOKUP(ESQ_PROJ1[[#This Row],[PONTO]],GERAL_PROJ[],8,0)),0)</f>
        <v/>
      </c>
      <c r="G8" s="55">
        <f>IFERROR(IF(ESQ_PROJ1[[#This Row],[PONTO]]="RAMAL",ESQ_PROJ1[[#This Row],[KVA PONTO]],VLOOKUP(ESQ_PROJ1[[#This Row],[PONTO]],GERAL_PROJ[],9,0)),0)</f>
        <v/>
      </c>
      <c r="H8" s="55">
        <f>IFERROR(VLOOKUP(ESQ_PROJ1[[#This Row],[PONTO]],GERAL_PROJ[],12,0),0)</f>
        <v/>
      </c>
      <c r="I8" s="55">
        <f>ESQ_PROJ1[[#This Row],[Ib]]</f>
        <v/>
      </c>
      <c r="J8" s="248" t="n">
        <v>52.82496289577014</v>
      </c>
      <c r="K8" s="131">
        <f>IFERROR((VLOOKUP(ESQ_PROJ1[[#This Row],[CONDUTOR]],CABOS[],3,0)/VLOOKUP(ESQ_PROJ1[[#This Row],[CONDUTOR]],CABOS[],6,0))*(1+VLOOKUP(ESQ_PROJ1[[#This Row],[CONDUTOR]],CABOS[],5,0)*(ESQ_PROJ1[[#This Row],[T]]-20)),0)</f>
        <v/>
      </c>
      <c r="L8" s="55">
        <f>IFERROR(IF(ESQ_PROJ1[[#This Row],[FASE]]="MONO",6,IF(ESQ_PROJ1[[#This Row],[FASE]]="BIF",2,1))*ESQ_PROJ1[[#This Row],[ACUMULADA]]*(SQRT(ESQ_PROJ1[[#This Row],[R CORR]]^2+VLOOKUP(ESQ_PROJ1[[#This Row],[CONDUTOR]],CABOS[],4,0)^2)/(($P$7^2)/100))*ESQ_PROJ1[[#This Row],[M]]*127/100+IF(ESQ_PROJ1[[#This Row],[TRECHO]]=0,127*QT_MTTR2,0),0)</f>
        <v/>
      </c>
      <c r="M8" s="132">
        <f>IFERROR(SUMIF(ESQ_PROJ1[PONTO],ESQ_PROJ1[[#This Row],[TRECHO]],ESQ_PROJ1[Coluna1])+ESQ_PROJ1[[#This Row],[QT-PONTO]],0)</f>
        <v/>
      </c>
      <c r="N8" s="56">
        <f>ESQ_PROJ1[[#This Row],[Coluna1]]/127</f>
        <v/>
      </c>
      <c r="O8" s="55">
        <f>127-(127*ESQ_PROJ1[[#This Row],[QT %]])</f>
        <v/>
      </c>
      <c r="P8" s="55">
        <f>220-(220*ESQ_PROJ1[[#This Row],[QT %]])</f>
        <v/>
      </c>
      <c r="Q8" s="68">
        <f>IF(ESQ_PROJ1[[#This Row],[PROTECAO]]="OK","Protecao OK","Ajustar Disj/Condutor")</f>
        <v/>
      </c>
      <c r="R8" s="74">
        <f>"TRI"</f>
        <v/>
      </c>
      <c r="S8" s="74" t="n">
        <v>3</v>
      </c>
      <c r="T8" s="74">
        <f>"AEREO"</f>
        <v/>
      </c>
      <c r="U8" s="74">
        <f>30</f>
        <v/>
      </c>
      <c r="V8" s="74">
        <f>IF(ESQ_PROJ1[[#This Row],[FASE]]="MONO",ESQ_PROJ1[[#This Row],[ACUMULADA]]*1000/(220*ESQ_PROJ1[[#This Row],[ETA]]),ESQ_PROJ1[[#This Row],[ACUMULADA]]*1000/(SQRT(3)*$P$7*ESQ_PROJ1[[#This Row],[ETA]]))</f>
        <v/>
      </c>
      <c r="W8" s="74">
        <f>IFERROR(VLOOKUP(ESQ_PROJ1[[#This Row],[Ib]],TabelaDisjuntores[],2,TRUE),0)</f>
        <v/>
      </c>
      <c r="X8" s="74">
        <f>IFERROR(VLOOKUP(ESQ_PROJ1[[#This Row],[CONDUTOR]],CABOS[],2,0),0)</f>
        <v/>
      </c>
      <c r="Y8" s="74">
        <f>IF(AND(ESQ_PROJ1[[#This Row],[Ib]]&lt;=ESQ_PROJ1[[#This Row],[In]],ESQ_PROJ1[[#This Row],[In]]&lt;=ESQ_PROJ1[[#This Row],[Iz]]),"OK","VERIFICAR")</f>
        <v/>
      </c>
      <c r="Z8" s="108">
        <f>IFERROR(SQRT((ESQ_PROJ1[[#This Row],[X]]-$AC$4)^2+(ESQ_PROJ1[[#This Row],[Y]]-$AC$5)^2),0)</f>
        <v/>
      </c>
    </row>
    <row r="9">
      <c r="A9" s="169" t="n">
        <v>10</v>
      </c>
      <c r="B9" s="54">
        <f>IFERROR(IF(ESQ_PROJ1[[#This Row],[PONTO]]="RAMAL",A8,VLOOKUP(ESQ_PROJ1[[#This Row],[PONTO]],GERAL_PROJ[],2,0)),0)</f>
        <v/>
      </c>
      <c r="C9" s="54">
        <f>IFERROR(IF(ESQ_PROJ1[[#This Row],[PONTO]]="RAMAL",15,VLOOKUP(ESQ_PROJ1[[#This Row],[PONTO]],GERAL_PROJ[],3,0)),0)</f>
        <v/>
      </c>
      <c r="D9" s="55">
        <f>IFERROR(IF(ESQ_PROJ1[[#This Row],[PONTO]]="RAMAL","",VLOOKUP(ESQ_PROJ1[[#This Row],[PONTO]],GERAL_PROJ[],4,0)),0)</f>
        <v/>
      </c>
      <c r="E9" s="55">
        <f>IFERROR(IF(ESQ_PROJ1[[#This Row],[PONTO]]="RAMAL","",VLOOKUP(ESQ_PROJ1[[#This Row],[PONTO]],GERAL_PROJ[],5,0)),0)</f>
        <v/>
      </c>
      <c r="F9" s="55">
        <f>IFERROR(IF(ESQ_PROJ1[[#This Row],[PONTO]]="RAMAL",DMDI,VLOOKUP(ESQ_PROJ1[[#This Row],[PONTO]],GERAL_PROJ[],8,0)),0)</f>
        <v/>
      </c>
      <c r="G9" s="55">
        <f>IFERROR(IF(ESQ_PROJ1[[#This Row],[PONTO]]="RAMAL",ESQ_PROJ1[[#This Row],[KVA PONTO]],VLOOKUP(ESQ_PROJ1[[#This Row],[PONTO]],GERAL_PROJ[],9,0)),0)</f>
        <v/>
      </c>
      <c r="H9" s="55">
        <f>IFERROR(VLOOKUP(ESQ_PROJ1[[#This Row],[PONTO]],GERAL_PROJ[],12,0),0)</f>
        <v/>
      </c>
      <c r="I9" s="55">
        <f>ESQ_PROJ1[[#This Row],[Ib]]</f>
        <v/>
      </c>
      <c r="J9" s="248" t="e">
        <v>#DIV/0!</v>
      </c>
      <c r="K9" s="131">
        <f>IFERROR((VLOOKUP(ESQ_PROJ1[[#This Row],[CONDUTOR]],CABOS[],3,0)/VLOOKUP(ESQ_PROJ1[[#This Row],[CONDUTOR]],CABOS[],6,0))*(1+VLOOKUP(ESQ_PROJ1[[#This Row],[CONDUTOR]],CABOS[],5,0)*(ESQ_PROJ1[[#This Row],[T]]-20)),0)</f>
        <v/>
      </c>
      <c r="L9" s="55">
        <f>IFERROR(IF(ESQ_PROJ1[[#This Row],[FASE]]="MONO",6,IF(ESQ_PROJ1[[#This Row],[FASE]]="BIF",2,1))*ESQ_PROJ1[[#This Row],[ACUMULADA]]*(SQRT(ESQ_PROJ1[[#This Row],[R CORR]]^2+VLOOKUP(ESQ_PROJ1[[#This Row],[CONDUTOR]],CABOS[],4,0)^2)/(($P$7^2)/100))*ESQ_PROJ1[[#This Row],[M]]*127/100+IF(ESQ_PROJ1[[#This Row],[TRECHO]]=0,127*QT_MTTR2,0),0)</f>
        <v/>
      </c>
      <c r="M9" s="132">
        <f>IFERROR(SUMIF(ESQ_PROJ1[PONTO],ESQ_PROJ1[[#This Row],[TRECHO]],ESQ_PROJ1[Coluna1])+ESQ_PROJ1[[#This Row],[QT-PONTO]],0)</f>
        <v/>
      </c>
      <c r="N9" s="57">
        <f>ESQ_PROJ1[[#This Row],[Coluna1]]/127</f>
        <v/>
      </c>
      <c r="O9" s="55">
        <f>127-(127*ESQ_PROJ1[[#This Row],[QT %]])</f>
        <v/>
      </c>
      <c r="P9" s="55">
        <f>220-(220*ESQ_PROJ1[[#This Row],[QT %]])</f>
        <v/>
      </c>
      <c r="Q9" s="68">
        <f>IF(ESQ_PROJ1[[#This Row],[PROTECAO]]="OK","Protecao OK","Ajustar Disj/Condutor")</f>
        <v/>
      </c>
      <c r="R9" s="54">
        <f>"TRI"</f>
        <v/>
      </c>
      <c r="S9" s="54" t="n">
        <v>3</v>
      </c>
      <c r="T9" s="54">
        <f>"AEREO"</f>
        <v/>
      </c>
      <c r="U9" s="54">
        <f>30</f>
        <v/>
      </c>
      <c r="V9" s="54">
        <f>IF(ESQ_PROJ1[[#This Row],[FASE]]="MONO",ESQ_PROJ1[[#This Row],[ACUMULADA]]*1000/(220*ESQ_PROJ1[[#This Row],[ETA]]),ESQ_PROJ1[[#This Row],[ACUMULADA]]*1000/(SQRT(3)*$P$7*ESQ_PROJ1[[#This Row],[ETA]]))</f>
        <v/>
      </c>
      <c r="W9" s="54">
        <f>IFERROR(VLOOKUP(ESQ_PROJ1[[#This Row],[Ib]],TabelaDisjuntores[],2,TRUE),0)</f>
        <v/>
      </c>
      <c r="X9" s="54">
        <f>IFERROR(VLOOKUP(ESQ_PROJ1[[#This Row],[CONDUTOR]],CABOS[],2,0),0)</f>
        <v/>
      </c>
      <c r="Y9" s="54">
        <f>IF(AND(ESQ_PROJ1[[#This Row],[Ib]]&lt;=ESQ_PROJ1[[#This Row],[In]],ESQ_PROJ1[[#This Row],[In]]&lt;=ESQ_PROJ1[[#This Row],[Iz]]),"OK","VERIFICAR")</f>
        <v/>
      </c>
      <c r="Z9" s="105">
        <f>IFERROR(SQRT((ESQ_PROJ1[[#This Row],[X]]-$AC$4)^2+(ESQ_PROJ1[[#This Row],[Y]]-$AC$5)^2),0)</f>
        <v/>
      </c>
    </row>
    <row r="10">
      <c r="A10" s="169" t="n">
        <v>4</v>
      </c>
      <c r="B10" s="54">
        <f>IFERROR(IF(ESQ_PROJ1[[#This Row],[PONTO]]="RAMAL",A9,VLOOKUP(ESQ_PROJ1[[#This Row],[PONTO]],GERAL_PROJ[],2,0)),0)</f>
        <v/>
      </c>
      <c r="C10" s="54">
        <f>IFERROR(IF(ESQ_PROJ1[[#This Row],[PONTO]]="RAMAL",15,VLOOKUP(ESQ_PROJ1[[#This Row],[PONTO]],GERAL_PROJ[],3,0)),0)</f>
        <v/>
      </c>
      <c r="D10" s="55">
        <f>IFERROR(IF(ESQ_PROJ1[[#This Row],[PONTO]]="RAMAL","",VLOOKUP(ESQ_PROJ1[[#This Row],[PONTO]],GERAL_PROJ[],4,0)),0)</f>
        <v/>
      </c>
      <c r="E10" s="55">
        <f>IFERROR(IF(ESQ_PROJ1[[#This Row],[PONTO]]="RAMAL","",VLOOKUP(ESQ_PROJ1[[#This Row],[PONTO]],GERAL_PROJ[],5,0)),0)</f>
        <v/>
      </c>
      <c r="F10" s="55">
        <f>IFERROR(IF(ESQ_PROJ1[[#This Row],[PONTO]]="RAMAL",DMDI,VLOOKUP(ESQ_PROJ1[[#This Row],[PONTO]],GERAL_PROJ[],8,0)),0)</f>
        <v/>
      </c>
      <c r="G10" s="55">
        <f>IFERROR(IF(ESQ_PROJ1[[#This Row],[PONTO]]="RAMAL",ESQ_PROJ1[[#This Row],[KVA PONTO]],VLOOKUP(ESQ_PROJ1[[#This Row],[PONTO]],GERAL_PROJ[],9,0)),0)</f>
        <v/>
      </c>
      <c r="H10" s="55">
        <f>IFERROR(VLOOKUP(ESQ_PROJ1[[#This Row],[PONTO]],GERAL_PROJ[],12,0),0)</f>
        <v/>
      </c>
      <c r="I10" s="55">
        <f>ESQ_PROJ1[[#This Row],[Ib]]</f>
        <v/>
      </c>
      <c r="J10" s="248" t="e">
        <v>#DIV/0!</v>
      </c>
      <c r="K10" s="131">
        <f>IFERROR((VLOOKUP(ESQ_PROJ1[[#This Row],[CONDUTOR]],CABOS[],3,0)/VLOOKUP(ESQ_PROJ1[[#This Row],[CONDUTOR]],CABOS[],6,0))*(1+VLOOKUP(ESQ_PROJ1[[#This Row],[CONDUTOR]],CABOS[],5,0)*(ESQ_PROJ1[[#This Row],[T]]-20)),0)</f>
        <v/>
      </c>
      <c r="L10" s="55">
        <f>IFERROR(IF(ESQ_PROJ1[[#This Row],[FASE]]="MONO",6,IF(ESQ_PROJ1[[#This Row],[FASE]]="BIF",2,1))*ESQ_PROJ1[[#This Row],[ACUMULADA]]*(SQRT(ESQ_PROJ1[[#This Row],[R CORR]]^2+VLOOKUP(ESQ_PROJ1[[#This Row],[CONDUTOR]],CABOS[],4,0)^2)/(($P$7^2)/100))*ESQ_PROJ1[[#This Row],[M]]*127/100+IF(ESQ_PROJ1[[#This Row],[TRECHO]]=0,127*QT_MTTR2,0),0)</f>
        <v/>
      </c>
      <c r="M10" s="132">
        <f>IFERROR(SUMIF(ESQ_PROJ1[PONTO],ESQ_PROJ1[[#This Row],[TRECHO]],ESQ_PROJ1[Coluna1])+ESQ_PROJ1[[#This Row],[QT-PONTO]],0)</f>
        <v/>
      </c>
      <c r="N10" s="57">
        <f>ESQ_PROJ1[[#This Row],[Coluna1]]/127</f>
        <v/>
      </c>
      <c r="O10" s="55">
        <f>127-(127*ESQ_PROJ1[[#This Row],[QT %]])</f>
        <v/>
      </c>
      <c r="P10" s="55">
        <f>220-(220*ESQ_PROJ1[[#This Row],[QT %]])</f>
        <v/>
      </c>
      <c r="Q10" s="68">
        <f>IF(ESQ_PROJ1[[#This Row],[PROTECAO]]="OK","Protecao OK","Ajustar Disj/Condutor")</f>
        <v/>
      </c>
      <c r="R10" s="74">
        <f>"TRI"</f>
        <v/>
      </c>
      <c r="S10" s="74" t="n">
        <v>3</v>
      </c>
      <c r="T10" s="74">
        <f>"AEREO"</f>
        <v/>
      </c>
      <c r="U10" s="74">
        <f>30</f>
        <v/>
      </c>
      <c r="V10" s="74">
        <f>IF(ESQ_PROJ1[[#This Row],[FASE]]="MONO",ESQ_PROJ1[[#This Row],[ACUMULADA]]*1000/(220*ESQ_PROJ1[[#This Row],[ETA]]),ESQ_PROJ1[[#This Row],[ACUMULADA]]*1000/(SQRT(3)*$P$7*ESQ_PROJ1[[#This Row],[ETA]]))</f>
        <v/>
      </c>
      <c r="W10" s="74">
        <f>IFERROR(VLOOKUP(ESQ_PROJ1[[#This Row],[Ib]],TabelaDisjuntores[],2,TRUE),0)</f>
        <v/>
      </c>
      <c r="X10" s="74">
        <f>IFERROR(VLOOKUP(ESQ_PROJ1[[#This Row],[CONDUTOR]],CABOS[],2,0),0)</f>
        <v/>
      </c>
      <c r="Y10" s="74">
        <f>IF(AND(ESQ_PROJ1[[#This Row],[Ib]]&lt;=ESQ_PROJ1[[#This Row],[In]],ESQ_PROJ1[[#This Row],[In]]&lt;=ESQ_PROJ1[[#This Row],[Iz]]),"OK","VERIFICAR")</f>
        <v/>
      </c>
      <c r="Z10" s="105">
        <f>IFERROR(SQRT((ESQ_PROJ1[[#This Row],[X]]-$AC$4)^2+(ESQ_PROJ1[[#This Row],[Y]]-$AC$5)^2),0)</f>
        <v/>
      </c>
    </row>
    <row r="11">
      <c r="A11" s="169" t="n">
        <v>3</v>
      </c>
      <c r="B11" s="54">
        <f>IFERROR(IF(ESQ_PROJ1[[#This Row],[PONTO]]="RAMAL",A10,VLOOKUP(ESQ_PROJ1[[#This Row],[PONTO]],GERAL_PROJ[],2,0)),0)</f>
        <v/>
      </c>
      <c r="C11" s="54">
        <f>IFERROR(IF(ESQ_PROJ1[[#This Row],[PONTO]]="RAMAL",15,VLOOKUP(ESQ_PROJ1[[#This Row],[PONTO]],GERAL_PROJ[],3,0)),0)</f>
        <v/>
      </c>
      <c r="D11" s="55">
        <f>IFERROR(IF(ESQ_PROJ1[[#This Row],[PONTO]]="RAMAL","",VLOOKUP(ESQ_PROJ1[[#This Row],[PONTO]],GERAL_PROJ[],4,0)),0)</f>
        <v/>
      </c>
      <c r="E11" s="55">
        <f>IFERROR(IF(ESQ_PROJ1[[#This Row],[PONTO]]="RAMAL","",VLOOKUP(ESQ_PROJ1[[#This Row],[PONTO]],GERAL_PROJ[],5,0)),0)</f>
        <v/>
      </c>
      <c r="F11" s="55">
        <f>IFERROR(IF(ESQ_PROJ1[[#This Row],[PONTO]]="RAMAL",DMDI,VLOOKUP(ESQ_PROJ1[[#This Row],[PONTO]],GERAL_PROJ[],8,0)),0)</f>
        <v/>
      </c>
      <c r="G11" s="55">
        <f>IFERROR(IF(ESQ_PROJ1[[#This Row],[PONTO]]="RAMAL",ESQ_PROJ1[[#This Row],[KVA PONTO]],VLOOKUP(ESQ_PROJ1[[#This Row],[PONTO]],GERAL_PROJ[],9,0)),0)</f>
        <v/>
      </c>
      <c r="H11" s="55">
        <f>IFERROR(VLOOKUP(ESQ_PROJ1[[#This Row],[PONTO]],GERAL_PROJ[],12,0),0)</f>
        <v/>
      </c>
      <c r="I11" s="55">
        <f>ESQ_PROJ1[[#This Row],[Ib]]</f>
        <v/>
      </c>
      <c r="J11" s="248" t="e">
        <v>#DIV/0!</v>
      </c>
      <c r="K11" s="131">
        <f>IFERROR((VLOOKUP(ESQ_PROJ1[[#This Row],[CONDUTOR]],CABOS[],3,0)/VLOOKUP(ESQ_PROJ1[[#This Row],[CONDUTOR]],CABOS[],6,0))*(1+VLOOKUP(ESQ_PROJ1[[#This Row],[CONDUTOR]],CABOS[],5,0)*(ESQ_PROJ1[[#This Row],[T]]-20)),0)</f>
        <v/>
      </c>
      <c r="L11" s="55">
        <f>IFERROR(IF(ESQ_PROJ1[[#This Row],[FASE]]="MONO",6,IF(ESQ_PROJ1[[#This Row],[FASE]]="BIF",2,1))*ESQ_PROJ1[[#This Row],[ACUMULADA]]*(SQRT(ESQ_PROJ1[[#This Row],[R CORR]]^2+VLOOKUP(ESQ_PROJ1[[#This Row],[CONDUTOR]],CABOS[],4,0)^2)/(($P$7^2)/100))*ESQ_PROJ1[[#This Row],[M]]*127/100+IF(ESQ_PROJ1[[#This Row],[TRECHO]]=0,127*QT_MTTR2,0),0)</f>
        <v/>
      </c>
      <c r="M11" s="132">
        <f>IFERROR(SUMIF(ESQ_PROJ1[PONTO],ESQ_PROJ1[[#This Row],[TRECHO]],ESQ_PROJ1[Coluna1])+ESQ_PROJ1[[#This Row],[QT-PONTO]],0)</f>
        <v/>
      </c>
      <c r="N11" s="56">
        <f>ESQ_PROJ1[[#This Row],[Coluna1]]/127</f>
        <v/>
      </c>
      <c r="O11" s="55">
        <f>127-(127*ESQ_PROJ1[[#This Row],[QT %]])</f>
        <v/>
      </c>
      <c r="P11" s="55">
        <f>220-(220*ESQ_PROJ1[[#This Row],[QT %]])</f>
        <v/>
      </c>
      <c r="Q11" s="68">
        <f>IF(ESQ_PROJ1[[#This Row],[PROTECAO]]="OK","Protecao OK","Ajustar Disj/Condutor")</f>
        <v/>
      </c>
      <c r="R11" s="74">
        <f>"TRI"</f>
        <v/>
      </c>
      <c r="S11" s="74" t="n">
        <v>3</v>
      </c>
      <c r="T11" s="74">
        <f>"AEREO"</f>
        <v/>
      </c>
      <c r="U11" s="74">
        <f>30</f>
        <v/>
      </c>
      <c r="V11" s="74">
        <f>IF(ESQ_PROJ1[[#This Row],[FASE]]="MONO",ESQ_PROJ1[[#This Row],[ACUMULADA]]*1000/(220*ESQ_PROJ1[[#This Row],[ETA]]),ESQ_PROJ1[[#This Row],[ACUMULADA]]*1000/(SQRT(3)*$P$7*ESQ_PROJ1[[#This Row],[ETA]]))</f>
        <v/>
      </c>
      <c r="W11" s="74">
        <f>IFERROR(VLOOKUP(ESQ_PROJ1[[#This Row],[Ib]],TabelaDisjuntores[],2,TRUE),0)</f>
        <v/>
      </c>
      <c r="X11" s="74">
        <f>IFERROR(VLOOKUP(ESQ_PROJ1[[#This Row],[CONDUTOR]],CABOS[],2,0),0)</f>
        <v/>
      </c>
      <c r="Y11" s="74">
        <f>IF(AND(ESQ_PROJ1[[#This Row],[Ib]]&lt;=ESQ_PROJ1[[#This Row],[In]],ESQ_PROJ1[[#This Row],[In]]&lt;=ESQ_PROJ1[[#This Row],[Iz]]),"OK","VERIFICAR")</f>
        <v/>
      </c>
      <c r="Z11" s="105">
        <f>IFERROR(SQRT((ESQ_PROJ1[[#This Row],[X]]-$AC$4)^2+(ESQ_PROJ1[[#This Row],[Y]]-$AC$5)^2),0)</f>
        <v/>
      </c>
    </row>
    <row r="12">
      <c r="A12" s="71" t="inlineStr">
        <is>
          <t>RAMAL</t>
        </is>
      </c>
      <c r="B12" s="173" t="n">
        <v>3</v>
      </c>
      <c r="C12" s="173" t="n">
        <v>15</v>
      </c>
      <c r="D12" s="72">
        <f>IFERROR(IF(ESQ_PROJ1[[#This Row],[PONTO]]="RAMAL","",VLOOKUP(ESQ_PROJ1[[#This Row],[PONTO]],GERAL_PROJ[],4,0)),0)</f>
        <v/>
      </c>
      <c r="E12" s="72">
        <f>IFERROR(IF(ESQ_PROJ1[[#This Row],[PONTO]]="RAMAL","",VLOOKUP(ESQ_PROJ1[[#This Row],[PONTO]],GERAL_PROJ[],5,0)),0)</f>
        <v/>
      </c>
      <c r="F12" s="72">
        <f>IFERROR(IF(ESQ_PROJ1[[#This Row],[PONTO]]="RAMAL",DMDI,VLOOKUP(ESQ_PROJ1[[#This Row],[PONTO]],GERAL_PROJ[],8,0)),0)</f>
        <v/>
      </c>
      <c r="G12" s="72">
        <f>IFERROR(IF(ESQ_PROJ1[[#This Row],[PONTO]]="RAMAL",ESQ_PROJ1[[#This Row],[KVA PONTO]],VLOOKUP(ESQ_PROJ1[[#This Row],[PONTO]],GERAL_PROJ[],9,0)),0)</f>
        <v/>
      </c>
      <c r="H12" s="174" t="inlineStr">
        <is>
          <t>16 Al_CONC_Tri</t>
        </is>
      </c>
      <c r="I12" s="72">
        <f>ESQ_PROJ1[[#This Row],[Ib]]</f>
        <v/>
      </c>
      <c r="J12" s="249" t="n">
        <v>37.09815915367332</v>
      </c>
      <c r="K12" s="134">
        <f>IFERROR((VLOOKUP(ESQ_PROJ1[[#This Row],[CONDUTOR]],CABOS[],3,0)/VLOOKUP(ESQ_PROJ1[[#This Row],[CONDUTOR]],CABOS[],6,0))*(1+VLOOKUP(ESQ_PROJ1[[#This Row],[CONDUTOR]],CABOS[],5,0)*(ESQ_PROJ1[[#This Row],[T]]-20)),0)</f>
        <v/>
      </c>
      <c r="L12" s="72">
        <f>IFERROR(IF(ESQ_PROJ1[[#This Row],[FASE]]="MONO",6,IF(ESQ_PROJ1[[#This Row],[FASE]]="BIF",2,1))*ESQ_PROJ1[[#This Row],[ACUMULADA]]*(SQRT(ESQ_PROJ1[[#This Row],[R CORR]]^2+VLOOKUP(ESQ_PROJ1[[#This Row],[CONDUTOR]],CABOS[],4,0)^2)/(($P$7^2)/100))*ESQ_PROJ1[[#This Row],[M]]*127/100+IF(ESQ_PROJ1[[#This Row],[TRECHO]]=0,127*QT_MTTR2,0),0)</f>
        <v/>
      </c>
      <c r="M12" s="135">
        <f>IFERROR(SUMIF(ESQ_PROJ1[PONTO],ESQ_PROJ1[[#This Row],[TRECHO]],ESQ_PROJ1[Coluna1])+ESQ_PROJ1[[#This Row],[QT-PONTO]],0)</f>
        <v/>
      </c>
      <c r="N12" s="136">
        <f>ESQ_PROJ1[[#This Row],[Coluna1]]/127</f>
        <v/>
      </c>
      <c r="O12" s="72">
        <f>127-(127*ESQ_PROJ1[[#This Row],[QT %]])</f>
        <v/>
      </c>
      <c r="P12" s="72">
        <f>220-(220*ESQ_PROJ1[[#This Row],[QT %]])</f>
        <v/>
      </c>
      <c r="Q12" s="73">
        <f>IF(ESQ_PROJ1[[#This Row],[PROTECAO]]="OK","Protecao OK","Ajustar Disj/Condutor")</f>
        <v/>
      </c>
      <c r="R12" s="122">
        <f>"TRI"</f>
        <v/>
      </c>
      <c r="S12" s="122">
        <f>1</f>
        <v/>
      </c>
      <c r="T12" s="121">
        <f>"AEREO"</f>
        <v/>
      </c>
      <c r="U12" s="94">
        <f>30</f>
        <v/>
      </c>
      <c r="V12" s="94">
        <f>IF(ESQ_PROJ1[[#This Row],[FASE]]="MONO",ESQ_PROJ1[[#This Row],[ACUMULADA]]*1000/(220*ESQ_PROJ1[[#This Row],[ETA]]),ESQ_PROJ1[[#This Row],[ACUMULADA]]*1000/(SQRT(3)*$P$7*ESQ_PROJ1[[#This Row],[ETA]]))</f>
        <v/>
      </c>
      <c r="W12" s="94">
        <f>VLOOKUP(ESQ_PROJ1[[#This Row],[Ib]],TabelaDisjuntores[],2,TRUE)</f>
        <v/>
      </c>
      <c r="X12" s="94">
        <f>VLOOKUP(ESQ_PROJ1[[#This Row],[CONDUTOR]],CABOS[],2,0)</f>
        <v/>
      </c>
      <c r="Y12" s="94">
        <f>IF(AND(ESQ_PROJ1[[#This Row],[Ib]]&lt;=ESQ_PROJ1[[#This Row],[In]],ESQ_PROJ1[[#This Row],[In]]&lt;=ESQ_PROJ1[[#This Row],[Iz]]),"OK","VERIFICAR")</f>
        <v/>
      </c>
      <c r="Z12" s="106">
        <f>IFERROR(SQRT((ESQ_PROJ1[[#This Row],[X]]-$AC$4)^2+(ESQ_PROJ1[[#This Row],[Y]]-$AC$5)^2),0)</f>
        <v/>
      </c>
    </row>
  </sheetData>
  <mergeCells count="21">
    <mergeCell ref="O5:O6"/>
    <mergeCell ref="Q5:Q6"/>
    <mergeCell ref="AB2:AC3"/>
    <mergeCell ref="B2:B3"/>
    <mergeCell ref="F5:F6"/>
    <mergeCell ref="D2:D3"/>
    <mergeCell ref="L5:L6"/>
    <mergeCell ref="N5:N6"/>
    <mergeCell ref="A2:A3"/>
    <mergeCell ref="C2:C3"/>
    <mergeCell ref="E2:E3"/>
    <mergeCell ref="I5:I6"/>
    <mergeCell ref="Z5:Z6"/>
    <mergeCell ref="A5:A6"/>
    <mergeCell ref="G5:G6"/>
    <mergeCell ref="S5:S6"/>
    <mergeCell ref="B5:B6"/>
    <mergeCell ref="H5:H6"/>
    <mergeCell ref="D5:E5"/>
    <mergeCell ref="C5:C6"/>
    <mergeCell ref="M5:M6"/>
  </mergeCells>
  <conditionalFormatting sqref="Q8:Y12">
    <cfRule type="cellIs" priority="3" operator="equal" dxfId="1">
      <formula>"Condutor Suporta Amperagem"</formula>
    </cfRule>
    <cfRule type="cellIs" priority="4" operator="equal" dxfId="0">
      <formula>"Condutor Sobrecarregado"</formula>
    </cfRule>
  </conditionalFormatting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C13"/>
  <sheetViews>
    <sheetView zoomScale="110" zoomScaleNormal="110" workbookViewId="0">
      <pane ySplit="7" topLeftCell="A8" activePane="bottomLeft" state="frozen"/>
      <selection pane="bottomLeft" activeCell="H13" sqref="H13"/>
    </sheetView>
  </sheetViews>
  <sheetFormatPr baseColWidth="8" defaultRowHeight="14.4"/>
  <cols>
    <col width="11.33203125" bestFit="1" customWidth="1" style="179" min="1" max="1"/>
    <col width="12.44140625" bestFit="1" customWidth="1" style="179" min="2" max="2"/>
    <col width="14.6640625" bestFit="1" customWidth="1" style="179" min="3" max="3"/>
    <col width="10.44140625" bestFit="1" customWidth="1" style="179" min="4" max="4"/>
    <col width="11.5546875" bestFit="1" customWidth="1" style="179" min="5" max="5"/>
    <col width="9.77734375" customWidth="1" style="179" min="6" max="6"/>
    <col width="10.44140625" customWidth="1" style="179" min="7" max="7"/>
    <col width="16.109375" bestFit="1" customWidth="1" style="179" min="8" max="8"/>
    <col hidden="1" width="11" customWidth="1" style="179" min="9" max="11"/>
    <col hidden="1" width="15.109375" customWidth="1" style="179" min="12" max="12"/>
    <col hidden="1" width="12.44140625" customWidth="1" style="179" min="13" max="13"/>
    <col hidden="1" width="8.77734375" customWidth="1" style="179" min="16" max="16"/>
    <col hidden="1" width="27.109375" customWidth="1" style="179" min="17" max="17"/>
    <col hidden="1" width="13" customWidth="1" style="179" min="18" max="18"/>
    <col width="9.88671875" customWidth="1" style="179" min="19" max="19"/>
    <col hidden="1" width="13" customWidth="1" style="179" min="20" max="25"/>
    <col hidden="1" width="9.88671875" customWidth="1" style="179" min="26" max="26"/>
    <col width="2.109375" customWidth="1" style="179" min="27" max="27"/>
    <col width="11.44140625" customWidth="1" style="179" min="28" max="28"/>
    <col width="11.5546875" bestFit="1" customWidth="1" style="179" min="29" max="29"/>
  </cols>
  <sheetData>
    <row r="2">
      <c r="A2" s="233" t="inlineStr">
        <is>
          <t>CQT FINAL</t>
        </is>
      </c>
      <c r="B2" s="246">
        <f>SMALL(Tabela71020[127],1)</f>
        <v/>
      </c>
      <c r="C2" s="234">
        <f>LARGE(Tabela71020[QT %],1)</f>
        <v/>
      </c>
      <c r="D2" s="201" t="n"/>
      <c r="E2" s="201" t="n"/>
      <c r="F2" s="64" t="n"/>
      <c r="H2" s="147" t="inlineStr">
        <is>
          <t>16 Al_CONC_Tri</t>
        </is>
      </c>
      <c r="AB2" s="190" t="inlineStr">
        <is>
          <t>CENTRO DE CARGA</t>
        </is>
      </c>
      <c r="AC2" s="191" t="n"/>
    </row>
    <row r="3">
      <c r="B3" s="232" t="n"/>
      <c r="C3" s="232" t="n"/>
      <c r="F3" s="64" t="n"/>
      <c r="AB3" s="192" t="n"/>
      <c r="AC3" s="192" t="n"/>
    </row>
    <row r="4">
      <c r="AB4" s="196" t="inlineStr">
        <is>
          <t>X</t>
        </is>
      </c>
      <c r="AC4" s="188">
        <f>IFERROR(SUMPRODUCT(G8:G12,D8:D12)/SUM(G8:G12),"INSERIR DADOS")</f>
        <v/>
      </c>
    </row>
    <row r="5" ht="13.8" customHeight="1" s="179">
      <c r="A5" s="233" t="inlineStr">
        <is>
          <t>PONTO</t>
        </is>
      </c>
      <c r="B5" s="180" t="inlineStr">
        <is>
          <t>PONTO MONTANTE</t>
        </is>
      </c>
      <c r="C5" s="180" t="inlineStr">
        <is>
          <t>COMPRIMENTO (m)</t>
        </is>
      </c>
      <c r="D5" s="235" t="inlineStr">
        <is>
          <t>COORDENADAS UTM</t>
        </is>
      </c>
      <c r="E5" s="182" t="n"/>
      <c r="F5" s="176" t="inlineStr">
        <is>
          <t>CARGA PONTO (kVA)</t>
        </is>
      </c>
      <c r="G5" s="176" t="inlineStr">
        <is>
          <t>ACUMULADO (kVA)</t>
        </is>
      </c>
      <c r="H5" s="176" t="inlineStr">
        <is>
          <t>CONDUTOR</t>
        </is>
      </c>
      <c r="I5" s="176" t="n"/>
      <c r="J5" s="176" t="n"/>
      <c r="K5" s="176" t="n"/>
      <c r="L5" s="176" t="inlineStr">
        <is>
          <t>QT NO PONTO</t>
        </is>
      </c>
      <c r="M5" s="176" t="inlineStr">
        <is>
          <t>QT ACUMULADA</t>
        </is>
      </c>
      <c r="N5" s="176" t="inlineStr">
        <is>
          <t>QT %</t>
        </is>
      </c>
      <c r="O5" s="176" t="inlineStr">
        <is>
          <t>TENSÃO PONTO</t>
        </is>
      </c>
      <c r="P5" s="176" t="n"/>
      <c r="Q5" s="176" t="inlineStr">
        <is>
          <t>I trecho x I condutor</t>
        </is>
      </c>
      <c r="S5" s="176" t="inlineStr">
        <is>
          <t>FASES</t>
        </is>
      </c>
      <c r="Z5" s="176" t="inlineStr">
        <is>
          <t>SNAP</t>
        </is>
      </c>
      <c r="AB5" s="12" t="inlineStr">
        <is>
          <t>Y</t>
        </is>
      </c>
      <c r="AC5" s="188">
        <f>IFERROR(SUMPRODUCT(G8:G12,E8:E12)/SUM(G8:G12),"INSERIR DADOS")</f>
        <v/>
      </c>
    </row>
    <row r="6" ht="34.2" customHeight="1" s="179">
      <c r="D6" s="233" t="inlineStr">
        <is>
          <t>LONG</t>
        </is>
      </c>
      <c r="E6" s="233" t="inlineStr">
        <is>
          <t>LAT</t>
        </is>
      </c>
      <c r="J6" s="178" t="n"/>
      <c r="K6" s="178" t="n"/>
      <c r="P6" s="178" t="n"/>
    </row>
    <row r="7">
      <c r="A7" s="53" t="inlineStr">
        <is>
          <t>PONTO</t>
        </is>
      </c>
      <c r="B7" s="53" t="inlineStr">
        <is>
          <t>TRECHO</t>
        </is>
      </c>
      <c r="C7" s="53" t="inlineStr">
        <is>
          <t>M</t>
        </is>
      </c>
      <c r="D7" s="53" t="inlineStr">
        <is>
          <t>X</t>
        </is>
      </c>
      <c r="E7" s="53" t="inlineStr">
        <is>
          <t>Y</t>
        </is>
      </c>
      <c r="F7" s="53" t="inlineStr">
        <is>
          <t>KVA PONTO</t>
        </is>
      </c>
      <c r="G7" s="53" t="inlineStr">
        <is>
          <t>ACUMULADA</t>
        </is>
      </c>
      <c r="H7" s="53" t="inlineStr">
        <is>
          <t>CONDUTOR</t>
        </is>
      </c>
      <c r="I7" s="67" t="inlineStr">
        <is>
          <t>(A)</t>
        </is>
      </c>
      <c r="J7" s="67" t="inlineStr">
        <is>
          <t>T</t>
        </is>
      </c>
      <c r="K7" s="67" t="inlineStr">
        <is>
          <t>R CORR</t>
        </is>
      </c>
      <c r="L7" s="53" t="inlineStr">
        <is>
          <t>QT-PONTO</t>
        </is>
      </c>
      <c r="M7" s="53" t="inlineStr">
        <is>
          <t>Coluna1</t>
        </is>
      </c>
      <c r="N7" s="53" t="inlineStr">
        <is>
          <t>QT %</t>
        </is>
      </c>
      <c r="O7" s="67" t="inlineStr">
        <is>
          <t>127</t>
        </is>
      </c>
      <c r="P7" s="67" t="inlineStr">
        <is>
          <t>220</t>
        </is>
      </c>
      <c r="Q7" s="53" t="inlineStr">
        <is>
          <t>TEMP2</t>
        </is>
      </c>
      <c r="R7" s="53" t="inlineStr">
        <is>
          <t>FASE</t>
        </is>
      </c>
      <c r="S7" s="53" t="inlineStr">
        <is>
          <t>ETA</t>
        </is>
      </c>
      <c r="T7" s="53" t="inlineStr">
        <is>
          <t>METODO_INST</t>
        </is>
      </c>
      <c r="U7" s="53" t="inlineStr">
        <is>
          <t>TEMP_AMB</t>
        </is>
      </c>
      <c r="V7" s="53" t="inlineStr">
        <is>
          <t>Ib</t>
        </is>
      </c>
      <c r="W7" s="53" t="inlineStr">
        <is>
          <t>In</t>
        </is>
      </c>
      <c r="X7" s="53" t="inlineStr">
        <is>
          <t>Iz</t>
        </is>
      </c>
      <c r="Y7" s="53" t="inlineStr">
        <is>
          <t>PROTECAO</t>
        </is>
      </c>
      <c r="Z7" s="53" t="inlineStr">
        <is>
          <t>Coluna2</t>
        </is>
      </c>
    </row>
    <row r="8">
      <c r="A8" s="54">
        <f>'GERAL PROJ'!A9</f>
        <v/>
      </c>
      <c r="B8" s="54">
        <f>IFERROR(IF(Tabela71020[[#This Row],[PONTO]]="RAMAL",A7,VLOOKUP(Tabela71020[[#This Row],[PONTO]],GERAL_PROJ[],2,0)),0)</f>
        <v/>
      </c>
      <c r="C8" s="54">
        <f>IFERROR(IF(Tabela71020[[#This Row],[PONTO]]="RAMAL",15,VLOOKUP(Tabela71020[[#This Row],[PONTO]],GERAL_PROJ[],3,0)),0)</f>
        <v/>
      </c>
      <c r="D8" s="55">
        <f>IFERROR(IF(Tabela71020[[#This Row],[PONTO]]="RAMAL","",VLOOKUP(Tabela71020[[#This Row],[PONTO]],GERAL_PROJ[],4,0)),0)</f>
        <v/>
      </c>
      <c r="E8" s="55">
        <f>IFERROR(IF(Tabela71020[[#This Row],[PONTO]]="RAMAL","",VLOOKUP(Tabela71020[[#This Row],[PONTO]],GERAL_PROJ[],5,0)),0)</f>
        <v/>
      </c>
      <c r="F8" s="55">
        <f>IFERROR(IF(Tabela71020[[#This Row],[PONTO]]="RAMAL",DMDI,VLOOKUP(Tabela71020[[#This Row],[PONTO]],GERAL_PROJ[],8,0)),0)</f>
        <v/>
      </c>
      <c r="G8" s="55">
        <f>IFERROR(IF(Tabela71020[[#This Row],[PONTO]]="RAMAL",Tabela71020[[#This Row],[KVA PONTO]],VLOOKUP(Tabela71020[[#This Row],[PONTO]],GERAL_PROJ[],9,0)),0)</f>
        <v/>
      </c>
      <c r="H8" s="55">
        <f>IFERROR(VLOOKUP(Tabela71020[[#This Row],[PONTO]],GERAL_PROJ[],12,0),0)</f>
        <v/>
      </c>
      <c r="I8" s="55">
        <f>Tabela71020[[#This Row],[Ib]]</f>
        <v/>
      </c>
      <c r="J8" s="55" t="n">
        <v>52.82496289577014</v>
      </c>
      <c r="K8" s="131">
        <f>IFERROR((VLOOKUP(Tabela71020[[#This Row],[CONDUTOR]],CABOS[],3,0)/VLOOKUP(Tabela71020[[#This Row],[CONDUTOR]],CABOS[],6,0))*(1+VLOOKUP(Tabela71020[[#This Row],[CONDUTOR]],CABOS[],5,0)*(Tabela71020[[#This Row],[T]]-20)),0)</f>
        <v/>
      </c>
      <c r="L8" s="148">
        <f>IFERROR(IF(Tabela71020[[#This Row],[FASE]]="MONO",6,IF(Tabela71020[[#This Row],[FASE]]="BIF",2,1))*Tabela71020[[#This Row],[ACUMULADA]]*(SQRT(Tabela71020[[#This Row],[R CORR]]^2+VLOOKUP(Tabela71020[[#This Row],[CONDUTOR]],CABOS[],4,0)^2)/(($P$7^2)/100))*Tabela71020[[#This Row],[M]]*127/100+IF(Tabela71020[[#This Row],[TRECHO]]=0,127*QT_MTTR2,0),0)</f>
        <v/>
      </c>
      <c r="M8" s="149">
        <f>IFERROR(SUMIF(Tabela71020[PONTO],Tabela71020[[#This Row],[TRECHO]],Tabela71020[Coluna1])+Tabela71020[[#This Row],[QT-PONTO]],0)</f>
        <v/>
      </c>
      <c r="N8" s="56">
        <f>Tabela71020[[#This Row],[Coluna1]]/127</f>
        <v/>
      </c>
      <c r="O8" s="55">
        <f>127-(127*Tabela71020[[#This Row],[QT %]])</f>
        <v/>
      </c>
      <c r="P8" s="55">
        <f>220-(220*Tabela71020[[#This Row],[QT %]])</f>
        <v/>
      </c>
      <c r="Q8" s="68">
        <f>IF(Tabela71020[[#This Row],[PROTECAO]]="OK","Protecao OK","Ajustar Disj/Condutor")</f>
        <v/>
      </c>
      <c r="R8" s="74">
        <f>"TRI"</f>
        <v/>
      </c>
      <c r="S8" s="74" t="n">
        <v>3</v>
      </c>
      <c r="T8" s="74">
        <f>"AEREO"</f>
        <v/>
      </c>
      <c r="U8" s="74">
        <f>30</f>
        <v/>
      </c>
      <c r="V8" s="74">
        <f>IF(Tabela71020[[#This Row],[FASE]]="MONO",Tabela71020[[#This Row],[ACUMULADA]]*1000/(220*Tabela71020[[#This Row],[ETA]]),Tabela71020[[#This Row],[ACUMULADA]]*1000/(SQRT(3)*$P$7*Tabela71020[[#This Row],[ETA]]))</f>
        <v/>
      </c>
      <c r="W8" s="74">
        <f>IFERROR(VLOOKUP(Tabela71020[[#This Row],[Ib]],TabelaDisjuntores[],2,TRUE),0)</f>
        <v/>
      </c>
      <c r="X8" s="74">
        <f>IFERROR(VLOOKUP(Tabela71020[[#This Row],[CONDUTOR]],CABOS[],2,0),0)</f>
        <v/>
      </c>
      <c r="Y8" s="74">
        <f>IF(AND(Tabela71020[[#This Row],[Ib]]&lt;=Tabela71020[[#This Row],[In]],Tabela71020[[#This Row],[In]]&lt;=Tabela71020[[#This Row],[Iz]]),"OK","VERIFICAR")</f>
        <v/>
      </c>
      <c r="Z8" s="142">
        <f>IFERROR(SQRT((Tabela71020[[#This Row],[X]]-$AC$4)^2+(Tabela71020[[#This Row],[Y]]-$AC$5)^2),0)</f>
        <v/>
      </c>
    </row>
    <row r="9">
      <c r="A9" s="169" t="n">
        <v>12</v>
      </c>
      <c r="B9" s="54">
        <f>IFERROR(IF(Tabela71020[[#This Row],[PONTO]]="RAMAL",A8,VLOOKUP(Tabela71020[[#This Row],[PONTO]],GERAL_PROJ[],2,0)),0)</f>
        <v/>
      </c>
      <c r="C9" s="54">
        <f>IFERROR(IF(Tabela71020[[#This Row],[PONTO]]="RAMAL",15,VLOOKUP(Tabela71020[[#This Row],[PONTO]],GERAL_PROJ[],3,0)),0)</f>
        <v/>
      </c>
      <c r="D9" s="55">
        <f>IFERROR(IF(Tabela71020[[#This Row],[PONTO]]="RAMAL","",VLOOKUP(Tabela71020[[#This Row],[PONTO]],GERAL_PROJ[],4,0)),0)</f>
        <v/>
      </c>
      <c r="E9" s="55">
        <f>IFERROR(IF(Tabela71020[[#This Row],[PONTO]]="RAMAL","",VLOOKUP(Tabela71020[[#This Row],[PONTO]],GERAL_PROJ[],5,0)),0)</f>
        <v/>
      </c>
      <c r="F9" s="55">
        <f>IFERROR(IF(Tabela71020[[#This Row],[PONTO]]="RAMAL",DMDI,VLOOKUP(Tabela71020[[#This Row],[PONTO]],GERAL_PROJ[],8,0)),0)</f>
        <v/>
      </c>
      <c r="G9" s="55">
        <f>IFERROR(IF(Tabela71020[[#This Row],[PONTO]]="RAMAL",Tabela71020[[#This Row],[KVA PONTO]],VLOOKUP(Tabela71020[[#This Row],[PONTO]],GERAL_PROJ[],9,0)),0)</f>
        <v/>
      </c>
      <c r="H9" s="55">
        <f>IFERROR(VLOOKUP(Tabela71020[[#This Row],[PONTO]],GERAL_PROJ[],12,0),0)</f>
        <v/>
      </c>
      <c r="I9" s="55">
        <f>Tabela71020[[#This Row],[Ib]]</f>
        <v/>
      </c>
      <c r="J9" s="55" t="e">
        <v>#DIV/0!</v>
      </c>
      <c r="K9" s="131">
        <f>IFERROR((VLOOKUP(Tabela71020[[#This Row],[CONDUTOR]],CABOS[],3,0)/VLOOKUP(Tabela71020[[#This Row],[CONDUTOR]],CABOS[],6,0))*(1+VLOOKUP(Tabela71020[[#This Row],[CONDUTOR]],CABOS[],5,0)*(Tabela71020[[#This Row],[T]]-20)),0)</f>
        <v/>
      </c>
      <c r="L9" s="148">
        <f>IFERROR(IF(Tabela71020[[#This Row],[FASE]]="MONO",6,IF(Tabela71020[[#This Row],[FASE]]="BIF",2,1))*Tabela71020[[#This Row],[ACUMULADA]]*(SQRT(Tabela71020[[#This Row],[R CORR]]^2+VLOOKUP(Tabela71020[[#This Row],[CONDUTOR]],CABOS[],4,0)^2)/(($P$7^2)/100))*Tabela71020[[#This Row],[M]]*127/100+IF(Tabela71020[[#This Row],[TRECHO]]=0,127*QT_MTTR2,0),0)</f>
        <v/>
      </c>
      <c r="M9" s="149">
        <f>IFERROR(SUMIF(Tabela71020[PONTO],Tabela71020[[#This Row],[TRECHO]],Tabela71020[Coluna1])+Tabela71020[[#This Row],[QT-PONTO]],0)</f>
        <v/>
      </c>
      <c r="N9" s="57">
        <f>Tabela71020[[#This Row],[Coluna1]]/127</f>
        <v/>
      </c>
      <c r="O9" s="55">
        <f>127-(127*Tabela71020[[#This Row],[QT %]])</f>
        <v/>
      </c>
      <c r="P9" s="55">
        <f>220-(220*Tabela71020[[#This Row],[QT %]])</f>
        <v/>
      </c>
      <c r="Q9" s="68">
        <f>IF(Tabela71020[[#This Row],[PROTECAO]]="OK","Protecao OK","Ajustar Disj/Condutor")</f>
        <v/>
      </c>
      <c r="R9" s="54">
        <f>"TRI"</f>
        <v/>
      </c>
      <c r="S9" s="54" t="n">
        <v>3</v>
      </c>
      <c r="T9" s="54">
        <f>"AEREO"</f>
        <v/>
      </c>
      <c r="U9" s="54">
        <f>30</f>
        <v/>
      </c>
      <c r="V9" s="54">
        <f>IF(Tabela71020[[#This Row],[FASE]]="MONO",Tabela71020[[#This Row],[ACUMULADA]]*1000/(220*Tabela71020[[#This Row],[ETA]]),Tabela71020[[#This Row],[ACUMULADA]]*1000/(SQRT(3)*$P$7*Tabela71020[[#This Row],[ETA]]))</f>
        <v/>
      </c>
      <c r="W9" s="54">
        <f>IFERROR(VLOOKUP(Tabela71020[[#This Row],[Ib]],TabelaDisjuntores[],2,TRUE),0)</f>
        <v/>
      </c>
      <c r="X9" s="54">
        <f>IFERROR(VLOOKUP(Tabela71020[[#This Row],[CONDUTOR]],CABOS[],2,0),0)</f>
        <v/>
      </c>
      <c r="Y9" s="54">
        <f>IF(AND(Tabela71020[[#This Row],[Ib]]&lt;=Tabela71020[[#This Row],[In]],Tabela71020[[#This Row],[In]]&lt;=Tabela71020[[#This Row],[Iz]]),"OK","VERIFICAR")</f>
        <v/>
      </c>
      <c r="Z9" s="55">
        <f>IFERROR(SQRT((Tabela71020[[#This Row],[X]]-$AC$4)^2+(Tabela71020[[#This Row],[Y]]-$AC$5)^2),0)</f>
        <v/>
      </c>
    </row>
    <row r="10">
      <c r="A10" s="169" t="n">
        <v>13</v>
      </c>
      <c r="B10" s="54">
        <f>IFERROR(IF(Tabela71020[[#This Row],[PONTO]]="RAMAL",A9,VLOOKUP(Tabela71020[[#This Row],[PONTO]],GERAL_PROJ[],2,0)),0)</f>
        <v/>
      </c>
      <c r="C10" s="54">
        <f>IFERROR(IF(Tabela71020[[#This Row],[PONTO]]="RAMAL",15,VLOOKUP(Tabela71020[[#This Row],[PONTO]],GERAL_PROJ[],3,0)),0)</f>
        <v/>
      </c>
      <c r="D10" s="55">
        <f>IFERROR(IF(Tabela71020[[#This Row],[PONTO]]="RAMAL","",VLOOKUP(Tabela71020[[#This Row],[PONTO]],GERAL_PROJ[],4,0)),0)</f>
        <v/>
      </c>
      <c r="E10" s="55">
        <f>IFERROR(IF(Tabela71020[[#This Row],[PONTO]]="RAMAL","",VLOOKUP(Tabela71020[[#This Row],[PONTO]],GERAL_PROJ[],5,0)),0)</f>
        <v/>
      </c>
      <c r="F10" s="55">
        <f>IFERROR(IF(Tabela71020[[#This Row],[PONTO]]="RAMAL",DMDI,VLOOKUP(Tabela71020[[#This Row],[PONTO]],GERAL_PROJ[],8,0)),0)</f>
        <v/>
      </c>
      <c r="G10" s="55">
        <f>IFERROR(IF(Tabela71020[[#This Row],[PONTO]]="RAMAL",Tabela71020[[#This Row],[KVA PONTO]],VLOOKUP(Tabela71020[[#This Row],[PONTO]],GERAL_PROJ[],9,0)),0)</f>
        <v/>
      </c>
      <c r="H10" s="55">
        <f>IFERROR(VLOOKUP(Tabela71020[[#This Row],[PONTO]],GERAL_PROJ[],12,0),0)</f>
        <v/>
      </c>
      <c r="I10" s="55">
        <f>Tabela71020[[#This Row],[Ib]]</f>
        <v/>
      </c>
      <c r="J10" s="55" t="e">
        <v>#DIV/0!</v>
      </c>
      <c r="K10" s="131">
        <f>IFERROR((VLOOKUP(Tabela71020[[#This Row],[CONDUTOR]],CABOS[],3,0)/VLOOKUP(Tabela71020[[#This Row],[CONDUTOR]],CABOS[],6,0))*(1+VLOOKUP(Tabela71020[[#This Row],[CONDUTOR]],CABOS[],5,0)*(Tabela71020[[#This Row],[T]]-20)),0)</f>
        <v/>
      </c>
      <c r="L10" s="148">
        <f>IFERROR(IF(Tabela71020[[#This Row],[FASE]]="MONO",6,IF(Tabela71020[[#This Row],[FASE]]="BIF",2,1))*Tabela71020[[#This Row],[ACUMULADA]]*(SQRT(Tabela71020[[#This Row],[R CORR]]^2+VLOOKUP(Tabela71020[[#This Row],[CONDUTOR]],CABOS[],4,0)^2)/(($P$7^2)/100))*Tabela71020[[#This Row],[M]]*127/100+IF(Tabela71020[[#This Row],[TRECHO]]=0,127*QT_MTTR2,0),0)</f>
        <v/>
      </c>
      <c r="M10" s="149">
        <f>IFERROR(SUMIF(Tabela71020[PONTO],Tabela71020[[#This Row],[TRECHO]],Tabela71020[Coluna1])+Tabela71020[[#This Row],[QT-PONTO]],0)</f>
        <v/>
      </c>
      <c r="N10" s="56">
        <f>Tabela71020[[#This Row],[Coluna1]]/127</f>
        <v/>
      </c>
      <c r="O10" s="55">
        <f>127-(127*Tabela71020[[#This Row],[QT %]])</f>
        <v/>
      </c>
      <c r="P10" s="55">
        <f>220-(220*Tabela71020[[#This Row],[QT %]])</f>
        <v/>
      </c>
      <c r="Q10" s="68">
        <f>IF(Tabela71020[[#This Row],[PROTECAO]]="OK","Protecao OK","Ajustar Disj/Condutor")</f>
        <v/>
      </c>
      <c r="R10" s="74">
        <f>"TRI"</f>
        <v/>
      </c>
      <c r="S10" s="74" t="n">
        <v>3</v>
      </c>
      <c r="T10" s="74">
        <f>"AEREO"</f>
        <v/>
      </c>
      <c r="U10" s="54">
        <f>30</f>
        <v/>
      </c>
      <c r="V10" s="54">
        <f>IF(Tabela71020[[#This Row],[FASE]]="MONO",Tabela71020[[#This Row],[ACUMULADA]]*1000/(220*Tabela71020[[#This Row],[ETA]]),Tabela71020[[#This Row],[ACUMULADA]]*1000/(SQRT(3)*$P$7*Tabela71020[[#This Row],[ETA]]))</f>
        <v/>
      </c>
      <c r="W10" s="54">
        <f>IFERROR(VLOOKUP(Tabela71020[[#This Row],[Ib]],TabelaDisjuntores[],2,TRUE),0)</f>
        <v/>
      </c>
      <c r="X10" s="54">
        <f>IFERROR(VLOOKUP(Tabela71020[[#This Row],[CONDUTOR]],CABOS[],2,0),0)</f>
        <v/>
      </c>
      <c r="Y10" s="54">
        <f>IF(AND(Tabela71020[[#This Row],[Ib]]&lt;=Tabela71020[[#This Row],[In]],Tabela71020[[#This Row],[In]]&lt;=Tabela71020[[#This Row],[Iz]]),"OK","VERIFICAR")</f>
        <v/>
      </c>
      <c r="Z10" s="55">
        <f>IFERROR(SQRT((Tabela71020[[#This Row],[X]]-$AC$4)^2+(Tabela71020[[#This Row],[Y]]-$AC$5)^2),0)</f>
        <v/>
      </c>
    </row>
    <row r="11">
      <c r="A11" s="169" t="n">
        <v>14</v>
      </c>
      <c r="B11" s="54">
        <f>IFERROR(IF(Tabela71020[[#This Row],[PONTO]]="RAMAL",0,VLOOKUP(Tabela71020[[#This Row],[PONTO]],GERAL_PROJ[],2,0)),0)</f>
        <v/>
      </c>
      <c r="C11" s="54">
        <f>IFERROR(IF(Tabela71020[[#This Row],[PONTO]]="RAMAL",15,VLOOKUP(Tabela71020[[#This Row],[PONTO]],GERAL_PROJ[],3,0)),0)</f>
        <v/>
      </c>
      <c r="D11" s="55">
        <f>IFERROR(IF(Tabela71020[[#This Row],[PONTO]]="RAMAL","",VLOOKUP(Tabela71020[[#This Row],[PONTO]],GERAL_PROJ[],4,0)),0)</f>
        <v/>
      </c>
      <c r="E11" s="55">
        <f>IFERROR(IF(Tabela71020[[#This Row],[PONTO]]="RAMAL","",VLOOKUP(Tabela71020[[#This Row],[PONTO]],GERAL_PROJ[],5,0)),0)</f>
        <v/>
      </c>
      <c r="F11" s="55">
        <f>IFERROR(IF(Tabela71020[[#This Row],[PONTO]]="RAMAL",DMDI,VLOOKUP(Tabela71020[[#This Row],[PONTO]],GERAL_PROJ[],8,0)),0)</f>
        <v/>
      </c>
      <c r="G11" s="55">
        <f>IFERROR(IF(Tabela71020[[#This Row],[PONTO]]="RAMAL",Tabela71020[[#This Row],[KVA PONTO]],VLOOKUP(Tabela71020[[#This Row],[PONTO]],GERAL_PROJ[],9,0)),0)</f>
        <v/>
      </c>
      <c r="H11" s="55">
        <f>IFERROR(VLOOKUP(Tabela71020[[#This Row],[PONTO]],GERAL_PROJ[],12,0),0)</f>
        <v/>
      </c>
      <c r="I11" s="55">
        <f>Tabela71020[[#This Row],[Ib]]</f>
        <v/>
      </c>
      <c r="J11" s="55" t="e">
        <v>#N/A</v>
      </c>
      <c r="K11" s="131">
        <f>(VLOOKUP(Tabela71020[[#This Row],[CONDUTOR]],CABOS[],3,0)/VLOOKUP(Tabela71020[[#This Row],[CONDUTOR]],CABOS[],6,0))*(1+VLOOKUP(Tabela71020[[#This Row],[CONDUTOR]],CABOS[],5,0)*(Tabela71020[[#This Row],[T]]-20))</f>
        <v/>
      </c>
      <c r="L11" s="148">
        <f>IFERROR(IF(Tabela71020[[#This Row],[FASE]]="MONO",6,IF(Tabela71020[[#This Row],[FASE]]="BIF",2,1))*Tabela71020[[#This Row],[ACUMULADA]]*(SQRT(Tabela71020[[#This Row],[R CORR]]^2+VLOOKUP(Tabela71020[[#This Row],[CONDUTOR]],CABOS[],4,0)^2)/(($P$7^2)/100))*Tabela71020[[#This Row],[M]]*127/100+IF(Tabela71020[[#This Row],[TRECHO]]=0,127*QT_MTTR2,0),0)</f>
        <v/>
      </c>
      <c r="M11" s="149">
        <f>SUMIF(Tabela71020[PONTO],Tabela71020[[#This Row],[TRECHO]],Tabela71020[Coluna1])+Tabela71020[[#This Row],[QT-PONTO]]</f>
        <v/>
      </c>
      <c r="N11" s="56">
        <f>Tabela71020[[#This Row],[Coluna1]]/127</f>
        <v/>
      </c>
      <c r="O11" s="55">
        <f>127-(127*Tabela71020[[#This Row],[QT %]])</f>
        <v/>
      </c>
      <c r="P11" s="55">
        <f>220-(220*Tabela71020[[#This Row],[QT %]])</f>
        <v/>
      </c>
      <c r="Q11" s="68">
        <f>IF(Tabela71020[[#This Row],[PROTECAO]]="OK","Protecao OK","Ajustar Disj/Condutor")</f>
        <v/>
      </c>
      <c r="R11" s="74">
        <f>"TRI"</f>
        <v/>
      </c>
      <c r="S11" s="74" t="n">
        <v>3</v>
      </c>
      <c r="T11" s="74">
        <f>"AEREO"</f>
        <v/>
      </c>
      <c r="U11" s="54">
        <f>30</f>
        <v/>
      </c>
      <c r="V11" s="54">
        <f>IF(Tabela71020[[#This Row],[FASE]]="MONO",Tabela71020[[#This Row],[ACUMULADA]]*1000/(220*Tabela71020[[#This Row],[ETA]]),Tabela71020[[#This Row],[ACUMULADA]]*1000/(SQRT(3)*$P$7*Tabela71020[[#This Row],[ETA]]))</f>
        <v/>
      </c>
      <c r="W11" s="54">
        <f>VLOOKUP(Tabela71020[[#This Row],[Ib]],TabelaDisjuntores[],2,TRUE)</f>
        <v/>
      </c>
      <c r="X11" s="54">
        <f>VLOOKUP(Tabela71020[[#This Row],[CONDUTOR]],CABOS[],2,0)</f>
        <v/>
      </c>
      <c r="Y11" s="54">
        <f>IF(AND(Tabela71020[[#This Row],[Ib]]&lt;=Tabela71020[[#This Row],[In]],Tabela71020[[#This Row],[In]]&lt;=Tabela71020[[#This Row],[Iz]]),"OK","VERIFICAR")</f>
        <v/>
      </c>
      <c r="Z11" s="55">
        <f>IFERROR(SQRT((Tabela71020[[#This Row],[X]]-$AC$4)^2+(Tabela71020[[#This Row],[Y]]-$AC$5)^2),0)</f>
        <v/>
      </c>
    </row>
    <row r="12">
      <c r="A12" s="169" t="n">
        <v>15</v>
      </c>
      <c r="B12" s="54">
        <f>IFERROR(IF(Tabela71020[[#This Row],[PONTO]]="RAMAL",A11,VLOOKUP(Tabela71020[[#This Row],[PONTO]],GERAL_PROJ[],2,0)),0)</f>
        <v/>
      </c>
      <c r="C12" s="54">
        <f>IFERROR(IF(Tabela71020[[#This Row],[PONTO]]="RAMAL",15,VLOOKUP(Tabela71020[[#This Row],[PONTO]],GERAL_PROJ[],3,0)),0)</f>
        <v/>
      </c>
      <c r="D12" s="55">
        <f>IFERROR(IF(Tabela71020[[#This Row],[PONTO]]="RAMAL","",VLOOKUP(Tabela71020[[#This Row],[PONTO]],GERAL_PROJ[],4,0)),0)</f>
        <v/>
      </c>
      <c r="E12" s="55">
        <f>IFERROR(IF(Tabela71020[[#This Row],[PONTO]]="RAMAL","",VLOOKUP(Tabela71020[[#This Row],[PONTO]],GERAL_PROJ[],5,0)),0)</f>
        <v/>
      </c>
      <c r="F12" s="55">
        <f>IFERROR(IF(Tabela71020[[#This Row],[PONTO]]="RAMAL",DMDI,VLOOKUP(Tabela71020[[#This Row],[PONTO]],GERAL_PROJ[],8,0)),0)</f>
        <v/>
      </c>
      <c r="G12" s="55">
        <f>IFERROR(IF(Tabela71020[[#This Row],[PONTO]]="RAMAL",Tabela71020[[#This Row],[KVA PONTO]],VLOOKUP(Tabela71020[[#This Row],[PONTO]],GERAL_PROJ[],9,0)),0)</f>
        <v/>
      </c>
      <c r="H12" s="55">
        <f>IFERROR(VLOOKUP(Tabela71020[[#This Row],[PONTO]],GERAL_PROJ[],12,0),0)</f>
        <v/>
      </c>
      <c r="I12" s="55">
        <f>Tabela71020[[#This Row],[Ib]]</f>
        <v/>
      </c>
      <c r="J12" s="55" t="e">
        <v>#N/A</v>
      </c>
      <c r="K12" s="131">
        <f>(VLOOKUP(Tabela71020[[#This Row],[CONDUTOR]],CABOS[],3,0)/VLOOKUP(Tabela71020[[#This Row],[CONDUTOR]],CABOS[],6,0))*(1+VLOOKUP(Tabela71020[[#This Row],[CONDUTOR]],CABOS[],5,0)*(Tabela71020[[#This Row],[T]]-20))</f>
        <v/>
      </c>
      <c r="L12" s="148">
        <f>IFERROR(IF(Tabela71020[[#This Row],[FASE]]="MONO",6,IF(Tabela71020[[#This Row],[FASE]]="BIF",2,1))*Tabela71020[[#This Row],[ACUMULADA]]*(SQRT(Tabela71020[[#This Row],[R CORR]]^2+VLOOKUP(Tabela71020[[#This Row],[CONDUTOR]],CABOS[],4,0)^2)/(($P$7^2)/100))*Tabela71020[[#This Row],[M]]*127/100+IF(Tabela71020[[#This Row],[TRECHO]]=0,127*QT_MTTR2,0),0)</f>
        <v/>
      </c>
      <c r="M12" s="149">
        <f>SUMIF(Tabela71020[PONTO],Tabela71020[[#This Row],[TRECHO]],Tabela71020[Coluna1])+Tabela71020[[#This Row],[QT-PONTO]]</f>
        <v/>
      </c>
      <c r="N12" s="57">
        <f>Tabela71020[[#This Row],[Coluna1]]/127</f>
        <v/>
      </c>
      <c r="O12" s="55">
        <f>127-(127*Tabela71020[[#This Row],[QT %]])</f>
        <v/>
      </c>
      <c r="P12" s="55">
        <f>220-(220*Tabela71020[[#This Row],[QT %]])</f>
        <v/>
      </c>
      <c r="Q12" s="68">
        <f>IF(Tabela71020[[#This Row],[PROTECAO]]="OK","Protecao OK","Ajustar Disj/Condutor")</f>
        <v/>
      </c>
      <c r="R12" s="54">
        <f>"TRI"</f>
        <v/>
      </c>
      <c r="S12" s="54" t="n">
        <v>3</v>
      </c>
      <c r="T12" s="54">
        <f>"AEREO"</f>
        <v/>
      </c>
      <c r="U12" s="54">
        <f>30</f>
        <v/>
      </c>
      <c r="V12" s="54">
        <f>IF(Tabela71020[[#This Row],[FASE]]="MONO",Tabela71020[[#This Row],[ACUMULADA]]*1000/(220*Tabela71020[[#This Row],[ETA]]),Tabela71020[[#This Row],[ACUMULADA]]*1000/(SQRT(3)*$P$7*Tabela71020[[#This Row],[ETA]]))</f>
        <v/>
      </c>
      <c r="W12" s="54">
        <f>VLOOKUP(Tabela71020[[#This Row],[Ib]],TabelaDisjuntores[],2,TRUE)</f>
        <v/>
      </c>
      <c r="X12" s="54">
        <f>VLOOKUP(Tabela71020[[#This Row],[CONDUTOR]],CABOS[],2,0)</f>
        <v/>
      </c>
      <c r="Y12" s="54">
        <f>IF(AND(Tabela71020[[#This Row],[Ib]]&lt;=Tabela71020[[#This Row],[In]],Tabela71020[[#This Row],[In]]&lt;=Tabela71020[[#This Row],[Iz]]),"OK","VERIFICAR")</f>
        <v/>
      </c>
      <c r="Z12" s="55">
        <f>IFERROR(SQRT((Tabela71020[[#This Row],[X]]-$AC$4)^2+(Tabela71020[[#This Row],[Y]]-$AC$5)^2),0)</f>
        <v/>
      </c>
    </row>
    <row r="13">
      <c r="A13" s="71" t="inlineStr">
        <is>
          <t>RAMAL</t>
        </is>
      </c>
      <c r="B13" s="173" t="n">
        <v>15</v>
      </c>
      <c r="C13" s="71">
        <f>IF(Tabela71020[[#This Row],[PONTO]]="RAMAL",15,VLOOKUP(Tabela71020[[#This Row],[PONTO]],pontos,3,0))</f>
        <v/>
      </c>
      <c r="D13" s="72">
        <f>IF(Tabela71020[[#This Row],[PONTO]]="RAMAL","",VLOOKUP(Tabela71020[[#This Row],[PONTO]],pontos,4,0))</f>
        <v/>
      </c>
      <c r="E13" s="72">
        <f>IF(Tabela71020[[#This Row],[PONTO]]="RAMAL","",VLOOKUP(Tabela71020[[#This Row],[PONTO]],pontos,5,0))</f>
        <v/>
      </c>
      <c r="F13" s="72">
        <f>IF(Tabela71020[[#This Row],[PONTO]]="RAMAL",DMDI,VLOOKUP(Tabela71020[[#This Row],[PONTO]],pontos,8,0))</f>
        <v/>
      </c>
      <c r="G13" s="72">
        <f>IF(Tabela71020[[#This Row],[PONTO]]="RAMAL",Tabela71020[[#This Row],[KVA PONTO]],VLOOKUP(Tabela71020[[#This Row],[PONTO]],pontos,9,0))</f>
        <v/>
      </c>
      <c r="H13" s="174" t="inlineStr">
        <is>
          <t>16 Al_CONC_Tri</t>
        </is>
      </c>
      <c r="I13" s="72">
        <f>Tabela71020[[#This Row],[Ib]]</f>
        <v/>
      </c>
      <c r="J13" s="72" t="n">
        <v>37.09815915367332</v>
      </c>
      <c r="K13" s="134">
        <f>(VLOOKUP(Tabela71020[[#This Row],[CONDUTOR]],CABOS[],3,0)/VLOOKUP(Tabela71020[[#This Row],[CONDUTOR]],CABOS[],6,0))*(1+VLOOKUP(Tabela71020[[#This Row],[CONDUTOR]],CABOS[],5,0)*(Tabela71020[[#This Row],[T]]-20))</f>
        <v/>
      </c>
      <c r="L13" s="150">
        <f>IFERROR(IF(Tabela71020[[#This Row],[FASE]]="MONO",6,IF(Tabela71020[[#This Row],[FASE]]="BIF",2,1))*Tabela71020[[#This Row],[ACUMULADA]]*(SQRT(Tabela71020[[#This Row],[R CORR]]^2+VLOOKUP(Tabela71020[[#This Row],[CONDUTOR]],CABOS[],4,0)^2)/(($P$7^2)/100))*Tabela71020[[#This Row],[M]]*127/100+IF(Tabela71020[[#This Row],[TRECHO]]=0,127*QT_MTTR2,0),0)</f>
        <v/>
      </c>
      <c r="M13" s="151">
        <f>SUMIF(Tabela71020[PONTO],Tabela71020[[#This Row],[TRECHO]],Tabela71020[Coluna1])+Tabela71020[[#This Row],[QT-PONTO]]</f>
        <v/>
      </c>
      <c r="N13" s="152">
        <f>Tabela71020[[#This Row],[Coluna1]]/127</f>
        <v/>
      </c>
      <c r="O13" s="72">
        <f>127-(127*Tabela71020[[#This Row],[QT %]])</f>
        <v/>
      </c>
      <c r="P13" s="72">
        <f>220-(220*Tabela71020[[#This Row],[QT %]])</f>
        <v/>
      </c>
      <c r="Q13" s="73">
        <f>IF(Tabela71020[[#This Row],[PROTECAO]]="OK","Protecao OK","Ajustar Disj/Condutor")</f>
        <v/>
      </c>
      <c r="R13" s="122">
        <f>"TRI"</f>
        <v/>
      </c>
      <c r="S13" s="122">
        <f>1</f>
        <v/>
      </c>
      <c r="T13" s="122">
        <f>"AEREO"</f>
        <v/>
      </c>
      <c r="U13" s="71">
        <f>30</f>
        <v/>
      </c>
      <c r="V13" s="71">
        <f>IF(Tabela71020[[#This Row],[FASE]]="MONO",Tabela71020[[#This Row],[ACUMULADA]]*1000/(220*Tabela71020[[#This Row],[ETA]]),Tabela71020[[#This Row],[ACUMULADA]]*1000/(SQRT(3)*$P$7*Tabela71020[[#This Row],[ETA]]))</f>
        <v/>
      </c>
      <c r="W13" s="71">
        <f>VLOOKUP(Tabela71020[[#This Row],[Ib]],TabelaDisjuntores[],2,TRUE)</f>
        <v/>
      </c>
      <c r="X13" s="71">
        <f>VLOOKUP(Tabela71020[[#This Row],[CONDUTOR]],CABOS[],2,0)</f>
        <v/>
      </c>
      <c r="Y13" s="71">
        <f>IF(AND(Tabela71020[[#This Row],[Ib]]&lt;=Tabela71020[[#This Row],[In]],Tabela71020[[#This Row],[In]]&lt;=Tabela71020[[#This Row],[Iz]]),"OK","VERIFICAR")</f>
        <v/>
      </c>
      <c r="Z13" s="71">
        <f>IFERROR(SQRT((Tabela71020[[#This Row],[X]]-$AC$4)^2+(Tabela71020[[#This Row],[Y]]-$AC$5)^2),0)</f>
        <v/>
      </c>
    </row>
  </sheetData>
  <mergeCells count="21">
    <mergeCell ref="O5:O6"/>
    <mergeCell ref="Q5:Q6"/>
    <mergeCell ref="AB2:AC3"/>
    <mergeCell ref="B2:B3"/>
    <mergeCell ref="F5:F6"/>
    <mergeCell ref="D2:D3"/>
    <mergeCell ref="L5:L6"/>
    <mergeCell ref="N5:N6"/>
    <mergeCell ref="A2:A3"/>
    <mergeCell ref="C2:C3"/>
    <mergeCell ref="E2:E3"/>
    <mergeCell ref="I5:I6"/>
    <mergeCell ref="Z5:Z6"/>
    <mergeCell ref="A5:A6"/>
    <mergeCell ref="G5:G6"/>
    <mergeCell ref="S5:S6"/>
    <mergeCell ref="B5:B6"/>
    <mergeCell ref="H5:H6"/>
    <mergeCell ref="D5:E5"/>
    <mergeCell ref="C5:C6"/>
    <mergeCell ref="M5:M6"/>
  </mergeCells>
  <conditionalFormatting sqref="Q8:Y12">
    <cfRule type="cellIs" priority="1" operator="equal" dxfId="1">
      <formula>"Condutor Suporta Amperagem"</formula>
    </cfRule>
    <cfRule type="cellIs" priority="2" operator="equal" dxfId="0">
      <formula>"Condutor Sobrecarregado"</formula>
    </cfRule>
  </conditionalFormatting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Q428"/>
  <sheetViews>
    <sheetView showGridLines="0" zoomScale="90" zoomScaleNormal="90" workbookViewId="0">
      <pane ySplit="8" topLeftCell="A16" activePane="bottomLeft" state="frozen"/>
      <selection activeCell="A9" sqref="A9:A21"/>
      <selection pane="bottomLeft" activeCell="L5" sqref="L5"/>
    </sheetView>
  </sheetViews>
  <sheetFormatPr baseColWidth="8" defaultColWidth="14.77734375" defaultRowHeight="14.4"/>
  <cols>
    <col width="9.5546875" customWidth="1" style="184" min="1" max="1"/>
    <col width="8.5546875" customWidth="1" style="184" min="2" max="2"/>
    <col width="15.44140625" bestFit="1" customWidth="1" style="184" min="3" max="3"/>
    <col width="11.109375" bestFit="1" customWidth="1" style="184" min="4" max="4"/>
    <col width="12.21875" bestFit="1" customWidth="1" style="184" min="5" max="5"/>
    <col width="7.88671875" customWidth="1" style="184" min="6" max="6"/>
    <col width="10.33203125" customWidth="1" style="184" min="7" max="7"/>
    <col width="17.44140625" bestFit="1" customWidth="1" style="187" min="8" max="8"/>
    <col width="14.5546875" customWidth="1" style="187" min="9" max="9"/>
    <col hidden="1" width="14" customWidth="1" style="187" min="10" max="10"/>
    <col width="25.44140625" bestFit="1" customWidth="1" style="179" min="11" max="11"/>
    <col width="12.44140625" bestFit="1" customWidth="1" style="179" min="12" max="12"/>
    <col width="15" bestFit="1" customWidth="1" style="179" min="13" max="13"/>
    <col width="2.44140625" customWidth="1" style="179" min="14" max="14"/>
    <col width="13.5546875" bestFit="1" customWidth="1" style="179" min="15" max="15"/>
    <col width="17.33203125" bestFit="1" customWidth="1" style="179" min="16" max="16"/>
    <col width="11.6640625" bestFit="1" customWidth="1" style="179" min="17" max="17"/>
    <col width="4.6640625" bestFit="1" customWidth="1" style="179" min="18" max="18"/>
  </cols>
  <sheetData>
    <row r="2">
      <c r="A2" s="183" t="inlineStr">
        <is>
          <t>ZNA 30460 - RUA JDÉCIO MUNIZ DA SILVA FILHO (ANTIGA 16 DE ABRIL) - CHAPERÓ - ITAGUAÍ RJ</t>
        </is>
      </c>
      <c r="H2" s="178" t="inlineStr">
        <is>
          <t>CLANDESTINO?</t>
        </is>
      </c>
      <c r="I2" s="201">
        <f>GERAL!I2</f>
        <v/>
      </c>
      <c r="K2" s="178" t="inlineStr">
        <is>
          <t>CONSIDERA CASAS COM:</t>
        </is>
      </c>
      <c r="L2" s="236">
        <f>GERAL!L2</f>
        <v/>
      </c>
      <c r="M2" s="178" t="inlineStr">
        <is>
          <t>RAMAL ESQ</t>
        </is>
      </c>
      <c r="O2" s="178" t="inlineStr">
        <is>
          <t>TRAFO</t>
        </is>
      </c>
      <c r="P2" s="201">
        <f>IF(O5&gt;O3,"SOBRECARGA","")</f>
        <v/>
      </c>
      <c r="Q2" s="178" t="inlineStr">
        <is>
          <t>CABO BT</t>
        </is>
      </c>
    </row>
    <row r="3">
      <c r="M3" s="243">
        <f>P31</f>
        <v/>
      </c>
      <c r="O3" s="9" t="n">
        <v>75</v>
      </c>
      <c r="Q3" s="128" t="inlineStr">
        <is>
          <t>70 Al - MX</t>
        </is>
      </c>
    </row>
    <row r="4">
      <c r="A4" s="3" t="n"/>
      <c r="B4" s="3" t="n"/>
      <c r="C4" s="3" t="n"/>
      <c r="D4" s="4" t="n"/>
      <c r="E4" s="3" t="n"/>
      <c r="F4" s="3" t="n"/>
      <c r="G4" s="3" t="n"/>
      <c r="J4" s="10" t="n"/>
      <c r="M4" s="178" t="inlineStr">
        <is>
          <t>RAMAL DIR</t>
        </is>
      </c>
      <c r="O4" s="178" t="inlineStr">
        <is>
          <t>DEMANDA</t>
        </is>
      </c>
      <c r="Q4" s="128" t="inlineStr">
        <is>
          <t>185 Al - MX</t>
        </is>
      </c>
    </row>
    <row r="5">
      <c r="A5" s="100" t="inlineStr">
        <is>
          <t>LEV 27/03/2026</t>
        </is>
      </c>
      <c r="B5" s="3" t="n"/>
      <c r="C5" s="3" t="inlineStr">
        <is>
          <t>EST 31/03/2026</t>
        </is>
      </c>
      <c r="D5" s="4" t="n"/>
      <c r="E5" s="3" t="n"/>
      <c r="F5" s="3" t="n"/>
      <c r="G5" s="3" t="n"/>
      <c r="J5" s="10" t="n"/>
      <c r="M5" s="243">
        <f>P32</f>
        <v/>
      </c>
      <c r="O5" s="93">
        <f>I9</f>
        <v/>
      </c>
      <c r="P5" s="141">
        <f>O5/0.85</f>
        <v/>
      </c>
      <c r="Q5" s="128" t="inlineStr">
        <is>
          <t>240 Al - MX</t>
        </is>
      </c>
    </row>
    <row r="6" ht="13.8" customFormat="1" customHeight="1" s="177">
      <c r="A6" s="180" t="inlineStr">
        <is>
          <t>PONTO</t>
        </is>
      </c>
      <c r="B6" s="180" t="inlineStr">
        <is>
          <t>TRECHO</t>
        </is>
      </c>
      <c r="C6" s="180" t="inlineStr">
        <is>
          <t>COMPRIMENTO</t>
        </is>
      </c>
      <c r="D6" s="181" t="inlineStr">
        <is>
          <t>COORDENADAS UTM</t>
        </is>
      </c>
      <c r="E6" s="182" t="n"/>
      <c r="F6" s="180" t="n"/>
      <c r="G6" s="180" t="n"/>
      <c r="H6" s="176" t="inlineStr">
        <is>
          <t>CARGA PONTO</t>
        </is>
      </c>
      <c r="I6" s="176" t="inlineStr">
        <is>
          <t>ACUMULADA</t>
        </is>
      </c>
      <c r="J6" s="176" t="inlineStr">
        <is>
          <t>DIST ATÉ O CENTRO DE CARGA</t>
        </is>
      </c>
      <c r="K6" s="176" t="n"/>
      <c r="L6" s="178" t="n"/>
      <c r="M6" s="178" t="n"/>
      <c r="O6" s="115">
        <f>O5/O3</f>
        <v/>
      </c>
      <c r="P6" s="64" t="n"/>
      <c r="Q6" s="128" t="inlineStr">
        <is>
          <t>53 Al - QX</t>
        </is>
      </c>
    </row>
    <row r="7" ht="13.8" customFormat="1" customHeight="1" s="177">
      <c r="B7" s="178" t="inlineStr">
        <is>
          <t>MONTATE</t>
        </is>
      </c>
      <c r="C7" s="178" t="inlineStr">
        <is>
          <t>metros</t>
        </is>
      </c>
      <c r="D7" s="180" t="inlineStr">
        <is>
          <t>LONG</t>
        </is>
      </c>
      <c r="E7" s="180" t="inlineStr">
        <is>
          <t>LAT</t>
        </is>
      </c>
      <c r="F7" s="78" t="n"/>
      <c r="G7" s="78" t="n"/>
      <c r="L7" s="178" t="n"/>
      <c r="M7" s="178" t="n"/>
    </row>
    <row r="8" ht="21.6" customFormat="1" customHeight="1" s="5">
      <c r="A8" s="97" t="inlineStr">
        <is>
          <t>PONTO</t>
        </is>
      </c>
      <c r="B8" s="98" t="inlineStr">
        <is>
          <t>TRECHO</t>
        </is>
      </c>
      <c r="C8" s="98" t="inlineStr">
        <is>
          <t>M</t>
        </is>
      </c>
      <c r="D8" s="97" t="inlineStr">
        <is>
          <t>X</t>
        </is>
      </c>
      <c r="E8" s="97" t="inlineStr">
        <is>
          <t>Y</t>
        </is>
      </c>
      <c r="F8" s="96" t="inlineStr">
        <is>
          <t>CLIENTES</t>
        </is>
      </c>
      <c r="G8" s="96" t="inlineStr">
        <is>
          <t>CLT ACUMULADO</t>
        </is>
      </c>
      <c r="H8" s="96" t="inlineStr">
        <is>
          <t>TOTAL DO TRECHO</t>
        </is>
      </c>
      <c r="I8" s="98" t="inlineStr">
        <is>
          <t>ACUMULADA</t>
        </is>
      </c>
      <c r="J8" s="98" t="inlineStr">
        <is>
          <t>SNAP</t>
        </is>
      </c>
      <c r="K8" s="96" t="inlineStr">
        <is>
          <t>LADO</t>
        </is>
      </c>
      <c r="L8" s="96" t="inlineStr">
        <is>
          <t>CONDUTOR</t>
        </is>
      </c>
      <c r="M8" s="96" t="inlineStr">
        <is>
          <t>CQT NO PONTO</t>
        </is>
      </c>
    </row>
    <row r="9" customFormat="1" s="6">
      <c r="A9" s="168" t="n"/>
      <c r="B9" s="168" t="n"/>
      <c r="C9" s="168" t="n"/>
      <c r="D9" s="125">
        <f>IFERROR(VLOOKUP(GERAL_PROJ2[[#This Row],[PONTO]],Tabela13[],2,0),"")</f>
        <v/>
      </c>
      <c r="E9" s="125">
        <f>IFERROR(VLOOKUP(GERAL_PROJ2[[#This Row],[PONTO]],Tabela13[],3,0),"")</f>
        <v/>
      </c>
      <c r="F9" s="126">
        <f>IFERROR(VLOOKUP(GERAL_PROJ2[[#This Row],[PONTO]],RAMAIS_ATUAL,24,0),"")</f>
        <v/>
      </c>
      <c r="G9" s="126">
        <f>IFERROR(SUMIF(GERAL_PROJ2[TRECHO],GERAL_PROJ2[[#This Row],[PONTO]],GERAL_PROJ2[CLT ACUMULADO])+GERAL_PROJ2[[#This Row],[CLIENTES]],"")</f>
        <v/>
      </c>
      <c r="H9" s="127">
        <f>IFERROR(VLOOKUP(GERAL_PROJ2[[#This Row],[PONTO]],RAMAIS_ATUAL,IF($I$2="SIM",25,23),0),"")</f>
        <v/>
      </c>
      <c r="I9" s="127">
        <f>IFERROR(IF($I$2="SIM",VLOOKUP(GERAL_PROJ2[[#This Row],[CLT ACUMULADO]],AUX_CLAN,4,0),SUMIF(GERAL_PROJ2[TRECHO],GERAL_PROJ2[[#This Row],[PONTO]],GERAL_PROJ2[ACUMULADA])+GERAL_PROJ2[[#This Row],[TOTAL DO TRECHO]]),"")</f>
        <v/>
      </c>
      <c r="J9" s="127">
        <f>IFERROR(SQRT((GERAL_PROJ2[[#This Row],[X]]-$P$11)^2+(GERAL_PROJ2[[#This Row],[Y]]-$P$12)^2),"")</f>
        <v/>
      </c>
      <c r="K9" s="124" t="inlineStr">
        <is>
          <t>TRAFO</t>
        </is>
      </c>
      <c r="L9" s="125" t="inlineStr">
        <is>
          <t>240 Al</t>
        </is>
      </c>
      <c r="M9" s="125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9" s="190" t="inlineStr">
        <is>
          <t>CENTRO DE CARGA</t>
        </is>
      </c>
      <c r="P9" s="191" t="n"/>
    </row>
    <row r="10">
      <c r="A10" s="169" t="n"/>
      <c r="B10" s="168" t="n"/>
      <c r="C10" s="169" t="n"/>
      <c r="D10" s="128">
        <f>IFERROR(VLOOKUP(GERAL_PROJ2[[#This Row],[PONTO]],Tabela13[],2,0),"")</f>
        <v/>
      </c>
      <c r="E10" s="128">
        <f>IFERROR(VLOOKUP(GERAL_PROJ2[[#This Row],[PONTO]],Tabela13[],3,0),"")</f>
        <v/>
      </c>
      <c r="F10" s="129">
        <f>IFERROR(VLOOKUP(GERAL_PROJ2[[#This Row],[PONTO]],RAMAIS_ATUAL,24,0),"")</f>
        <v/>
      </c>
      <c r="G10" s="129">
        <f>IFERROR(SUMIF(GERAL_PROJ2[TRECHO],GERAL_PROJ2[[#This Row],[PONTO]],GERAL_PROJ2[CLT ACUMULADO])+GERAL_PROJ2[[#This Row],[CLIENTES]],"")</f>
        <v/>
      </c>
      <c r="H10" s="55">
        <f>IFERROR(VLOOKUP(GERAL_PROJ2[[#This Row],[PONTO]],RAMAIS_ATUAL,IF($I$2="SIM",25,23),0),"")</f>
        <v/>
      </c>
      <c r="I10" s="55">
        <f>IFERROR(IF($I$2="SIM",VLOOKUP(GERAL_PROJ2[[#This Row],[CLT ACUMULADO]],AUX_CLAN,4,0),SUMIF(GERAL_PROJ2[TRECHO],GERAL_PROJ2[[#This Row],[PONTO]],GERAL_PROJ2[ACUMULADA])+GERAL_PROJ2[[#This Row],[TOTAL DO TRECHO]]),"")</f>
        <v/>
      </c>
      <c r="J10" s="55">
        <f>IFERROR(SQRT((GERAL_PROJ2[[#This Row],[X]]-$P$11)^2+(GERAL_PROJ2[[#This Row],[Y]]-$P$12)^2),"")</f>
        <v/>
      </c>
      <c r="K10" s="169" t="n"/>
      <c r="L10" s="171" t="n"/>
      <c r="M10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10" s="192" t="n"/>
      <c r="P10" s="192" t="n"/>
    </row>
    <row r="11" customFormat="1" s="6">
      <c r="A11" s="169" t="n"/>
      <c r="B11" s="169" t="n"/>
      <c r="C11" s="169" t="n"/>
      <c r="D11" s="128">
        <f>IFERROR(VLOOKUP(GERAL_PROJ2[[#This Row],[PONTO]],Tabela13[],2,0),"")</f>
        <v/>
      </c>
      <c r="E11" s="128">
        <f>IFERROR(VLOOKUP(GERAL_PROJ2[[#This Row],[PONTO]],Tabela13[],3,0),"")</f>
        <v/>
      </c>
      <c r="F11" s="129">
        <f>IFERROR(VLOOKUP(GERAL_PROJ2[[#This Row],[PONTO]],RAMAIS_ATUAL,24,0),"")</f>
        <v/>
      </c>
      <c r="G11" s="129">
        <f>IFERROR(SUMIF(GERAL_PROJ2[TRECHO],GERAL_PROJ2[[#This Row],[PONTO]],GERAL_PROJ2[CLT ACUMULADO])+GERAL_PROJ2[[#This Row],[CLIENTES]],"")</f>
        <v/>
      </c>
      <c r="H11" s="55">
        <f>IFERROR(VLOOKUP(GERAL_PROJ2[[#This Row],[PONTO]],RAMAIS_ATUAL,IF($I$2="SIM",25,23),0),"")</f>
        <v/>
      </c>
      <c r="I11" s="55">
        <f>IFERROR(IF($I$2="SIM",VLOOKUP(GERAL_PROJ2[[#This Row],[CLT ACUMULADO]],AUX_CLAN,4,0),SUMIF(GERAL_PROJ2[TRECHO],GERAL_PROJ2[[#This Row],[PONTO]],GERAL_PROJ2[ACUMULADA])+GERAL_PROJ2[[#This Row],[TOTAL DO TRECHO]]),"")</f>
        <v/>
      </c>
      <c r="J11" s="55">
        <f>IFERROR(SQRT((GERAL_PROJ2[[#This Row],[X]]-$P$11)^2+(GERAL_PROJ2[[#This Row],[Y]]-$P$12)^2),"")</f>
        <v/>
      </c>
      <c r="K11" s="169" t="n"/>
      <c r="L11" s="171" t="n"/>
      <c r="M11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11" s="196" t="inlineStr">
        <is>
          <t>X</t>
        </is>
      </c>
      <c r="P11" s="188">
        <f>IFERROR(SUMPRODUCT(GERAL_PROJ2[TOTAL DO TRECHO],GERAL_PROJ2[X])/SUM(GERAL_PROJ2[TOTAL DO TRECHO]),"INSERIR DADOS")</f>
        <v/>
      </c>
    </row>
    <row r="12">
      <c r="A12" s="169" t="n"/>
      <c r="B12" s="168" t="n"/>
      <c r="C12" s="169" t="n"/>
      <c r="D12" s="128">
        <f>IFERROR(VLOOKUP(GERAL_PROJ2[[#This Row],[PONTO]],Tabela13[],2,0),"")</f>
        <v/>
      </c>
      <c r="E12" s="128">
        <f>IFERROR(VLOOKUP(GERAL_PROJ2[[#This Row],[PONTO]],Tabela13[],3,0),"")</f>
        <v/>
      </c>
      <c r="F12" s="129">
        <f>IFERROR(VLOOKUP(GERAL_PROJ2[[#This Row],[PONTO]],RAMAIS_ATUAL,24,0),"")</f>
        <v/>
      </c>
      <c r="G12" s="129">
        <f>IFERROR(SUMIF(GERAL_PROJ2[TRECHO],GERAL_PROJ2[[#This Row],[PONTO]],GERAL_PROJ2[CLT ACUMULADO])+GERAL_PROJ2[[#This Row],[CLIENTES]],"")</f>
        <v/>
      </c>
      <c r="H12" s="55">
        <f>IFERROR(VLOOKUP(GERAL_PROJ2[[#This Row],[PONTO]],RAMAIS_ATUAL,IF($I$2="SIM",25,23),0),"")</f>
        <v/>
      </c>
      <c r="I12" s="55">
        <f>IFERROR(IF($I$2="SIM",VLOOKUP(GERAL_PROJ2[[#This Row],[CLT ACUMULADO]],AUX_CLAN,4,0),SUMIF(GERAL_PROJ2[TRECHO],GERAL_PROJ2[[#This Row],[PONTO]],GERAL_PROJ2[ACUMULADA])+GERAL_PROJ2[[#This Row],[TOTAL DO TRECHO]]),"")</f>
        <v/>
      </c>
      <c r="J12" s="55">
        <f>IFERROR(SQRT((GERAL_PROJ2[[#This Row],[X]]-$P$11)^2+(GERAL_PROJ2[[#This Row],[Y]]-$P$12)^2),"")</f>
        <v/>
      </c>
      <c r="K12" s="169" t="n"/>
      <c r="L12" s="171" t="n"/>
      <c r="M12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12" s="12" t="inlineStr">
        <is>
          <t>Y</t>
        </is>
      </c>
      <c r="P12" s="188">
        <f>IFERROR(SUMPRODUCT(GERAL_PROJ2[ACUMULADA],GERAL_PROJ2[Y])/SUM(GERAL_PROJ2[ACUMULADA]),"INSERIR DADOS")</f>
        <v/>
      </c>
    </row>
    <row r="13" customFormat="1" s="6">
      <c r="A13" s="169" t="n"/>
      <c r="B13" s="169" t="n"/>
      <c r="C13" s="169" t="n"/>
      <c r="D13" s="128">
        <f>IFERROR(VLOOKUP(GERAL_PROJ2[[#This Row],[PONTO]],Tabela13[],2,0),"")</f>
        <v/>
      </c>
      <c r="E13" s="128">
        <f>IFERROR(VLOOKUP(GERAL_PROJ2[[#This Row],[PONTO]],Tabela13[],3,0),"")</f>
        <v/>
      </c>
      <c r="F13" s="129">
        <f>IFERROR(VLOOKUP(GERAL_PROJ2[[#This Row],[PONTO]],RAMAIS_ATUAL,24,0),"")</f>
        <v/>
      </c>
      <c r="G13" s="129">
        <f>IFERROR(SUMIF(GERAL_PROJ2[TRECHO],GERAL_PROJ2[[#This Row],[PONTO]],GERAL_PROJ2[CLT ACUMULADO])+GERAL_PROJ2[[#This Row],[CLIENTES]],"")</f>
        <v/>
      </c>
      <c r="H13" s="55">
        <f>IFERROR(VLOOKUP(GERAL_PROJ2[[#This Row],[PONTO]],RAMAIS_ATUAL,IF($I$2="SIM",25,23),0),"")</f>
        <v/>
      </c>
      <c r="I13" s="55">
        <f>IFERROR(IF($I$2="SIM",VLOOKUP(GERAL_PROJ2[[#This Row],[CLT ACUMULADO]],AUX_CLAN,4,0),SUMIF(GERAL_PROJ2[TRECHO],GERAL_PROJ2[[#This Row],[PONTO]],GERAL_PROJ2[ACUMULADA])+GERAL_PROJ2[[#This Row],[TOTAL DO TRECHO]]),"")</f>
        <v/>
      </c>
      <c r="J13" s="55">
        <f>IFERROR(SQRT((GERAL_PROJ2[[#This Row],[X]]-$P$11)^2+(GERAL_PROJ2[[#This Row],[Y]]-$P$12)^2),"")</f>
        <v/>
      </c>
      <c r="K13" s="169" t="n"/>
      <c r="L13" s="171" t="n"/>
      <c r="M13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</row>
    <row r="14">
      <c r="A14" s="169" t="n"/>
      <c r="B14" s="168" t="n"/>
      <c r="C14" s="169" t="n"/>
      <c r="D14" s="128">
        <f>IFERROR(VLOOKUP(GERAL_PROJ2[[#This Row],[PONTO]],Tabela13[],2,0),"")</f>
        <v/>
      </c>
      <c r="E14" s="128">
        <f>IFERROR(VLOOKUP(GERAL_PROJ2[[#This Row],[PONTO]],Tabela13[],3,0),"")</f>
        <v/>
      </c>
      <c r="F14" s="129">
        <f>IFERROR(VLOOKUP(GERAL_PROJ2[[#This Row],[PONTO]],RAMAIS_ATUAL,24,0),"")</f>
        <v/>
      </c>
      <c r="G14" s="129">
        <f>IFERROR(SUMIF(GERAL_PROJ2[TRECHO],GERAL_PROJ2[[#This Row],[PONTO]],GERAL_PROJ2[CLT ACUMULADO])+GERAL_PROJ2[[#This Row],[CLIENTES]],"")</f>
        <v/>
      </c>
      <c r="H14" s="55">
        <f>IFERROR(VLOOKUP(GERAL_PROJ2[[#This Row],[PONTO]],RAMAIS_ATUAL,IF($I$2="SIM",25,23),0),"")</f>
        <v/>
      </c>
      <c r="I14" s="55">
        <f>IFERROR(IF($I$2="SIM",VLOOKUP(GERAL_PROJ2[[#This Row],[CLT ACUMULADO]],AUX_CLAN,4,0),SUMIF(GERAL_PROJ2[TRECHO],GERAL_PROJ2[[#This Row],[PONTO]],GERAL_PROJ2[ACUMULADA])+GERAL_PROJ2[[#This Row],[TOTAL DO TRECHO]]),"")</f>
        <v/>
      </c>
      <c r="J14" s="55">
        <f>IFERROR(SQRT((GERAL_PROJ2[[#This Row],[X]]-$P$11)^2+(GERAL_PROJ2[[#This Row],[Y]]-$P$12)^2),"")</f>
        <v/>
      </c>
      <c r="K14" s="169" t="n"/>
      <c r="L14" s="171" t="n"/>
      <c r="M14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14" s="190" t="inlineStr">
        <is>
          <t>POSTE IDEAL</t>
        </is>
      </c>
      <c r="P14" s="191" t="n"/>
    </row>
    <row r="15" customFormat="1" s="6">
      <c r="A15" s="169" t="n"/>
      <c r="B15" s="169" t="n"/>
      <c r="C15" s="169" t="n"/>
      <c r="D15" s="128">
        <f>IFERROR(VLOOKUP(GERAL_PROJ2[[#This Row],[PONTO]],Tabela13[],2,0),"")</f>
        <v/>
      </c>
      <c r="E15" s="128">
        <f>IFERROR(VLOOKUP(GERAL_PROJ2[[#This Row],[PONTO]],Tabela13[],3,0),"")</f>
        <v/>
      </c>
      <c r="F15" s="129">
        <f>IFERROR(VLOOKUP(GERAL_PROJ2[[#This Row],[PONTO]],RAMAIS_ATUAL,24,0),"")</f>
        <v/>
      </c>
      <c r="G15" s="129">
        <f>IFERROR(SUMIF(GERAL_PROJ2[TRECHO],GERAL_PROJ2[[#This Row],[PONTO]],GERAL_PROJ2[CLT ACUMULADO])+GERAL_PROJ2[[#This Row],[CLIENTES]],"")</f>
        <v/>
      </c>
      <c r="H15" s="55">
        <f>IFERROR(VLOOKUP(GERAL_PROJ2[[#This Row],[PONTO]],RAMAIS_ATUAL,IF($I$2="SIM",25,23),0),"")</f>
        <v/>
      </c>
      <c r="I15" s="55">
        <f>IFERROR(IF($I$2="SIM",VLOOKUP(GERAL_PROJ2[[#This Row],[CLT ACUMULADO]],AUX_CLAN,4,0),SUMIF(GERAL_PROJ2[TRECHO],GERAL_PROJ2[[#This Row],[PONTO]],GERAL_PROJ2[ACUMULADA])+GERAL_PROJ2[[#This Row],[TOTAL DO TRECHO]]),"")</f>
        <v/>
      </c>
      <c r="J15" s="55">
        <f>IFERROR(SQRT((GERAL_PROJ2[[#This Row],[X]]-$P$11)^2+(GERAL_PROJ2[[#This Row],[Y]]-$P$12)^2),"")</f>
        <v/>
      </c>
      <c r="K15" s="169" t="n"/>
      <c r="L15" s="171" t="n"/>
      <c r="M15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15" s="192" t="n"/>
      <c r="P15" s="192" t="n"/>
    </row>
    <row r="16">
      <c r="A16" s="169" t="n"/>
      <c r="B16" s="168" t="n"/>
      <c r="C16" s="169" t="n"/>
      <c r="D16" s="128">
        <f>IFERROR(VLOOKUP(GERAL_PROJ2[[#This Row],[PONTO]],Tabela13[],2,0),"")</f>
        <v/>
      </c>
      <c r="E16" s="128">
        <f>IFERROR(VLOOKUP(GERAL_PROJ2[[#This Row],[PONTO]],Tabela13[],3,0),"")</f>
        <v/>
      </c>
      <c r="F16" s="129">
        <f>IFERROR(VLOOKUP(GERAL_PROJ2[[#This Row],[PONTO]],RAMAIS_ATUAL,24,0),"")</f>
        <v/>
      </c>
      <c r="G16" s="129">
        <f>IFERROR(SUMIF(GERAL_PROJ2[TRECHO],GERAL_PROJ2[[#This Row],[PONTO]],GERAL_PROJ2[CLT ACUMULADO])+GERAL_PROJ2[[#This Row],[CLIENTES]],"")</f>
        <v/>
      </c>
      <c r="H16" s="55">
        <f>IFERROR(VLOOKUP(GERAL_PROJ2[[#This Row],[PONTO]],RAMAIS_ATUAL,IF($I$2="SIM",25,23),0),"")</f>
        <v/>
      </c>
      <c r="I16" s="55">
        <f>IFERROR(IF($I$2="SIM",VLOOKUP(GERAL_PROJ2[[#This Row],[CLT ACUMULADO]],AUX_CLAN,4,0),SUMIF(GERAL_PROJ2[TRECHO],GERAL_PROJ2[[#This Row],[PONTO]],GERAL_PROJ2[ACUMULADA])+GERAL_PROJ2[[#This Row],[TOTAL DO TRECHO]]),"")</f>
        <v/>
      </c>
      <c r="J16" s="55">
        <f>IFERROR(SQRT((GERAL_PROJ2[[#This Row],[X]]-$P$11)^2+(GERAL_PROJ2[[#This Row],[Y]]-$P$12)^2),"")</f>
        <v/>
      </c>
      <c r="K16" s="169" t="n"/>
      <c r="L16" s="171" t="n"/>
      <c r="M16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16" s="196">
        <f>INDEX(GERAL_PROJ2[PONTO],MATCH(MIN(GERAL_PROJ2[SNAP]),GERAL_PROJ2[SNAP],0))</f>
        <v/>
      </c>
      <c r="P16" s="189" t="n"/>
    </row>
    <row r="17" customFormat="1" s="6">
      <c r="A17" s="169" t="n"/>
      <c r="B17" s="169" t="n"/>
      <c r="C17" s="169" t="n"/>
      <c r="D17" s="128">
        <f>IFERROR(VLOOKUP(GERAL_PROJ2[[#This Row],[PONTO]],Tabela13[],2,0),"")</f>
        <v/>
      </c>
      <c r="E17" s="128">
        <f>IFERROR(VLOOKUP(GERAL_PROJ2[[#This Row],[PONTO]],Tabela13[],3,0),"")</f>
        <v/>
      </c>
      <c r="F17" s="129">
        <f>IFERROR(VLOOKUP(GERAL_PROJ2[[#This Row],[PONTO]],RAMAIS_ATUAL,24,0),"")</f>
        <v/>
      </c>
      <c r="G17" s="129">
        <f>IFERROR(SUMIF(GERAL_PROJ2[TRECHO],GERAL_PROJ2[[#This Row],[PONTO]],GERAL_PROJ2[CLT ACUMULADO])+GERAL_PROJ2[[#This Row],[CLIENTES]],"")</f>
        <v/>
      </c>
      <c r="H17" s="55">
        <f>IFERROR(VLOOKUP(GERAL_PROJ2[[#This Row],[PONTO]],RAMAIS_ATUAL,IF($I$2="SIM",25,23),0),"")</f>
        <v/>
      </c>
      <c r="I17" s="55">
        <f>IFERROR(IF($I$2="SIM",VLOOKUP(GERAL_PROJ2[[#This Row],[CLT ACUMULADO]],AUX_CLAN,4,0),SUMIF(GERAL_PROJ2[TRECHO],GERAL_PROJ2[[#This Row],[PONTO]],GERAL_PROJ2[ACUMULADA])+GERAL_PROJ2[[#This Row],[TOTAL DO TRECHO]]),"")</f>
        <v/>
      </c>
      <c r="J17" s="55">
        <f>IFERROR(SQRT((GERAL_PROJ2[[#This Row],[X]]-$P$11)^2+(GERAL_PROJ2[[#This Row],[Y]]-$P$12)^2),"")</f>
        <v/>
      </c>
      <c r="K17" s="169" t="n"/>
      <c r="L17" s="171" t="n"/>
      <c r="M17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</row>
    <row r="18">
      <c r="A18" s="169" t="n"/>
      <c r="B18" s="168" t="n"/>
      <c r="C18" s="169" t="n"/>
      <c r="D18" s="128">
        <f>IFERROR(VLOOKUP(GERAL_PROJ2[[#This Row],[PONTO]],Tabela13[],2,0),"")</f>
        <v/>
      </c>
      <c r="E18" s="128">
        <f>IFERROR(VLOOKUP(GERAL_PROJ2[[#This Row],[PONTO]],Tabela13[],3,0),"")</f>
        <v/>
      </c>
      <c r="F18" s="129">
        <f>IFERROR(VLOOKUP(GERAL_PROJ2[[#This Row],[PONTO]],RAMAIS_ATUAL,24,0),"")</f>
        <v/>
      </c>
      <c r="G18" s="129">
        <f>IFERROR(SUMIF(GERAL_PROJ2[TRECHO],GERAL_PROJ2[[#This Row],[PONTO]],GERAL_PROJ2[CLT ACUMULADO])+GERAL_PROJ2[[#This Row],[CLIENTES]],"")</f>
        <v/>
      </c>
      <c r="H18" s="55">
        <f>IFERROR(VLOOKUP(GERAL_PROJ2[[#This Row],[PONTO]],RAMAIS_ATUAL,IF($I$2="SIM",25,23),0),"")</f>
        <v/>
      </c>
      <c r="I18" s="55">
        <f>IFERROR(IF($I$2="SIM",VLOOKUP(GERAL_PROJ2[[#This Row],[CLT ACUMULADO]],AUX_CLAN,4,0),SUMIF(GERAL_PROJ2[TRECHO],GERAL_PROJ2[[#This Row],[PONTO]],GERAL_PROJ2[ACUMULADA])+GERAL_PROJ2[[#This Row],[TOTAL DO TRECHO]]),"")</f>
        <v/>
      </c>
      <c r="J18" s="55">
        <f>IFERROR(SQRT((GERAL_PROJ2[[#This Row],[X]]-$P$11)^2+(GERAL_PROJ2[[#This Row],[Y]]-$P$12)^2),"")</f>
        <v/>
      </c>
      <c r="K18" s="169" t="n"/>
      <c r="L18" s="171" t="n"/>
      <c r="M18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18" s="200" t="inlineStr">
        <is>
          <t>SUB-CIRCUITOS SUGERIDOS</t>
        </is>
      </c>
      <c r="P18" s="191" t="n"/>
    </row>
    <row r="19" customFormat="1" s="6">
      <c r="A19" s="169" t="n"/>
      <c r="B19" s="169" t="n"/>
      <c r="C19" s="169" t="n"/>
      <c r="D19" s="128">
        <f>IFERROR(VLOOKUP(GERAL_PROJ2[[#This Row],[PONTO]],Tabela13[],2,0),"")</f>
        <v/>
      </c>
      <c r="E19" s="128">
        <f>IFERROR(VLOOKUP(GERAL_PROJ2[[#This Row],[PONTO]],Tabela13[],3,0),"")</f>
        <v/>
      </c>
      <c r="F19" s="129">
        <f>IFERROR(VLOOKUP(GERAL_PROJ2[[#This Row],[PONTO]],RAMAIS_ATUAL,24,0),"")</f>
        <v/>
      </c>
      <c r="G19" s="129">
        <f>IFERROR(SUMIF(GERAL_PROJ2[TRECHO],GERAL_PROJ2[[#This Row],[PONTO]],GERAL_PROJ2[CLT ACUMULADO])+GERAL_PROJ2[[#This Row],[CLIENTES]],"")</f>
        <v/>
      </c>
      <c r="H19" s="55">
        <f>IFERROR(VLOOKUP(GERAL_PROJ2[[#This Row],[PONTO]],RAMAIS_ATUAL,IF($I$2="SIM",25,23),0),"")</f>
        <v/>
      </c>
      <c r="I19" s="55">
        <f>IFERROR(IF($I$2="SIM",VLOOKUP(GERAL_PROJ2[[#This Row],[CLT ACUMULADO]],AUX_CLAN,4,0),SUMIF(GERAL_PROJ2[TRECHO],GERAL_PROJ2[[#This Row],[PONTO]],GERAL_PROJ2[ACUMULADA])+GERAL_PROJ2[[#This Row],[TOTAL DO TRECHO]]),"")</f>
        <v/>
      </c>
      <c r="J19" s="55">
        <f>IFERROR(SQRT((GERAL_PROJ2[[#This Row],[X]]-$P$11)^2+(GERAL_PROJ2[[#This Row],[Y]]-$P$12)^2),"")</f>
        <v/>
      </c>
      <c r="K19" s="169" t="n"/>
      <c r="L19" s="171" t="n"/>
      <c r="M19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19" s="192" t="n"/>
      <c r="P19" s="192" t="n"/>
    </row>
    <row r="20">
      <c r="A20" s="169" t="n"/>
      <c r="B20" s="168" t="n"/>
      <c r="C20" s="169" t="n"/>
      <c r="D20" s="128">
        <f>IFERROR(VLOOKUP(GERAL_PROJ2[[#This Row],[PONTO]],Tabela13[],2,0),"")</f>
        <v/>
      </c>
      <c r="E20" s="128">
        <f>IFERROR(VLOOKUP(GERAL_PROJ2[[#This Row],[PONTO]],Tabela13[],3,0),"")</f>
        <v/>
      </c>
      <c r="F20" s="129">
        <f>IFERROR(VLOOKUP(GERAL_PROJ2[[#This Row],[PONTO]],RAMAIS_ATUAL,24,0),"")</f>
        <v/>
      </c>
      <c r="G20" s="129">
        <f>IFERROR(SUMIF(GERAL_PROJ2[TRECHO],GERAL_PROJ2[[#This Row],[PONTO]],GERAL_PROJ2[CLT ACUMULADO])+GERAL_PROJ2[[#This Row],[CLIENTES]],"")</f>
        <v/>
      </c>
      <c r="H20" s="55">
        <f>IFERROR(VLOOKUP(GERAL_PROJ2[[#This Row],[PONTO]],RAMAIS_ATUAL,IF($I$2="SIM",25,23),0),"")</f>
        <v/>
      </c>
      <c r="I20" s="55">
        <f>IFERROR(IF($I$2="SIM",VLOOKUP(GERAL_PROJ2[[#This Row],[CLT ACUMULADO]],AUX_CLAN,4,0),SUMIF(GERAL_PROJ2[TRECHO],GERAL_PROJ2[[#This Row],[PONTO]],GERAL_PROJ2[ACUMULADA])+GERAL_PROJ2[[#This Row],[TOTAL DO TRECHO]]),"")</f>
        <v/>
      </c>
      <c r="J20" s="55">
        <f>IFERROR(SQRT((GERAL_PROJ2[[#This Row],[X]]-$P$11)^2+(GERAL_PROJ2[[#This Row],[Y]]-$P$12)^2),"")</f>
        <v/>
      </c>
      <c r="K20" s="169" t="n"/>
      <c r="L20" s="171" t="n"/>
      <c r="M20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20" s="193">
        <f>O25/400</f>
        <v/>
      </c>
      <c r="P20" s="189" t="n"/>
    </row>
    <row r="21" customFormat="1" s="6">
      <c r="A21" s="169" t="n"/>
      <c r="B21" s="169" t="n"/>
      <c r="C21" s="169" t="n"/>
      <c r="D21" s="128">
        <f>IFERROR(VLOOKUP(GERAL_PROJ2[[#This Row],[PONTO]],Tabela13[],2,0),"")</f>
        <v/>
      </c>
      <c r="E21" s="128">
        <f>IFERROR(VLOOKUP(GERAL_PROJ2[[#This Row],[PONTO]],Tabela13[],3,0),"")</f>
        <v/>
      </c>
      <c r="F21" s="129">
        <f>IFERROR(VLOOKUP(GERAL_PROJ2[[#This Row],[PONTO]],RAMAIS_ATUAL,24,0),"")</f>
        <v/>
      </c>
      <c r="G21" s="129">
        <f>IFERROR(SUMIF(GERAL_PROJ2[TRECHO],GERAL_PROJ2[[#This Row],[PONTO]],GERAL_PROJ2[CLT ACUMULADO])+GERAL_PROJ2[[#This Row],[CLIENTES]],"")</f>
        <v/>
      </c>
      <c r="H21" s="55">
        <f>IFERROR(VLOOKUP(GERAL_PROJ2[[#This Row],[PONTO]],RAMAIS_ATUAL,IF($I$2="SIM",25,23),0),"")</f>
        <v/>
      </c>
      <c r="I21" s="55">
        <f>IFERROR(IF($I$2="SIM",VLOOKUP(GERAL_PROJ2[[#This Row],[CLT ACUMULADO]],AUX_CLAN,4,0),SUMIF(GERAL_PROJ2[TRECHO],GERAL_PROJ2[[#This Row],[PONTO]],GERAL_PROJ2[ACUMULADA])+GERAL_PROJ2[[#This Row],[TOTAL DO TRECHO]]),"")</f>
        <v/>
      </c>
      <c r="J21" s="55">
        <f>IFERROR(SQRT((GERAL_PROJ2[[#This Row],[X]]-$P$11)^2+(GERAL_PROJ2[[#This Row],[Y]]-$P$12)^2),"")</f>
        <v/>
      </c>
      <c r="K21" s="169" t="n"/>
      <c r="L21" s="171" t="n"/>
      <c r="M21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21" s="198" t="inlineStr">
        <is>
          <t>ATENTAR-SE PARA CQT</t>
        </is>
      </c>
      <c r="P21" s="199" t="n"/>
    </row>
    <row r="22">
      <c r="A22" s="169" t="n"/>
      <c r="B22" s="168" t="n"/>
      <c r="C22" s="169" t="n"/>
      <c r="D22" s="128">
        <f>IFERROR(VLOOKUP(GERAL_PROJ2[[#This Row],[PONTO]],Tabela13[],2,0),"")</f>
        <v/>
      </c>
      <c r="E22" s="128">
        <f>IFERROR(VLOOKUP(GERAL_PROJ2[[#This Row],[PONTO]],Tabela13[],3,0),"")</f>
        <v/>
      </c>
      <c r="F22" s="129">
        <f>IFERROR(VLOOKUP(GERAL_PROJ2[[#This Row],[PONTO]],RAMAIS_ATUAL,24,0),"")</f>
        <v/>
      </c>
      <c r="G22" s="129">
        <f>IFERROR(SUMIF(GERAL_PROJ2[TRECHO],GERAL_PROJ2[[#This Row],[PONTO]],GERAL_PROJ2[CLT ACUMULADO])+GERAL_PROJ2[[#This Row],[CLIENTES]],"")</f>
        <v/>
      </c>
      <c r="H22" s="55">
        <f>IFERROR(VLOOKUP(GERAL_PROJ2[[#This Row],[PONTO]],RAMAIS_ATUAL,IF($I$2="SIM",25,23),0),"")</f>
        <v/>
      </c>
      <c r="I22" s="55">
        <f>IFERROR(IF($I$2="SIM",VLOOKUP(GERAL_PROJ2[[#This Row],[CLT ACUMULADO]],AUX_CLAN,4,0),SUMIF(GERAL_PROJ2[TRECHO],GERAL_PROJ2[[#This Row],[PONTO]],GERAL_PROJ2[ACUMULADA])+GERAL_PROJ2[[#This Row],[TOTAL DO TRECHO]]),"")</f>
        <v/>
      </c>
      <c r="J22" s="55">
        <f>IFERROR(SQRT((GERAL_PROJ2[[#This Row],[X]]-$P$11)^2+(GERAL_PROJ2[[#This Row],[Y]]-$P$12)^2),"")</f>
        <v/>
      </c>
      <c r="K22" s="169" t="n"/>
      <c r="L22" s="171" t="n"/>
      <c r="M22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</row>
    <row r="23" customFormat="1" s="6">
      <c r="A23" s="169" t="n"/>
      <c r="B23" s="169" t="n"/>
      <c r="C23" s="169" t="n"/>
      <c r="D23" s="128">
        <f>IFERROR(VLOOKUP(GERAL_PROJ2[[#This Row],[PONTO]],Tabela13[],2,0),"")</f>
        <v/>
      </c>
      <c r="E23" s="128">
        <f>IFERROR(VLOOKUP(GERAL_PROJ2[[#This Row],[PONTO]],Tabela13[],3,0),"")</f>
        <v/>
      </c>
      <c r="F23" s="129">
        <f>IFERROR(VLOOKUP(GERAL_PROJ2[[#This Row],[PONTO]],RAMAIS_ATUAL,24,0),"")</f>
        <v/>
      </c>
      <c r="G23" s="129">
        <f>IFERROR(SUMIF(GERAL_PROJ2[TRECHO],GERAL_PROJ2[[#This Row],[PONTO]],GERAL_PROJ2[CLT ACUMULADO])+GERAL_PROJ2[[#This Row],[CLIENTES]],"")</f>
        <v/>
      </c>
      <c r="H23" s="55">
        <f>IFERROR(VLOOKUP(GERAL_PROJ2[[#This Row],[PONTO]],RAMAIS_ATUAL,IF($I$2="SIM",25,23),0),"")</f>
        <v/>
      </c>
      <c r="I23" s="55">
        <f>IFERROR(IF($I$2="SIM",VLOOKUP(GERAL_PROJ2[[#This Row],[CLT ACUMULADO]],AUX_CLAN,4,0),SUMIF(GERAL_PROJ2[TRECHO],GERAL_PROJ2[[#This Row],[PONTO]],GERAL_PROJ2[ACUMULADA])+GERAL_PROJ2[[#This Row],[TOTAL DO TRECHO]]),"")</f>
        <v/>
      </c>
      <c r="J23" s="55">
        <f>IFERROR(SQRT((GERAL_PROJ2[[#This Row],[X]]-$P$11)^2+(GERAL_PROJ2[[#This Row],[Y]]-$P$12)^2),"")</f>
        <v/>
      </c>
      <c r="K23" s="169" t="n"/>
      <c r="L23" s="171" t="n"/>
      <c r="M23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23" s="190" t="inlineStr">
        <is>
          <t>METROS REDE TOTAL</t>
        </is>
      </c>
      <c r="P23" s="191" t="n"/>
    </row>
    <row r="24">
      <c r="A24" s="169" t="n"/>
      <c r="B24" s="168" t="n"/>
      <c r="C24" s="169" t="n"/>
      <c r="D24" s="128">
        <f>IFERROR(VLOOKUP(GERAL_PROJ2[[#This Row],[PONTO]],Tabela13[],2,0),"")</f>
        <v/>
      </c>
      <c r="E24" s="128">
        <f>IFERROR(VLOOKUP(GERAL_PROJ2[[#This Row],[PONTO]],Tabela13[],3,0),"")</f>
        <v/>
      </c>
      <c r="F24" s="129">
        <f>IFERROR(VLOOKUP(GERAL_PROJ2[[#This Row],[PONTO]],RAMAIS_ATUAL,24,0),"")</f>
        <v/>
      </c>
      <c r="G24" s="129">
        <f>IFERROR(SUMIF(GERAL_PROJ2[TRECHO],GERAL_PROJ2[[#This Row],[PONTO]],GERAL_PROJ2[CLT ACUMULADO])+GERAL_PROJ2[[#This Row],[CLIENTES]],"")</f>
        <v/>
      </c>
      <c r="H24" s="55">
        <f>IFERROR(VLOOKUP(GERAL_PROJ2[[#This Row],[PONTO]],RAMAIS_ATUAL,IF($I$2="SIM",25,23),0),"")</f>
        <v/>
      </c>
      <c r="I24" s="55">
        <f>IFERROR(IF($I$2="SIM",VLOOKUP(GERAL_PROJ2[[#This Row],[CLT ACUMULADO]],AUX_CLAN,4,0),SUMIF(GERAL_PROJ2[TRECHO],GERAL_PROJ2[[#This Row],[PONTO]],GERAL_PROJ2[ACUMULADA])+GERAL_PROJ2[[#This Row],[TOTAL DO TRECHO]]),"")</f>
        <v/>
      </c>
      <c r="J24" s="55">
        <f>IFERROR(SQRT((GERAL_PROJ2[[#This Row],[X]]-$P$11)^2+(GERAL_PROJ2[[#This Row],[Y]]-$P$12)^2),"")</f>
        <v/>
      </c>
      <c r="K24" s="169" t="n"/>
      <c r="L24" s="171" t="n"/>
      <c r="M24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24" s="192" t="n"/>
      <c r="P24" s="192" t="n"/>
    </row>
    <row r="25">
      <c r="A25" s="169" t="n"/>
      <c r="B25" s="169" t="n"/>
      <c r="C25" s="169" t="n"/>
      <c r="D25" s="128">
        <f>IFERROR(VLOOKUP(GERAL_PROJ2[[#This Row],[PONTO]],Tabela13[],2,0),"")</f>
        <v/>
      </c>
      <c r="E25" s="128">
        <f>IFERROR(VLOOKUP(GERAL_PROJ2[[#This Row],[PONTO]],Tabela13[],3,0),"")</f>
        <v/>
      </c>
      <c r="F25" s="129">
        <f>IFERROR(VLOOKUP(GERAL_PROJ2[[#This Row],[PONTO]],RAMAIS_ATUAL,24,0),"")</f>
        <v/>
      </c>
      <c r="G25" s="129">
        <f>IFERROR(SUMIF(GERAL_PROJ2[TRECHO],GERAL_PROJ2[[#This Row],[PONTO]],GERAL_PROJ2[CLT ACUMULADO])+GERAL_PROJ2[[#This Row],[CLIENTES]],"")</f>
        <v/>
      </c>
      <c r="H25" s="55">
        <f>IFERROR(VLOOKUP(GERAL_PROJ2[[#This Row],[PONTO]],RAMAIS_ATUAL,IF($I$2="SIM",25,23),0),"")</f>
        <v/>
      </c>
      <c r="I25" s="55">
        <f>IFERROR(IF($I$2="SIM",VLOOKUP(GERAL_PROJ2[[#This Row],[CLT ACUMULADO]],AUX_CLAN,4,0),SUMIF(GERAL_PROJ2[TRECHO],GERAL_PROJ2[[#This Row],[PONTO]],GERAL_PROJ2[ACUMULADA])+GERAL_PROJ2[[#This Row],[TOTAL DO TRECHO]]),"")</f>
        <v/>
      </c>
      <c r="J25" s="55">
        <f>IFERROR(SQRT((GERAL_PROJ2[[#This Row],[X]]-$P$11)^2+(GERAL_PROJ2[[#This Row],[Y]]-$P$12)^2),"")</f>
        <v/>
      </c>
      <c r="K25" s="169" t="n"/>
      <c r="L25" s="171" t="n"/>
      <c r="M25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25" s="244">
        <f>SUM(GERAL_PROJ2[M])</f>
        <v/>
      </c>
      <c r="P25" s="189" t="n"/>
    </row>
    <row r="26">
      <c r="A26" s="169" t="n"/>
      <c r="B26" s="168" t="n"/>
      <c r="C26" s="169" t="n"/>
      <c r="D26" s="128">
        <f>IFERROR(VLOOKUP(GERAL_PROJ2[[#This Row],[PONTO]],Tabela13[],2,0),"")</f>
        <v/>
      </c>
      <c r="E26" s="128">
        <f>IFERROR(VLOOKUP(GERAL_PROJ2[[#This Row],[PONTO]],Tabela13[],3,0),"")</f>
        <v/>
      </c>
      <c r="F26" s="129">
        <f>IFERROR(VLOOKUP(GERAL_PROJ2[[#This Row],[PONTO]],RAMAIS_ATUAL,24,0),"")</f>
        <v/>
      </c>
      <c r="G26" s="129">
        <f>IFERROR(SUMIF(GERAL_PROJ2[TRECHO],GERAL_PROJ2[[#This Row],[PONTO]],GERAL_PROJ2[CLT ACUMULADO])+GERAL_PROJ2[[#This Row],[CLIENTES]],"")</f>
        <v/>
      </c>
      <c r="H26" s="55">
        <f>IFERROR(VLOOKUP(GERAL_PROJ2[[#This Row],[PONTO]],RAMAIS_ATUAL,IF($I$2="SIM",25,23),0),"")</f>
        <v/>
      </c>
      <c r="I26" s="55">
        <f>IFERROR(IF($I$2="SIM",VLOOKUP(GERAL_PROJ2[[#This Row],[CLT ACUMULADO]],AUX_CLAN,4,0),SUMIF(GERAL_PROJ2[TRECHO],GERAL_PROJ2[[#This Row],[PONTO]],GERAL_PROJ2[ACUMULADA])+GERAL_PROJ2[[#This Row],[TOTAL DO TRECHO]]),"")</f>
        <v/>
      </c>
      <c r="J26" s="55">
        <f>IFERROR(SQRT((GERAL_PROJ2[[#This Row],[X]]-$P$11)^2+(GERAL_PROJ2[[#This Row],[Y]]-$P$12)^2),"")</f>
        <v/>
      </c>
      <c r="K26" s="169" t="n"/>
      <c r="L26" s="171" t="n"/>
      <c r="M26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</row>
    <row r="27">
      <c r="A27" s="169" t="n"/>
      <c r="B27" s="169" t="n"/>
      <c r="C27" s="169" t="n"/>
      <c r="D27" s="128">
        <f>IFERROR(VLOOKUP(GERAL_PROJ2[[#This Row],[PONTO]],Tabela13[],2,0),"")</f>
        <v/>
      </c>
      <c r="E27" s="128">
        <f>IFERROR(VLOOKUP(GERAL_PROJ2[[#This Row],[PONTO]],Tabela13[],3,0),"")</f>
        <v/>
      </c>
      <c r="F27" s="129">
        <f>IFERROR(VLOOKUP(GERAL_PROJ2[[#This Row],[PONTO]],RAMAIS_ATUAL,24,0),"")</f>
        <v/>
      </c>
      <c r="G27" s="129">
        <f>IFERROR(SUMIF(GERAL_PROJ2[TRECHO],GERAL_PROJ2[[#This Row],[PONTO]],GERAL_PROJ2[CLT ACUMULADO])+GERAL_PROJ2[[#This Row],[CLIENTES]],"")</f>
        <v/>
      </c>
      <c r="H27" s="55">
        <f>IFERROR(VLOOKUP(GERAL_PROJ2[[#This Row],[PONTO]],RAMAIS_ATUAL,IF($I$2="SIM",25,23),0),"")</f>
        <v/>
      </c>
      <c r="I27" s="55">
        <f>IFERROR(IF($I$2="SIM",VLOOKUP(GERAL_PROJ2[[#This Row],[CLT ACUMULADO]],AUX_CLAN,4,0),SUMIF(GERAL_PROJ2[TRECHO],GERAL_PROJ2[[#This Row],[PONTO]],GERAL_PROJ2[ACUMULADA])+GERAL_PROJ2[[#This Row],[TOTAL DO TRECHO]]),"")</f>
        <v/>
      </c>
      <c r="J27" s="55">
        <f>IFERROR(SQRT((GERAL_PROJ2[[#This Row],[X]]-$P$11)^2+(GERAL_PROJ2[[#This Row],[Y]]-$P$12)^2),"")</f>
        <v/>
      </c>
      <c r="K27" s="169" t="n"/>
      <c r="L27" s="171" t="n"/>
      <c r="M27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27" s="190" t="inlineStr">
        <is>
          <t>RAMAL (DMDI)</t>
        </is>
      </c>
      <c r="P27" s="191" t="n"/>
    </row>
    <row r="28">
      <c r="A28" s="169" t="n"/>
      <c r="B28" s="168" t="n"/>
      <c r="C28" s="169" t="n"/>
      <c r="D28" s="128">
        <f>IFERROR(VLOOKUP(GERAL_PROJ2[[#This Row],[PONTO]],Tabela13[],2,0),"")</f>
        <v/>
      </c>
      <c r="E28" s="128">
        <f>IFERROR(VLOOKUP(GERAL_PROJ2[[#This Row],[PONTO]],Tabela13[],3,0),"")</f>
        <v/>
      </c>
      <c r="F28" s="129">
        <f>IFERROR(VLOOKUP(GERAL_PROJ2[[#This Row],[PONTO]],RAMAIS_ATUAL,24,0),"")</f>
        <v/>
      </c>
      <c r="G28" s="129">
        <f>IFERROR(SUMIF(GERAL_PROJ2[TRECHO],GERAL_PROJ2[[#This Row],[PONTO]],GERAL_PROJ2[CLT ACUMULADO])+GERAL_PROJ2[[#This Row],[CLIENTES]],"")</f>
        <v/>
      </c>
      <c r="H28" s="55">
        <f>IFERROR(VLOOKUP(GERAL_PROJ2[[#This Row],[PONTO]],RAMAIS_ATUAL,IF($I$2="SIM",25,23),0),"")</f>
        <v/>
      </c>
      <c r="I28" s="55">
        <f>IFERROR(IF($I$2="SIM",VLOOKUP(GERAL_PROJ2[[#This Row],[CLT ACUMULADO]],AUX_CLAN,4,0),SUMIF(GERAL_PROJ2[TRECHO],GERAL_PROJ2[[#This Row],[PONTO]],GERAL_PROJ2[ACUMULADA])+GERAL_PROJ2[[#This Row],[TOTAL DO TRECHO]]),"")</f>
        <v/>
      </c>
      <c r="J28" s="55">
        <f>IFERROR(SQRT((GERAL_PROJ2[[#This Row],[X]]-$P$11)^2+(GERAL_PROJ2[[#This Row],[Y]]-$P$12)^2),"")</f>
        <v/>
      </c>
      <c r="K28" s="169" t="n"/>
      <c r="L28" s="171" t="n"/>
      <c r="M28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28" s="192" t="n"/>
      <c r="P28" s="192" t="n"/>
    </row>
    <row r="29">
      <c r="A29" s="169" t="n"/>
      <c r="B29" s="169" t="n"/>
      <c r="C29" s="169" t="n"/>
      <c r="D29" s="128">
        <f>IFERROR(VLOOKUP(GERAL_PROJ2[[#This Row],[PONTO]],Tabela13[],2,0),"")</f>
        <v/>
      </c>
      <c r="E29" s="128">
        <f>IFERROR(VLOOKUP(GERAL_PROJ2[[#This Row],[PONTO]],Tabela13[],3,0),"")</f>
        <v/>
      </c>
      <c r="F29" s="129">
        <f>IFERROR(VLOOKUP(GERAL_PROJ2[[#This Row],[PONTO]],RAMAIS_ATUAL,24,0),"")</f>
        <v/>
      </c>
      <c r="G29" s="129">
        <f>IFERROR(SUMIF(GERAL_PROJ2[TRECHO],GERAL_PROJ2[[#This Row],[PONTO]],GERAL_PROJ2[CLT ACUMULADO])+GERAL_PROJ2[[#This Row],[CLIENTES]],"")</f>
        <v/>
      </c>
      <c r="H29" s="55">
        <f>IFERROR(VLOOKUP(GERAL_PROJ2[[#This Row],[PONTO]],RAMAIS_ATUAL,IF($I$2="SIM",25,23),0),"")</f>
        <v/>
      </c>
      <c r="I29" s="55">
        <f>IFERROR(IF($I$2="SIM",VLOOKUP(GERAL_PROJ2[[#This Row],[CLT ACUMULADO]],AUX_CLAN,4,0),SUMIF(GERAL_PROJ2[TRECHO],GERAL_PROJ2[[#This Row],[PONTO]],GERAL_PROJ2[ACUMULADA])+GERAL_PROJ2[[#This Row],[TOTAL DO TRECHO]]),"")</f>
        <v/>
      </c>
      <c r="J29" s="55">
        <f>IFERROR(SQRT((GERAL_PROJ2[[#This Row],[X]]-$P$11)^2+(GERAL_PROJ2[[#This Row],[Y]]-$P$12)^2),"")</f>
        <v/>
      </c>
      <c r="K29" s="169" t="n"/>
      <c r="L29" s="171" t="n"/>
      <c r="M29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29" s="188">
        <f>DMDI</f>
        <v/>
      </c>
      <c r="P29" s="189" t="n"/>
    </row>
    <row r="30">
      <c r="A30" s="169" t="n"/>
      <c r="B30" s="168" t="n"/>
      <c r="C30" s="169" t="n"/>
      <c r="D30" s="128">
        <f>IFERROR(VLOOKUP(GERAL_PROJ2[[#This Row],[PONTO]],Tabela13[],2,0),"")</f>
        <v/>
      </c>
      <c r="E30" s="128">
        <f>IFERROR(VLOOKUP(GERAL_PROJ2[[#This Row],[PONTO]],Tabela13[],3,0),"")</f>
        <v/>
      </c>
      <c r="F30" s="129">
        <f>IFERROR(VLOOKUP(GERAL_PROJ2[[#This Row],[PONTO]],RAMAIS_ATUAL,24,0),"")</f>
        <v/>
      </c>
      <c r="G30" s="129">
        <f>IFERROR(SUMIF(GERAL_PROJ2[TRECHO],GERAL_PROJ2[[#This Row],[PONTO]],GERAL_PROJ2[CLT ACUMULADO])+GERAL_PROJ2[[#This Row],[CLIENTES]],"")</f>
        <v/>
      </c>
      <c r="H30" s="55">
        <f>IFERROR(VLOOKUP(GERAL_PROJ2[[#This Row],[PONTO]],RAMAIS_ATUAL,IF($I$2="SIM",25,23),0),"")</f>
        <v/>
      </c>
      <c r="I30" s="55">
        <f>IFERROR(IF($I$2="SIM",VLOOKUP(GERAL_PROJ2[[#This Row],[CLT ACUMULADO]],AUX_CLAN,4,0),SUMIF(GERAL_PROJ2[TRECHO],GERAL_PROJ2[[#This Row],[PONTO]],GERAL_PROJ2[ACUMULADA])+GERAL_PROJ2[[#This Row],[TOTAL DO TRECHO]]),"")</f>
        <v/>
      </c>
      <c r="J30" s="55">
        <f>IFERROR(SQRT((GERAL_PROJ2[[#This Row],[X]]-$P$11)^2+(GERAL_PROJ2[[#This Row],[Y]]-$P$12)^2),"")</f>
        <v/>
      </c>
      <c r="K30" s="169" t="n"/>
      <c r="L30" s="171" t="n"/>
      <c r="M30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</row>
    <row r="31">
      <c r="A31" s="169" t="n"/>
      <c r="B31" s="169" t="n"/>
      <c r="C31" s="169" t="n"/>
      <c r="D31" s="128">
        <f>IFERROR(VLOOKUP(GERAL_PROJ2[[#This Row],[PONTO]],Tabela13[],2,0),"")</f>
        <v/>
      </c>
      <c r="E31" s="128">
        <f>IFERROR(VLOOKUP(GERAL_PROJ2[[#This Row],[PONTO]],Tabela13[],3,0),"")</f>
        <v/>
      </c>
      <c r="F31" s="129">
        <f>IFERROR(VLOOKUP(GERAL_PROJ2[[#This Row],[PONTO]],RAMAIS_ATUAL,24,0),"")</f>
        <v/>
      </c>
      <c r="G31" s="129">
        <f>IFERROR(SUMIF(GERAL_PROJ2[TRECHO],GERAL_PROJ2[[#This Row],[PONTO]],GERAL_PROJ2[CLT ACUMULADO])+GERAL_PROJ2[[#This Row],[CLIENTES]],"")</f>
        <v/>
      </c>
      <c r="H31" s="55">
        <f>IFERROR(VLOOKUP(GERAL_PROJ2[[#This Row],[PONTO]],RAMAIS_ATUAL,IF($I$2="SIM",25,23),0),"")</f>
        <v/>
      </c>
      <c r="I31" s="55">
        <f>IFERROR(IF($I$2="SIM",VLOOKUP(GERAL_PROJ2[[#This Row],[CLT ACUMULADO]],AUX_CLAN,4,0),SUMIF(GERAL_PROJ2[TRECHO],GERAL_PROJ2[[#This Row],[PONTO]],GERAL_PROJ2[ACUMULADA])+GERAL_PROJ2[[#This Row],[TOTAL DO TRECHO]]),"")</f>
        <v/>
      </c>
      <c r="J31" s="55">
        <f>IFERROR(SQRT((GERAL_PROJ2[[#This Row],[X]]-$P$11)^2+(GERAL_PROJ2[[#This Row],[Y]]-$P$12)^2),"")</f>
        <v/>
      </c>
      <c r="K31" s="169" t="n"/>
      <c r="L31" s="171" t="n"/>
      <c r="M31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31" s="178" t="inlineStr">
        <is>
          <t>RAMAL ESQ</t>
        </is>
      </c>
      <c r="P31" s="245">
        <f>VLOOKUP("RAMAL",ESQ_PROJ2[[PONTO]:[ETA]],15,0)</f>
        <v/>
      </c>
    </row>
    <row r="32">
      <c r="A32" s="169" t="n"/>
      <c r="B32" s="168" t="n"/>
      <c r="C32" s="169" t="n"/>
      <c r="D32" s="128">
        <f>IFERROR(VLOOKUP(GERAL_PROJ2[[#This Row],[PONTO]],Tabela13[],2,0),"")</f>
        <v/>
      </c>
      <c r="E32" s="128">
        <f>IFERROR(VLOOKUP(GERAL_PROJ2[[#This Row],[PONTO]],Tabela13[],3,0),"")</f>
        <v/>
      </c>
      <c r="F32" s="129">
        <f>IFERROR(VLOOKUP(GERAL_PROJ2[[#This Row],[PONTO]],RAMAIS_ATUAL,24,0),"")</f>
        <v/>
      </c>
      <c r="G32" s="129">
        <f>IFERROR(SUMIF(GERAL_PROJ2[TRECHO],GERAL_PROJ2[[#This Row],[PONTO]],GERAL_PROJ2[CLT ACUMULADO])+GERAL_PROJ2[[#This Row],[CLIENTES]],"")</f>
        <v/>
      </c>
      <c r="H32" s="55">
        <f>IFERROR(VLOOKUP(GERAL_PROJ2[[#This Row],[PONTO]],RAMAIS_ATUAL,IF($I$2="SIM",25,23),0),"")</f>
        <v/>
      </c>
      <c r="I32" s="55">
        <f>IFERROR(IF($I$2="SIM",VLOOKUP(GERAL_PROJ2[[#This Row],[CLT ACUMULADO]],AUX_CLAN,4,0),SUMIF(GERAL_PROJ2[TRECHO],GERAL_PROJ2[[#This Row],[PONTO]],GERAL_PROJ2[ACUMULADA])+GERAL_PROJ2[[#This Row],[TOTAL DO TRECHO]]),"")</f>
        <v/>
      </c>
      <c r="J32" s="55">
        <f>IFERROR(SQRT((GERAL_PROJ2[[#This Row],[X]]-$P$11)^2+(GERAL_PROJ2[[#This Row],[Y]]-$P$12)^2),"")</f>
        <v/>
      </c>
      <c r="K32" s="169" t="n"/>
      <c r="L32" s="171" t="n"/>
      <c r="M32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  <c r="O32" s="178" t="inlineStr">
        <is>
          <t>RAMAL DIR</t>
        </is>
      </c>
      <c r="P32" s="245">
        <f>VLOOKUP("RAMAL",Tabela71023[[PONTO]:[ETA]],15,0)</f>
        <v/>
      </c>
    </row>
    <row r="33">
      <c r="A33" s="169" t="n"/>
      <c r="B33" s="169" t="n"/>
      <c r="C33" s="169" t="n"/>
      <c r="D33" s="128">
        <f>IFERROR(VLOOKUP(GERAL_PROJ2[[#This Row],[PONTO]],Tabela13[],2,0),"")</f>
        <v/>
      </c>
      <c r="E33" s="128">
        <f>IFERROR(VLOOKUP(GERAL_PROJ2[[#This Row],[PONTO]],Tabela13[],3,0),"")</f>
        <v/>
      </c>
      <c r="F33" s="129">
        <f>IFERROR(VLOOKUP(GERAL_PROJ2[[#This Row],[PONTO]],RAMAIS_ATUAL,24,0),"")</f>
        <v/>
      </c>
      <c r="G33" s="129">
        <f>IFERROR(SUMIF(GERAL_PROJ2[TRECHO],GERAL_PROJ2[[#This Row],[PONTO]],GERAL_PROJ2[CLT ACUMULADO])+GERAL_PROJ2[[#This Row],[CLIENTES]],"")</f>
        <v/>
      </c>
      <c r="H33" s="55">
        <f>IFERROR(VLOOKUP(GERAL_PROJ2[[#This Row],[PONTO]],RAMAIS_ATUAL,IF($I$2="SIM",25,23),0),"")</f>
        <v/>
      </c>
      <c r="I33" s="55">
        <f>IFERROR(IF($I$2="SIM",VLOOKUP(GERAL_PROJ2[[#This Row],[CLT ACUMULADO]],AUX_CLAN,4,0),SUMIF(GERAL_PROJ2[TRECHO],GERAL_PROJ2[[#This Row],[PONTO]],GERAL_PROJ2[ACUMULADA])+GERAL_PROJ2[[#This Row],[TOTAL DO TRECHO]]),"")</f>
        <v/>
      </c>
      <c r="J33" s="55">
        <f>IFERROR(SQRT((GERAL_PROJ2[[#This Row],[X]]-$P$11)^2+(GERAL_PROJ2[[#This Row],[Y]]-$P$12)^2),"")</f>
        <v/>
      </c>
      <c r="K33" s="169" t="n"/>
      <c r="L33" s="171" t="n"/>
      <c r="M33" s="128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</row>
    <row r="34">
      <c r="A34" s="173" t="n"/>
      <c r="B34" s="173" t="n"/>
      <c r="C34" s="173" t="n"/>
      <c r="D34" s="138">
        <f>IFERROR(VLOOKUP(GERAL_PROJ2[[#This Row],[PONTO]],Tabela13[],2,0),"")</f>
        <v/>
      </c>
      <c r="E34" s="138">
        <f>IFERROR(VLOOKUP(GERAL_PROJ2[[#This Row],[PONTO]],Tabela13[],3,0),"")</f>
        <v/>
      </c>
      <c r="F34" s="139">
        <f>IFERROR(VLOOKUP(GERAL_PROJ2[[#This Row],[PONTO]],RAMAIS_ATUAL,24,0),"")</f>
        <v/>
      </c>
      <c r="G34" s="139">
        <f>IFERROR(SUMIF(GERAL_PROJ2[TRECHO],GERAL_PROJ2[[#This Row],[PONTO]],GERAL_PROJ2[CLT ACUMULADO])+GERAL_PROJ2[[#This Row],[CLIENTES]],"")</f>
        <v/>
      </c>
      <c r="H34" s="72">
        <f>IFERROR(VLOOKUP(GERAL_PROJ2[[#This Row],[PONTO]],RAMAIS_ATUAL,IF($I$2="SIM",25,23),0),"")</f>
        <v/>
      </c>
      <c r="I34" s="72">
        <f>IFERROR(IF($I$2="SIM",VLOOKUP(GERAL_PROJ2[[#This Row],[CLT ACUMULADO]],AUX_CLAN,4,0),SUMIF(GERAL_PROJ2[TRECHO],GERAL_PROJ2[[#This Row],[PONTO]],GERAL_PROJ2[ACUMULADA])+GERAL_PROJ2[[#This Row],[TOTAL DO TRECHO]]),"")</f>
        <v/>
      </c>
      <c r="J34" s="72">
        <f>IFERROR(SQRT((GERAL_PROJ2[[#This Row],[X]]-$P$11)^2+(GERAL_PROJ2[[#This Row],[Y]]-$P$12)^2),"")</f>
        <v/>
      </c>
      <c r="K34" s="169" t="n"/>
      <c r="L34" s="171" t="n"/>
      <c r="M34" s="140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</row>
    <row r="35">
      <c r="A35" s="173" t="n"/>
      <c r="B35" s="173" t="n"/>
      <c r="C35" s="173" t="n"/>
      <c r="D35" s="138">
        <f>IFERROR(VLOOKUP(GERAL_PROJ2[[#This Row],[PONTO]],Tabela13[],2,0),"")</f>
        <v/>
      </c>
      <c r="E35" s="138">
        <f>IFERROR(VLOOKUP(GERAL_PROJ2[[#This Row],[PONTO]],Tabela13[],3,0),"")</f>
        <v/>
      </c>
      <c r="F35" s="139">
        <f>IFERROR(VLOOKUP(GERAL_PROJ2[[#This Row],[PONTO]],RAMAIS_ATUAL,24,0),"")</f>
        <v/>
      </c>
      <c r="G35" s="139">
        <f>IFERROR(SUMIF(GERAL_PROJ2[TRECHO],GERAL_PROJ2[[#This Row],[PONTO]],GERAL_PROJ2[CLT ACUMULADO])+GERAL_PROJ2[[#This Row],[CLIENTES]],"")</f>
        <v/>
      </c>
      <c r="H35" s="72">
        <f>IFERROR(VLOOKUP(GERAL_PROJ2[[#This Row],[PONTO]],RAMAIS_ATUAL,IF($I$2="SIM",25,23),0),"")</f>
        <v/>
      </c>
      <c r="I35" s="72">
        <f>IFERROR(IF($I$2="SIM",VLOOKUP(GERAL_PROJ2[[#This Row],[CLT ACUMULADO]],AUX_CLAN,4,0),SUMIF(GERAL_PROJ2[TRECHO],GERAL_PROJ2[[#This Row],[PONTO]],GERAL_PROJ2[ACUMULADA])+GERAL_PROJ2[[#This Row],[TOTAL DO TRECHO]]),"")</f>
        <v/>
      </c>
      <c r="J35" s="72">
        <f>IFERROR(SQRT((GERAL_PROJ2[[#This Row],[X]]-$P$11)^2+(GERAL_PROJ2[[#This Row],[Y]]-$P$12)^2),"")</f>
        <v/>
      </c>
      <c r="K35" s="169" t="n"/>
      <c r="L35" s="171" t="n"/>
      <c r="M35" s="140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</row>
    <row r="36">
      <c r="A36" s="173" t="n"/>
      <c r="B36" s="173" t="n"/>
      <c r="C36" s="173" t="n"/>
      <c r="D36" s="138">
        <f>IFERROR(VLOOKUP(GERAL_PROJ2[[#This Row],[PONTO]],Tabela13[],2,0),"")</f>
        <v/>
      </c>
      <c r="E36" s="138">
        <f>IFERROR(VLOOKUP(GERAL_PROJ2[[#This Row],[PONTO]],Tabela13[],3,0),"")</f>
        <v/>
      </c>
      <c r="F36" s="139">
        <f>IFERROR(VLOOKUP(GERAL_PROJ2[[#This Row],[PONTO]],RAMAIS_ATUAL,24,0),"")</f>
        <v/>
      </c>
      <c r="G36" s="139">
        <f>IFERROR(SUMIF(GERAL_PROJ2[TRECHO],GERAL_PROJ2[[#This Row],[PONTO]],GERAL_PROJ2[CLT ACUMULADO])+GERAL_PROJ2[[#This Row],[CLIENTES]],"")</f>
        <v/>
      </c>
      <c r="H36" s="72">
        <f>IFERROR(VLOOKUP(GERAL_PROJ2[[#This Row],[PONTO]],RAMAIS_ATUAL,IF($I$2="SIM",25,23),0),"")</f>
        <v/>
      </c>
      <c r="I36" s="72">
        <f>IFERROR(IF($I$2="SIM",VLOOKUP(GERAL_PROJ2[[#This Row],[CLT ACUMULADO]],AUX_CLAN,4,0),SUMIF(GERAL_PROJ2[TRECHO],GERAL_PROJ2[[#This Row],[PONTO]],GERAL_PROJ2[ACUMULADA])+GERAL_PROJ2[[#This Row],[TOTAL DO TRECHO]]),"")</f>
        <v/>
      </c>
      <c r="J36" s="72">
        <f>IFERROR(SQRT((GERAL_PROJ2[[#This Row],[X]]-$P$11)^2+(GERAL_PROJ2[[#This Row],[Y]]-$P$12)^2),"")</f>
        <v/>
      </c>
      <c r="K36" s="169" t="n"/>
      <c r="L36" s="171" t="n"/>
      <c r="M36" s="140">
        <f>IFERROR(IF(GERAL_PROJ2[[#This Row],[LADO]]="ESQUERDO",VLOOKUP(GERAL_PROJ2[[#This Row],[PONTO]],ESQ_PROJ2[[PONTO]:[ETA]],15,0),IF(GERAL_PROJ2[[#This Row],[LADO]]="DIREITO",VLOOKUP(GERAL_PROJ2[[#This Row],[PONTO]],Tabela71023[[PONTO]:[ETA]],15,0),IF(GERAL_PROJ2[[#This Row],[LADO]]="TRAFO",127-(127*(QT_MTTR3)),""))),"IGNORADO")</f>
        <v/>
      </c>
    </row>
    <row r="37">
      <c r="D37" s="7" t="n"/>
      <c r="E37" s="7" t="n"/>
      <c r="F37" s="7" t="n"/>
      <c r="G37" s="7" t="n"/>
    </row>
    <row r="38">
      <c r="D38" s="7" t="n"/>
      <c r="E38" s="7" t="n"/>
      <c r="F38" s="7" t="n"/>
      <c r="G38" s="7" t="n"/>
    </row>
    <row r="39">
      <c r="D39" s="7" t="n"/>
      <c r="E39" s="7" t="n"/>
      <c r="F39" s="7" t="n"/>
      <c r="G39" s="7" t="n"/>
    </row>
    <row r="40">
      <c r="D40" s="7" t="n"/>
      <c r="E40" s="7" t="n"/>
      <c r="F40" s="7" t="n"/>
      <c r="G40" s="7" t="n"/>
    </row>
    <row r="41">
      <c r="D41" s="7" t="n"/>
      <c r="E41" s="7" t="n"/>
      <c r="F41" s="7" t="n"/>
      <c r="G41" s="7" t="n"/>
    </row>
    <row r="42">
      <c r="D42" s="7" t="n"/>
      <c r="E42" s="7" t="n"/>
      <c r="F42" s="7" t="n"/>
      <c r="G42" s="7" t="n"/>
    </row>
    <row r="43">
      <c r="D43" s="7" t="n"/>
      <c r="E43" s="7" t="n"/>
      <c r="F43" s="7" t="n"/>
      <c r="G43" s="7" t="n"/>
    </row>
    <row r="44">
      <c r="D44" s="7" t="n"/>
      <c r="E44" s="7" t="n"/>
      <c r="F44" s="7" t="n"/>
      <c r="G44" s="7" t="n"/>
    </row>
    <row r="45">
      <c r="D45" s="7" t="n"/>
      <c r="E45" s="7" t="n"/>
      <c r="F45" s="7" t="n"/>
      <c r="G45" s="7" t="n"/>
    </row>
    <row r="46">
      <c r="D46" s="7" t="n"/>
      <c r="E46" s="7" t="n"/>
      <c r="F46" s="7" t="n"/>
      <c r="G46" s="7" t="n"/>
    </row>
    <row r="47">
      <c r="D47" s="7" t="n"/>
      <c r="E47" s="7" t="n"/>
      <c r="F47" s="7" t="n"/>
      <c r="G47" s="7" t="n"/>
    </row>
    <row r="48">
      <c r="D48" s="7" t="n"/>
      <c r="E48" s="7" t="n"/>
      <c r="F48" s="7" t="n"/>
      <c r="G48" s="7" t="n"/>
    </row>
    <row r="49">
      <c r="D49" s="7" t="n"/>
      <c r="E49" s="7" t="n"/>
      <c r="F49" s="7" t="n"/>
      <c r="G49" s="7" t="n"/>
    </row>
    <row r="50">
      <c r="D50" s="7" t="n"/>
      <c r="E50" s="7" t="n"/>
      <c r="F50" s="7" t="n"/>
      <c r="G50" s="7" t="n"/>
    </row>
    <row r="51">
      <c r="D51" s="7" t="n"/>
      <c r="E51" s="7" t="n"/>
      <c r="F51" s="7" t="n"/>
      <c r="G51" s="7" t="n"/>
    </row>
    <row r="52">
      <c r="D52" s="7" t="n"/>
      <c r="E52" s="7" t="n"/>
      <c r="F52" s="7" t="n"/>
      <c r="G52" s="7" t="n"/>
    </row>
    <row r="53">
      <c r="D53" s="7" t="n"/>
      <c r="E53" s="7" t="n"/>
      <c r="F53" s="7" t="n"/>
      <c r="G53" s="7" t="n"/>
    </row>
    <row r="54">
      <c r="D54" s="7" t="n"/>
      <c r="E54" s="7" t="n"/>
      <c r="F54" s="7" t="n"/>
      <c r="G54" s="7" t="n"/>
    </row>
    <row r="55">
      <c r="D55" s="7" t="n"/>
      <c r="E55" s="7" t="n"/>
      <c r="F55" s="7" t="n"/>
      <c r="G55" s="7" t="n"/>
    </row>
    <row r="56">
      <c r="D56" s="7" t="n"/>
      <c r="E56" s="7" t="n"/>
      <c r="F56" s="7" t="n"/>
      <c r="G56" s="7" t="n"/>
    </row>
    <row r="57">
      <c r="D57" s="7" t="n"/>
      <c r="E57" s="7" t="n"/>
      <c r="F57" s="7" t="n"/>
      <c r="G57" s="7" t="n"/>
    </row>
    <row r="58">
      <c r="D58" s="7" t="n"/>
      <c r="E58" s="7" t="n"/>
      <c r="F58" s="7" t="n"/>
      <c r="G58" s="7" t="n"/>
    </row>
    <row r="59">
      <c r="D59" s="7" t="n"/>
      <c r="E59" s="7" t="n"/>
      <c r="F59" s="7" t="n"/>
      <c r="G59" s="7" t="n"/>
    </row>
    <row r="60">
      <c r="D60" s="7" t="n"/>
      <c r="E60" s="7" t="n"/>
      <c r="F60" s="7" t="n"/>
      <c r="G60" s="7" t="n"/>
    </row>
    <row r="61">
      <c r="D61" s="7" t="n"/>
      <c r="E61" s="7" t="n"/>
      <c r="F61" s="7" t="n"/>
      <c r="G61" s="7" t="n"/>
    </row>
    <row r="62">
      <c r="D62" s="7" t="n"/>
      <c r="E62" s="7" t="n"/>
      <c r="F62" s="7" t="n"/>
      <c r="G62" s="7" t="n"/>
    </row>
    <row r="63">
      <c r="D63" s="7" t="n"/>
      <c r="E63" s="7" t="n"/>
      <c r="F63" s="7" t="n"/>
      <c r="G63" s="7" t="n"/>
    </row>
    <row r="64">
      <c r="D64" s="7" t="n"/>
      <c r="E64" s="7" t="n"/>
      <c r="F64" s="7" t="n"/>
      <c r="G64" s="7" t="n"/>
    </row>
    <row r="65">
      <c r="D65" s="7" t="n"/>
      <c r="E65" s="7" t="n"/>
      <c r="F65" s="7" t="n"/>
      <c r="G65" s="7" t="n"/>
    </row>
    <row r="66">
      <c r="D66" s="7" t="n"/>
      <c r="E66" s="7" t="n"/>
      <c r="F66" s="7" t="n"/>
      <c r="G66" s="7" t="n"/>
    </row>
    <row r="67">
      <c r="D67" s="7" t="n"/>
      <c r="E67" s="7" t="n"/>
      <c r="F67" s="7" t="n"/>
      <c r="G67" s="7" t="n"/>
    </row>
    <row r="68">
      <c r="D68" s="7" t="n"/>
      <c r="E68" s="7" t="n"/>
      <c r="F68" s="7" t="n"/>
      <c r="G68" s="7" t="n"/>
    </row>
    <row r="69">
      <c r="D69" s="7" t="n"/>
      <c r="E69" s="7" t="n"/>
      <c r="F69" s="7" t="n"/>
      <c r="G69" s="7" t="n"/>
    </row>
    <row r="70">
      <c r="D70" s="7" t="n"/>
      <c r="E70" s="7" t="n"/>
      <c r="F70" s="7" t="n"/>
      <c r="G70" s="7" t="n"/>
    </row>
    <row r="71">
      <c r="D71" s="7" t="n"/>
      <c r="E71" s="7" t="n"/>
      <c r="F71" s="7" t="n"/>
      <c r="G71" s="7" t="n"/>
    </row>
    <row r="72">
      <c r="D72" s="7" t="n"/>
      <c r="E72" s="7" t="n"/>
      <c r="F72" s="7" t="n"/>
      <c r="G72" s="7" t="n"/>
    </row>
    <row r="73">
      <c r="D73" s="7" t="n"/>
      <c r="E73" s="7" t="n"/>
      <c r="F73" s="7" t="n"/>
      <c r="G73" s="7" t="n"/>
    </row>
    <row r="74">
      <c r="D74" s="7" t="n"/>
      <c r="E74" s="7" t="n"/>
      <c r="F74" s="7" t="n"/>
      <c r="G74" s="7" t="n"/>
    </row>
    <row r="75">
      <c r="D75" s="7" t="n"/>
      <c r="E75" s="7" t="n"/>
      <c r="F75" s="7" t="n"/>
      <c r="G75" s="7" t="n"/>
    </row>
    <row r="76">
      <c r="D76" s="7" t="n"/>
      <c r="E76" s="7" t="n"/>
      <c r="F76" s="7" t="n"/>
      <c r="G76" s="7" t="n"/>
    </row>
    <row r="77">
      <c r="D77" s="7" t="n"/>
      <c r="E77" s="7" t="n"/>
      <c r="F77" s="7" t="n"/>
      <c r="G77" s="7" t="n"/>
    </row>
    <row r="78">
      <c r="D78" s="7" t="n"/>
      <c r="E78" s="7" t="n"/>
      <c r="F78" s="7" t="n"/>
      <c r="G78" s="7" t="n"/>
    </row>
    <row r="79">
      <c r="D79" s="7" t="n"/>
      <c r="E79" s="7" t="n"/>
      <c r="F79" s="7" t="n"/>
      <c r="G79" s="7" t="n"/>
    </row>
    <row r="80">
      <c r="D80" s="7" t="n"/>
      <c r="E80" s="7" t="n"/>
      <c r="F80" s="7" t="n"/>
      <c r="G80" s="7" t="n"/>
    </row>
    <row r="81">
      <c r="D81" s="7" t="n"/>
      <c r="E81" s="7" t="n"/>
      <c r="F81" s="7" t="n"/>
      <c r="G81" s="7" t="n"/>
    </row>
    <row r="82">
      <c r="D82" s="7" t="n"/>
      <c r="E82" s="7" t="n"/>
      <c r="F82" s="7" t="n"/>
      <c r="G82" s="7" t="n"/>
    </row>
    <row r="83">
      <c r="D83" s="7" t="n"/>
      <c r="E83" s="7" t="n"/>
      <c r="F83" s="7" t="n"/>
      <c r="G83" s="7" t="n"/>
    </row>
    <row r="84">
      <c r="D84" s="7" t="n"/>
      <c r="E84" s="7" t="n"/>
      <c r="F84" s="7" t="n"/>
      <c r="G84" s="7" t="n"/>
    </row>
    <row r="85">
      <c r="D85" s="7" t="n"/>
      <c r="E85" s="7" t="n"/>
      <c r="F85" s="7" t="n"/>
      <c r="G85" s="7" t="n"/>
    </row>
    <row r="86">
      <c r="D86" s="7" t="n"/>
      <c r="E86" s="7" t="n"/>
      <c r="F86" s="7" t="n"/>
      <c r="G86" s="7" t="n"/>
    </row>
    <row r="87">
      <c r="D87" s="7" t="n"/>
      <c r="E87" s="7" t="n"/>
      <c r="F87" s="7" t="n"/>
      <c r="G87" s="7" t="n"/>
    </row>
    <row r="88">
      <c r="D88" s="7" t="n"/>
      <c r="E88" s="7" t="n"/>
      <c r="F88" s="7" t="n"/>
      <c r="G88" s="7" t="n"/>
    </row>
    <row r="89">
      <c r="D89" s="7" t="n"/>
      <c r="E89" s="7" t="n"/>
      <c r="F89" s="7" t="n"/>
      <c r="G89" s="7" t="n"/>
    </row>
    <row r="90">
      <c r="D90" s="7" t="n"/>
      <c r="E90" s="7" t="n"/>
      <c r="F90" s="7" t="n"/>
      <c r="G90" s="7" t="n"/>
    </row>
    <row r="91">
      <c r="D91" s="7" t="n"/>
      <c r="E91" s="7" t="n"/>
      <c r="F91" s="7" t="n"/>
      <c r="G91" s="7" t="n"/>
    </row>
    <row r="92">
      <c r="D92" s="7" t="n"/>
      <c r="E92" s="7" t="n"/>
      <c r="F92" s="7" t="n"/>
      <c r="G92" s="7" t="n"/>
    </row>
    <row r="93">
      <c r="D93" s="7" t="n"/>
      <c r="E93" s="7" t="n"/>
      <c r="F93" s="7" t="n"/>
      <c r="G93" s="7" t="n"/>
    </row>
    <row r="94">
      <c r="D94" s="7" t="n"/>
      <c r="E94" s="7" t="n"/>
      <c r="F94" s="7" t="n"/>
      <c r="G94" s="7" t="n"/>
    </row>
    <row r="95">
      <c r="D95" s="7" t="n"/>
      <c r="E95" s="7" t="n"/>
      <c r="F95" s="7" t="n"/>
      <c r="G95" s="7" t="n"/>
    </row>
    <row r="96">
      <c r="D96" s="7" t="n"/>
      <c r="E96" s="7" t="n"/>
      <c r="F96" s="7" t="n"/>
      <c r="G96" s="7" t="n"/>
    </row>
    <row r="97">
      <c r="D97" s="7" t="n"/>
      <c r="E97" s="7" t="n"/>
      <c r="F97" s="7" t="n"/>
      <c r="G97" s="7" t="n"/>
    </row>
    <row r="98">
      <c r="D98" s="7" t="n"/>
      <c r="E98" s="7" t="n"/>
      <c r="F98" s="7" t="n"/>
      <c r="G98" s="7" t="n"/>
    </row>
    <row r="99">
      <c r="D99" s="7" t="n"/>
      <c r="E99" s="7" t="n"/>
      <c r="F99" s="7" t="n"/>
      <c r="G99" s="7" t="n"/>
    </row>
    <row r="100">
      <c r="D100" s="7" t="n"/>
      <c r="E100" s="7" t="n"/>
      <c r="F100" s="7" t="n"/>
      <c r="G100" s="7" t="n"/>
    </row>
    <row r="101">
      <c r="D101" s="7" t="n"/>
      <c r="E101" s="7" t="n"/>
      <c r="F101" s="7" t="n"/>
      <c r="G101" s="7" t="n"/>
    </row>
    <row r="102">
      <c r="D102" s="7" t="n"/>
      <c r="E102" s="7" t="n"/>
      <c r="F102" s="7" t="n"/>
      <c r="G102" s="7" t="n"/>
    </row>
    <row r="103">
      <c r="D103" s="7" t="n"/>
      <c r="E103" s="7" t="n"/>
      <c r="F103" s="7" t="n"/>
      <c r="G103" s="7" t="n"/>
    </row>
    <row r="104">
      <c r="D104" s="7" t="n"/>
      <c r="E104" s="7" t="n"/>
      <c r="F104" s="7" t="n"/>
      <c r="G104" s="7" t="n"/>
    </row>
    <row r="105">
      <c r="D105" s="7" t="n"/>
      <c r="E105" s="7" t="n"/>
      <c r="F105" s="7" t="n"/>
      <c r="G105" s="7" t="n"/>
    </row>
    <row r="106">
      <c r="D106" s="7" t="n"/>
      <c r="E106" s="7" t="n"/>
      <c r="F106" s="7" t="n"/>
      <c r="G106" s="7" t="n"/>
    </row>
    <row r="107">
      <c r="D107" s="7" t="n"/>
      <c r="E107" s="7" t="n"/>
      <c r="F107" s="7" t="n"/>
      <c r="G107" s="7" t="n"/>
    </row>
    <row r="108">
      <c r="D108" s="7" t="n"/>
      <c r="E108" s="7" t="n"/>
      <c r="F108" s="7" t="n"/>
      <c r="G108" s="7" t="n"/>
    </row>
    <row r="109">
      <c r="D109" s="7" t="n"/>
      <c r="E109" s="7" t="n"/>
      <c r="F109" s="7" t="n"/>
      <c r="G109" s="7" t="n"/>
    </row>
    <row r="110">
      <c r="D110" s="7" t="n"/>
      <c r="E110" s="7" t="n"/>
      <c r="F110" s="7" t="n"/>
      <c r="G110" s="7" t="n"/>
    </row>
    <row r="111">
      <c r="D111" s="7" t="n"/>
      <c r="E111" s="7" t="n"/>
      <c r="F111" s="7" t="n"/>
      <c r="G111" s="7" t="n"/>
    </row>
    <row r="112">
      <c r="D112" s="7" t="n"/>
      <c r="E112" s="7" t="n"/>
      <c r="F112" s="7" t="n"/>
      <c r="G112" s="7" t="n"/>
    </row>
    <row r="113">
      <c r="D113" s="7" t="n"/>
      <c r="E113" s="7" t="n"/>
      <c r="F113" s="7" t="n"/>
      <c r="G113" s="7" t="n"/>
    </row>
    <row r="114">
      <c r="D114" s="7" t="n"/>
      <c r="E114" s="7" t="n"/>
      <c r="F114" s="7" t="n"/>
      <c r="G114" s="7" t="n"/>
    </row>
    <row r="115">
      <c r="D115" s="7" t="n"/>
      <c r="E115" s="7" t="n"/>
      <c r="F115" s="7" t="n"/>
      <c r="G115" s="7" t="n"/>
    </row>
    <row r="116">
      <c r="D116" s="7" t="n"/>
      <c r="E116" s="7" t="n"/>
      <c r="F116" s="7" t="n"/>
      <c r="G116" s="7" t="n"/>
    </row>
    <row r="117">
      <c r="D117" s="7" t="n"/>
      <c r="E117" s="7" t="n"/>
      <c r="F117" s="7" t="n"/>
      <c r="G117" s="7" t="n"/>
    </row>
    <row r="118">
      <c r="D118" s="7" t="n"/>
      <c r="E118" s="7" t="n"/>
      <c r="F118" s="7" t="n"/>
      <c r="G118" s="7" t="n"/>
    </row>
    <row r="119">
      <c r="D119" s="7" t="n"/>
      <c r="E119" s="7" t="n"/>
      <c r="F119" s="7" t="n"/>
      <c r="G119" s="7" t="n"/>
    </row>
    <row r="120">
      <c r="D120" s="7" t="n"/>
      <c r="E120" s="7" t="n"/>
      <c r="F120" s="7" t="n"/>
      <c r="G120" s="7" t="n"/>
    </row>
    <row r="121">
      <c r="D121" s="7" t="n"/>
      <c r="E121" s="7" t="n"/>
      <c r="F121" s="7" t="n"/>
      <c r="G121" s="7" t="n"/>
    </row>
    <row r="122">
      <c r="D122" s="7" t="n"/>
      <c r="E122" s="7" t="n"/>
      <c r="F122" s="7" t="n"/>
      <c r="G122" s="7" t="n"/>
    </row>
    <row r="123">
      <c r="D123" s="7" t="n"/>
      <c r="E123" s="7" t="n"/>
      <c r="F123" s="7" t="n"/>
      <c r="G123" s="7" t="n"/>
    </row>
    <row r="124">
      <c r="D124" s="7" t="n"/>
      <c r="E124" s="7" t="n"/>
      <c r="F124" s="7" t="n"/>
      <c r="G124" s="7" t="n"/>
    </row>
    <row r="125">
      <c r="D125" s="7" t="n"/>
      <c r="E125" s="7" t="n"/>
      <c r="F125" s="7" t="n"/>
      <c r="G125" s="7" t="n"/>
    </row>
    <row r="126">
      <c r="D126" s="7" t="n"/>
      <c r="E126" s="7" t="n"/>
      <c r="F126" s="7" t="n"/>
      <c r="G126" s="7" t="n"/>
    </row>
    <row r="127">
      <c r="D127" s="7" t="n"/>
      <c r="E127" s="7" t="n"/>
      <c r="F127" s="7" t="n"/>
      <c r="G127" s="7" t="n"/>
    </row>
    <row r="128">
      <c r="D128" s="7" t="n"/>
      <c r="E128" s="7" t="n"/>
      <c r="F128" s="7" t="n"/>
      <c r="G128" s="7" t="n"/>
    </row>
    <row r="129">
      <c r="D129" s="7" t="n"/>
      <c r="E129" s="7" t="n"/>
      <c r="F129" s="7" t="n"/>
      <c r="G129" s="7" t="n"/>
    </row>
    <row r="130">
      <c r="D130" s="7" t="n"/>
      <c r="E130" s="7" t="n"/>
      <c r="F130" s="7" t="n"/>
      <c r="G130" s="7" t="n"/>
    </row>
    <row r="131">
      <c r="D131" s="7" t="n"/>
      <c r="E131" s="7" t="n"/>
      <c r="F131" s="7" t="n"/>
      <c r="G131" s="7" t="n"/>
    </row>
    <row r="132">
      <c r="D132" s="7" t="n"/>
      <c r="E132" s="7" t="n"/>
      <c r="F132" s="7" t="n"/>
      <c r="G132" s="7" t="n"/>
    </row>
    <row r="133">
      <c r="D133" s="7" t="n"/>
      <c r="E133" s="7" t="n"/>
      <c r="F133" s="7" t="n"/>
      <c r="G133" s="7" t="n"/>
    </row>
    <row r="134">
      <c r="D134" s="7" t="n"/>
      <c r="E134" s="7" t="n"/>
      <c r="F134" s="7" t="n"/>
      <c r="G134" s="7" t="n"/>
    </row>
    <row r="135">
      <c r="D135" s="7" t="n"/>
      <c r="E135" s="7" t="n"/>
      <c r="F135" s="7" t="n"/>
      <c r="G135" s="7" t="n"/>
    </row>
    <row r="136">
      <c r="D136" s="7" t="n"/>
      <c r="E136" s="7" t="n"/>
      <c r="F136" s="7" t="n"/>
      <c r="G136" s="7" t="n"/>
    </row>
    <row r="137">
      <c r="D137" s="7" t="n"/>
      <c r="E137" s="7" t="n"/>
      <c r="F137" s="7" t="n"/>
      <c r="G137" s="7" t="n"/>
    </row>
    <row r="138">
      <c r="D138" s="7" t="n"/>
      <c r="E138" s="7" t="n"/>
      <c r="F138" s="7" t="n"/>
      <c r="G138" s="7" t="n"/>
    </row>
    <row r="139">
      <c r="D139" s="7" t="n"/>
      <c r="E139" s="7" t="n"/>
      <c r="F139" s="7" t="n"/>
      <c r="G139" s="7" t="n"/>
    </row>
    <row r="140">
      <c r="D140" s="7" t="n"/>
      <c r="E140" s="7" t="n"/>
      <c r="F140" s="7" t="n"/>
      <c r="G140" s="7" t="n"/>
    </row>
    <row r="141">
      <c r="D141" s="7" t="n"/>
      <c r="E141" s="7" t="n"/>
      <c r="F141" s="7" t="n"/>
      <c r="G141" s="7" t="n"/>
    </row>
    <row r="142">
      <c r="D142" s="7" t="n"/>
      <c r="E142" s="7" t="n"/>
      <c r="F142" s="7" t="n"/>
      <c r="G142" s="7" t="n"/>
    </row>
    <row r="143">
      <c r="D143" s="7" t="n"/>
      <c r="E143" s="7" t="n"/>
      <c r="F143" s="7" t="n"/>
      <c r="G143" s="7" t="n"/>
    </row>
    <row r="144">
      <c r="D144" s="7" t="n"/>
      <c r="E144" s="7" t="n"/>
      <c r="F144" s="7" t="n"/>
      <c r="G144" s="7" t="n"/>
    </row>
    <row r="145">
      <c r="D145" s="7" t="n"/>
      <c r="E145" s="7" t="n"/>
      <c r="F145" s="7" t="n"/>
      <c r="G145" s="7" t="n"/>
    </row>
    <row r="146">
      <c r="D146" s="7" t="n"/>
      <c r="E146" s="7" t="n"/>
      <c r="F146" s="7" t="n"/>
      <c r="G146" s="7" t="n"/>
    </row>
    <row r="147">
      <c r="D147" s="7" t="n"/>
      <c r="E147" s="7" t="n"/>
      <c r="F147" s="7" t="n"/>
      <c r="G147" s="7" t="n"/>
    </row>
    <row r="148">
      <c r="D148" s="7" t="n"/>
      <c r="E148" s="7" t="n"/>
      <c r="F148" s="7" t="n"/>
      <c r="G148" s="7" t="n"/>
    </row>
    <row r="149">
      <c r="D149" s="7" t="n"/>
      <c r="E149" s="7" t="n"/>
      <c r="F149" s="7" t="n"/>
      <c r="G149" s="7" t="n"/>
    </row>
    <row r="150">
      <c r="D150" s="7" t="n"/>
      <c r="E150" s="7" t="n"/>
      <c r="F150" s="7" t="n"/>
      <c r="G150" s="7" t="n"/>
    </row>
    <row r="151">
      <c r="D151" s="7" t="n"/>
      <c r="E151" s="7" t="n"/>
      <c r="F151" s="7" t="n"/>
      <c r="G151" s="7" t="n"/>
    </row>
    <row r="152">
      <c r="D152" s="7" t="n"/>
      <c r="E152" s="7" t="n"/>
      <c r="F152" s="7" t="n"/>
      <c r="G152" s="7" t="n"/>
    </row>
    <row r="153">
      <c r="D153" s="7" t="n"/>
      <c r="E153" s="7" t="n"/>
      <c r="F153" s="7" t="n"/>
      <c r="G153" s="7" t="n"/>
    </row>
    <row r="154">
      <c r="D154" s="7" t="n"/>
      <c r="E154" s="7" t="n"/>
      <c r="F154" s="7" t="n"/>
      <c r="G154" s="7" t="n"/>
    </row>
    <row r="155">
      <c r="D155" s="7" t="n"/>
      <c r="E155" s="7" t="n"/>
      <c r="F155" s="7" t="n"/>
      <c r="G155" s="7" t="n"/>
    </row>
    <row r="156">
      <c r="D156" s="7" t="n"/>
      <c r="E156" s="7" t="n"/>
      <c r="F156" s="7" t="n"/>
      <c r="G156" s="7" t="n"/>
    </row>
    <row r="157">
      <c r="D157" s="7" t="n"/>
      <c r="E157" s="7" t="n"/>
      <c r="F157" s="7" t="n"/>
      <c r="G157" s="7" t="n"/>
    </row>
    <row r="158">
      <c r="D158" s="7" t="n"/>
      <c r="E158" s="7" t="n"/>
      <c r="F158" s="7" t="n"/>
      <c r="G158" s="7" t="n"/>
    </row>
    <row r="159">
      <c r="D159" s="7" t="n"/>
      <c r="E159" s="7" t="n"/>
      <c r="F159" s="7" t="n"/>
      <c r="G159" s="7" t="n"/>
    </row>
    <row r="160">
      <c r="D160" s="7" t="n"/>
      <c r="E160" s="7" t="n"/>
      <c r="F160" s="7" t="n"/>
      <c r="G160" s="7" t="n"/>
    </row>
    <row r="161">
      <c r="D161" s="7" t="n"/>
      <c r="E161" s="7" t="n"/>
      <c r="F161" s="7" t="n"/>
      <c r="G161" s="7" t="n"/>
    </row>
    <row r="162">
      <c r="D162" s="7" t="n"/>
      <c r="E162" s="7" t="n"/>
      <c r="F162" s="7" t="n"/>
      <c r="G162" s="7" t="n"/>
    </row>
    <row r="163">
      <c r="D163" s="7" t="n"/>
      <c r="E163" s="7" t="n"/>
      <c r="F163" s="7" t="n"/>
      <c r="G163" s="7" t="n"/>
    </row>
    <row r="164">
      <c r="D164" s="7" t="n"/>
      <c r="E164" s="7" t="n"/>
      <c r="F164" s="7" t="n"/>
      <c r="G164" s="7" t="n"/>
    </row>
    <row r="165">
      <c r="D165" s="7" t="n"/>
      <c r="E165" s="7" t="n"/>
      <c r="F165" s="7" t="n"/>
      <c r="G165" s="7" t="n"/>
    </row>
    <row r="166">
      <c r="D166" s="7" t="n"/>
      <c r="E166" s="7" t="n"/>
      <c r="F166" s="7" t="n"/>
      <c r="G166" s="7" t="n"/>
    </row>
    <row r="167">
      <c r="D167" s="7" t="n"/>
      <c r="E167" s="7" t="n"/>
      <c r="F167" s="7" t="n"/>
      <c r="G167" s="7" t="n"/>
    </row>
    <row r="168">
      <c r="D168" s="7" t="n"/>
      <c r="E168" s="7" t="n"/>
      <c r="F168" s="7" t="n"/>
      <c r="G168" s="7" t="n"/>
    </row>
    <row r="169">
      <c r="D169" s="7" t="n"/>
      <c r="E169" s="7" t="n"/>
      <c r="F169" s="7" t="n"/>
      <c r="G169" s="7" t="n"/>
    </row>
    <row r="170">
      <c r="D170" s="7" t="n"/>
      <c r="E170" s="7" t="n"/>
      <c r="F170" s="7" t="n"/>
      <c r="G170" s="7" t="n"/>
    </row>
    <row r="171">
      <c r="D171" s="7" t="n"/>
      <c r="E171" s="7" t="n"/>
      <c r="F171" s="7" t="n"/>
      <c r="G171" s="7" t="n"/>
    </row>
    <row r="172">
      <c r="D172" s="7" t="n"/>
      <c r="E172" s="7" t="n"/>
      <c r="F172" s="7" t="n"/>
      <c r="G172" s="7" t="n"/>
    </row>
    <row r="173">
      <c r="D173" s="7" t="n"/>
      <c r="E173" s="7" t="n"/>
      <c r="F173" s="7" t="n"/>
      <c r="G173" s="7" t="n"/>
    </row>
    <row r="174">
      <c r="D174" s="7" t="n"/>
      <c r="E174" s="7" t="n"/>
      <c r="F174" s="7" t="n"/>
      <c r="G174" s="7" t="n"/>
    </row>
    <row r="175">
      <c r="D175" s="7" t="n"/>
      <c r="E175" s="7" t="n"/>
      <c r="F175" s="7" t="n"/>
      <c r="G175" s="7" t="n"/>
    </row>
    <row r="176">
      <c r="D176" s="7" t="n"/>
      <c r="E176" s="7" t="n"/>
      <c r="F176" s="7" t="n"/>
      <c r="G176" s="7" t="n"/>
    </row>
    <row r="177">
      <c r="D177" s="7" t="n"/>
      <c r="E177" s="7" t="n"/>
      <c r="F177" s="7" t="n"/>
      <c r="G177" s="7" t="n"/>
    </row>
    <row r="178">
      <c r="D178" s="7" t="n"/>
      <c r="E178" s="7" t="n"/>
      <c r="F178" s="7" t="n"/>
      <c r="G178" s="7" t="n"/>
    </row>
    <row r="179">
      <c r="D179" s="7" t="n"/>
      <c r="E179" s="7" t="n"/>
      <c r="F179" s="7" t="n"/>
      <c r="G179" s="7" t="n"/>
    </row>
    <row r="180">
      <c r="D180" s="7" t="n"/>
      <c r="E180" s="7" t="n"/>
      <c r="F180" s="7" t="n"/>
      <c r="G180" s="7" t="n"/>
    </row>
    <row r="181">
      <c r="D181" s="7" t="n"/>
      <c r="E181" s="7" t="n"/>
      <c r="F181" s="7" t="n"/>
      <c r="G181" s="7" t="n"/>
    </row>
    <row r="182">
      <c r="D182" s="7" t="n"/>
      <c r="E182" s="7" t="n"/>
      <c r="F182" s="7" t="n"/>
      <c r="G182" s="7" t="n"/>
    </row>
    <row r="183">
      <c r="D183" s="7" t="n"/>
      <c r="E183" s="7" t="n"/>
      <c r="F183" s="7" t="n"/>
      <c r="G183" s="7" t="n"/>
    </row>
    <row r="184">
      <c r="D184" s="7" t="n"/>
      <c r="E184" s="7" t="n"/>
      <c r="F184" s="7" t="n"/>
      <c r="G184" s="7" t="n"/>
    </row>
    <row r="185">
      <c r="D185" s="7" t="n"/>
      <c r="E185" s="7" t="n"/>
      <c r="F185" s="7" t="n"/>
      <c r="G185" s="7" t="n"/>
    </row>
    <row r="186">
      <c r="D186" s="7" t="n"/>
      <c r="E186" s="7" t="n"/>
      <c r="F186" s="7" t="n"/>
      <c r="G186" s="7" t="n"/>
    </row>
    <row r="187">
      <c r="D187" s="7" t="n"/>
      <c r="E187" s="7" t="n"/>
      <c r="F187" s="7" t="n"/>
      <c r="G187" s="7" t="n"/>
    </row>
    <row r="188">
      <c r="D188" s="7" t="n"/>
      <c r="E188" s="7" t="n"/>
      <c r="F188" s="7" t="n"/>
      <c r="G188" s="7" t="n"/>
    </row>
    <row r="189">
      <c r="D189" s="7" t="n"/>
      <c r="E189" s="7" t="n"/>
      <c r="F189" s="7" t="n"/>
      <c r="G189" s="7" t="n"/>
    </row>
    <row r="190">
      <c r="D190" s="7" t="n"/>
      <c r="E190" s="7" t="n"/>
      <c r="F190" s="7" t="n"/>
      <c r="G190" s="7" t="n"/>
    </row>
    <row r="191">
      <c r="D191" s="7" t="n"/>
      <c r="E191" s="7" t="n"/>
      <c r="F191" s="7" t="n"/>
      <c r="G191" s="7" t="n"/>
    </row>
    <row r="192">
      <c r="D192" s="7" t="n"/>
      <c r="E192" s="7" t="n"/>
      <c r="F192" s="7" t="n"/>
      <c r="G192" s="7" t="n"/>
    </row>
    <row r="193">
      <c r="D193" s="7" t="n"/>
      <c r="E193" s="7" t="n"/>
      <c r="F193" s="7" t="n"/>
      <c r="G193" s="7" t="n"/>
    </row>
    <row r="194">
      <c r="D194" s="7" t="n"/>
      <c r="E194" s="7" t="n"/>
      <c r="F194" s="7" t="n"/>
      <c r="G194" s="7" t="n"/>
    </row>
    <row r="195">
      <c r="D195" s="7" t="n"/>
      <c r="E195" s="7" t="n"/>
      <c r="F195" s="7" t="n"/>
      <c r="G195" s="7" t="n"/>
    </row>
    <row r="196">
      <c r="D196" s="7" t="n"/>
      <c r="E196" s="7" t="n"/>
      <c r="F196" s="7" t="n"/>
      <c r="G196" s="7" t="n"/>
    </row>
    <row r="197">
      <c r="D197" s="7" t="n"/>
      <c r="E197" s="7" t="n"/>
      <c r="F197" s="7" t="n"/>
      <c r="G197" s="7" t="n"/>
    </row>
    <row r="198">
      <c r="D198" s="7" t="n"/>
      <c r="E198" s="7" t="n"/>
      <c r="F198" s="7" t="n"/>
      <c r="G198" s="7" t="n"/>
    </row>
    <row r="199">
      <c r="D199" s="7" t="n"/>
      <c r="E199" s="7" t="n"/>
      <c r="F199" s="7" t="n"/>
      <c r="G199" s="7" t="n"/>
    </row>
    <row r="200">
      <c r="D200" s="7" t="n"/>
      <c r="E200" s="7" t="n"/>
      <c r="F200" s="7" t="n"/>
      <c r="G200" s="7" t="n"/>
    </row>
    <row r="201">
      <c r="D201" s="7" t="n"/>
      <c r="E201" s="7" t="n"/>
      <c r="F201" s="7" t="n"/>
      <c r="G201" s="7" t="n"/>
    </row>
    <row r="202">
      <c r="D202" s="7" t="n"/>
      <c r="E202" s="7" t="n"/>
      <c r="F202" s="7" t="n"/>
      <c r="G202" s="7" t="n"/>
    </row>
    <row r="203">
      <c r="D203" s="7" t="n"/>
      <c r="E203" s="7" t="n"/>
      <c r="F203" s="7" t="n"/>
      <c r="G203" s="7" t="n"/>
    </row>
    <row r="204">
      <c r="D204" s="7" t="n"/>
      <c r="E204" s="7" t="n"/>
      <c r="F204" s="7" t="n"/>
      <c r="G204" s="7" t="n"/>
    </row>
    <row r="205">
      <c r="D205" s="7" t="n"/>
      <c r="E205" s="7" t="n"/>
      <c r="F205" s="7" t="n"/>
      <c r="G205" s="7" t="n"/>
    </row>
    <row r="206">
      <c r="D206" s="7" t="n"/>
      <c r="E206" s="7" t="n"/>
      <c r="F206" s="7" t="n"/>
      <c r="G206" s="7" t="n"/>
    </row>
    <row r="207">
      <c r="D207" s="7" t="n"/>
      <c r="E207" s="7" t="n"/>
      <c r="F207" s="7" t="n"/>
      <c r="G207" s="7" t="n"/>
    </row>
    <row r="208">
      <c r="D208" s="7" t="n"/>
      <c r="E208" s="7" t="n"/>
      <c r="F208" s="7" t="n"/>
      <c r="G208" s="7" t="n"/>
    </row>
    <row r="209">
      <c r="D209" s="7" t="n"/>
      <c r="E209" s="7" t="n"/>
      <c r="F209" s="7" t="n"/>
      <c r="G209" s="7" t="n"/>
    </row>
    <row r="210">
      <c r="D210" s="7" t="n"/>
      <c r="E210" s="7" t="n"/>
      <c r="F210" s="7" t="n"/>
      <c r="G210" s="7" t="n"/>
    </row>
    <row r="211">
      <c r="D211" s="7" t="n"/>
      <c r="E211" s="7" t="n"/>
      <c r="F211" s="7" t="n"/>
      <c r="G211" s="7" t="n"/>
    </row>
    <row r="212">
      <c r="D212" s="7" t="n"/>
      <c r="E212" s="7" t="n"/>
      <c r="F212" s="7" t="n"/>
      <c r="G212" s="7" t="n"/>
    </row>
    <row r="213">
      <c r="D213" s="7" t="n"/>
      <c r="E213" s="7" t="n"/>
      <c r="F213" s="7" t="n"/>
      <c r="G213" s="7" t="n"/>
    </row>
    <row r="214">
      <c r="D214" s="7" t="n"/>
      <c r="E214" s="7" t="n"/>
      <c r="F214" s="7" t="n"/>
      <c r="G214" s="7" t="n"/>
    </row>
    <row r="215">
      <c r="D215" s="7" t="n"/>
      <c r="E215" s="7" t="n"/>
      <c r="F215" s="7" t="n"/>
      <c r="G215" s="7" t="n"/>
    </row>
    <row r="216">
      <c r="D216" s="7" t="n"/>
      <c r="E216" s="7" t="n"/>
      <c r="F216" s="7" t="n"/>
      <c r="G216" s="7" t="n"/>
    </row>
    <row r="217">
      <c r="D217" s="7" t="n"/>
      <c r="E217" s="7" t="n"/>
      <c r="F217" s="7" t="n"/>
      <c r="G217" s="7" t="n"/>
    </row>
    <row r="218">
      <c r="D218" s="7" t="n"/>
      <c r="E218" s="7" t="n"/>
      <c r="F218" s="7" t="n"/>
      <c r="G218" s="7" t="n"/>
    </row>
    <row r="219">
      <c r="D219" s="7" t="n"/>
      <c r="E219" s="7" t="n"/>
      <c r="F219" s="7" t="n"/>
      <c r="G219" s="7" t="n"/>
    </row>
    <row r="220">
      <c r="D220" s="7" t="n"/>
      <c r="E220" s="7" t="n"/>
      <c r="F220" s="7" t="n"/>
      <c r="G220" s="7" t="n"/>
    </row>
    <row r="221">
      <c r="D221" s="7" t="n"/>
      <c r="E221" s="7" t="n"/>
      <c r="F221" s="7" t="n"/>
      <c r="G221" s="7" t="n"/>
    </row>
    <row r="222">
      <c r="D222" s="7" t="n"/>
      <c r="E222" s="7" t="n"/>
      <c r="F222" s="7" t="n"/>
      <c r="G222" s="7" t="n"/>
    </row>
    <row r="223">
      <c r="D223" s="7" t="n"/>
      <c r="E223" s="7" t="n"/>
      <c r="F223" s="7" t="n"/>
      <c r="G223" s="7" t="n"/>
    </row>
    <row r="224">
      <c r="D224" s="7" t="n"/>
      <c r="E224" s="7" t="n"/>
      <c r="F224" s="7" t="n"/>
      <c r="G224" s="7" t="n"/>
    </row>
    <row r="225">
      <c r="D225" s="7" t="n"/>
      <c r="E225" s="7" t="n"/>
      <c r="F225" s="7" t="n"/>
      <c r="G225" s="7" t="n"/>
    </row>
    <row r="226">
      <c r="D226" s="7" t="n"/>
      <c r="E226" s="7" t="n"/>
      <c r="F226" s="7" t="n"/>
      <c r="G226" s="7" t="n"/>
    </row>
    <row r="227">
      <c r="D227" s="7" t="n"/>
      <c r="E227" s="7" t="n"/>
      <c r="F227" s="7" t="n"/>
      <c r="G227" s="7" t="n"/>
    </row>
    <row r="228">
      <c r="D228" s="7" t="n"/>
      <c r="E228" s="7" t="n"/>
      <c r="F228" s="7" t="n"/>
      <c r="G228" s="7" t="n"/>
    </row>
    <row r="229">
      <c r="D229" s="7" t="n"/>
      <c r="E229" s="7" t="n"/>
      <c r="F229" s="7" t="n"/>
      <c r="G229" s="7" t="n"/>
    </row>
    <row r="230">
      <c r="D230" s="7" t="n"/>
      <c r="E230" s="7" t="n"/>
      <c r="F230" s="7" t="n"/>
      <c r="G230" s="7" t="n"/>
    </row>
    <row r="231">
      <c r="D231" s="7" t="n"/>
      <c r="E231" s="7" t="n"/>
      <c r="F231" s="7" t="n"/>
      <c r="G231" s="7" t="n"/>
    </row>
    <row r="232">
      <c r="D232" s="7" t="n"/>
      <c r="E232" s="7" t="n"/>
      <c r="F232" s="7" t="n"/>
      <c r="G232" s="7" t="n"/>
    </row>
    <row r="233">
      <c r="D233" s="7" t="n"/>
      <c r="E233" s="7" t="n"/>
      <c r="F233" s="7" t="n"/>
      <c r="G233" s="7" t="n"/>
    </row>
    <row r="234">
      <c r="D234" s="7" t="n"/>
      <c r="E234" s="7" t="n"/>
      <c r="F234" s="7" t="n"/>
      <c r="G234" s="7" t="n"/>
    </row>
    <row r="235">
      <c r="D235" s="7" t="n"/>
      <c r="E235" s="7" t="n"/>
      <c r="F235" s="7" t="n"/>
      <c r="G235" s="7" t="n"/>
    </row>
    <row r="236">
      <c r="D236" s="7" t="n"/>
      <c r="E236" s="7" t="n"/>
      <c r="F236" s="7" t="n"/>
      <c r="G236" s="7" t="n"/>
    </row>
    <row r="237">
      <c r="D237" s="7" t="n"/>
      <c r="E237" s="7" t="n"/>
      <c r="F237" s="7" t="n"/>
      <c r="G237" s="7" t="n"/>
    </row>
    <row r="238">
      <c r="D238" s="7" t="n"/>
      <c r="E238" s="7" t="n"/>
      <c r="F238" s="7" t="n"/>
      <c r="G238" s="7" t="n"/>
    </row>
    <row r="239">
      <c r="D239" s="7" t="n"/>
      <c r="E239" s="7" t="n"/>
      <c r="F239" s="7" t="n"/>
      <c r="G239" s="7" t="n"/>
    </row>
    <row r="240">
      <c r="D240" s="7" t="n"/>
      <c r="E240" s="7" t="n"/>
      <c r="F240" s="7" t="n"/>
      <c r="G240" s="7" t="n"/>
    </row>
    <row r="241">
      <c r="D241" s="7" t="n"/>
      <c r="E241" s="7" t="n"/>
      <c r="F241" s="7" t="n"/>
      <c r="G241" s="7" t="n"/>
    </row>
    <row r="242">
      <c r="D242" s="7" t="n"/>
      <c r="E242" s="7" t="n"/>
      <c r="F242" s="7" t="n"/>
      <c r="G242" s="7" t="n"/>
    </row>
    <row r="243">
      <c r="D243" s="7" t="n"/>
      <c r="E243" s="7" t="n"/>
      <c r="F243" s="7" t="n"/>
      <c r="G243" s="7" t="n"/>
    </row>
    <row r="244">
      <c r="D244" s="7" t="n"/>
      <c r="E244" s="7" t="n"/>
      <c r="F244" s="7" t="n"/>
      <c r="G244" s="7" t="n"/>
    </row>
    <row r="245">
      <c r="D245" s="7" t="n"/>
      <c r="E245" s="7" t="n"/>
      <c r="F245" s="7" t="n"/>
      <c r="G245" s="7" t="n"/>
    </row>
    <row r="246">
      <c r="D246" s="7" t="n"/>
      <c r="E246" s="7" t="n"/>
      <c r="F246" s="7" t="n"/>
      <c r="G246" s="7" t="n"/>
    </row>
    <row r="247">
      <c r="D247" s="7" t="n"/>
      <c r="E247" s="7" t="n"/>
      <c r="F247" s="7" t="n"/>
      <c r="G247" s="7" t="n"/>
    </row>
    <row r="248">
      <c r="D248" s="7" t="n"/>
      <c r="E248" s="7" t="n"/>
      <c r="F248" s="7" t="n"/>
      <c r="G248" s="7" t="n"/>
    </row>
    <row r="249">
      <c r="D249" s="7" t="n"/>
      <c r="E249" s="7" t="n"/>
      <c r="F249" s="7" t="n"/>
      <c r="G249" s="7" t="n"/>
    </row>
    <row r="250">
      <c r="D250" s="7" t="n"/>
      <c r="E250" s="7" t="n"/>
      <c r="F250" s="7" t="n"/>
      <c r="G250" s="7" t="n"/>
    </row>
    <row r="251">
      <c r="D251" s="7" t="n"/>
      <c r="E251" s="7" t="n"/>
      <c r="F251" s="7" t="n"/>
      <c r="G251" s="7" t="n"/>
    </row>
    <row r="252">
      <c r="D252" s="7" t="n"/>
      <c r="E252" s="7" t="n"/>
      <c r="F252" s="7" t="n"/>
      <c r="G252" s="7" t="n"/>
    </row>
    <row r="253">
      <c r="D253" s="7" t="n"/>
      <c r="E253" s="7" t="n"/>
      <c r="F253" s="7" t="n"/>
      <c r="G253" s="7" t="n"/>
    </row>
    <row r="254">
      <c r="D254" s="7" t="n"/>
      <c r="E254" s="7" t="n"/>
      <c r="F254" s="7" t="n"/>
      <c r="G254" s="7" t="n"/>
    </row>
    <row r="255">
      <c r="D255" s="7" t="n"/>
      <c r="E255" s="7" t="n"/>
      <c r="F255" s="7" t="n"/>
      <c r="G255" s="7" t="n"/>
    </row>
    <row r="256">
      <c r="D256" s="7" t="n"/>
      <c r="E256" s="7" t="n"/>
      <c r="F256" s="7" t="n"/>
      <c r="G256" s="7" t="n"/>
    </row>
    <row r="257">
      <c r="D257" s="7" t="n"/>
      <c r="E257" s="7" t="n"/>
      <c r="F257" s="7" t="n"/>
      <c r="G257" s="7" t="n"/>
    </row>
    <row r="258">
      <c r="D258" s="7" t="n"/>
      <c r="E258" s="7" t="n"/>
      <c r="F258" s="7" t="n"/>
      <c r="G258" s="7" t="n"/>
    </row>
    <row r="259">
      <c r="D259" s="7" t="n"/>
      <c r="E259" s="7" t="n"/>
      <c r="F259" s="7" t="n"/>
      <c r="G259" s="7" t="n"/>
    </row>
    <row r="260">
      <c r="D260" s="7" t="n"/>
      <c r="E260" s="7" t="n"/>
      <c r="F260" s="7" t="n"/>
      <c r="G260" s="7" t="n"/>
    </row>
    <row r="261">
      <c r="D261" s="7" t="n"/>
      <c r="E261" s="7" t="n"/>
      <c r="F261" s="7" t="n"/>
      <c r="G261" s="7" t="n"/>
    </row>
    <row r="262">
      <c r="D262" s="7" t="n"/>
      <c r="E262" s="7" t="n"/>
      <c r="F262" s="7" t="n"/>
      <c r="G262" s="7" t="n"/>
    </row>
    <row r="263">
      <c r="D263" s="7" t="n"/>
      <c r="E263" s="7" t="n"/>
      <c r="F263" s="7" t="n"/>
      <c r="G263" s="7" t="n"/>
    </row>
    <row r="264">
      <c r="D264" s="7" t="n"/>
      <c r="E264" s="7" t="n"/>
      <c r="F264" s="7" t="n"/>
      <c r="G264" s="7" t="n"/>
    </row>
    <row r="265">
      <c r="D265" s="7" t="n"/>
      <c r="E265" s="7" t="n"/>
      <c r="F265" s="7" t="n"/>
      <c r="G265" s="7" t="n"/>
    </row>
    <row r="266">
      <c r="D266" s="7" t="n"/>
      <c r="E266" s="7" t="n"/>
      <c r="F266" s="7" t="n"/>
      <c r="G266" s="7" t="n"/>
    </row>
    <row r="267">
      <c r="D267" s="7" t="n"/>
      <c r="E267" s="7" t="n"/>
      <c r="F267" s="7" t="n"/>
      <c r="G267" s="7" t="n"/>
    </row>
    <row r="268">
      <c r="D268" s="7" t="n"/>
      <c r="E268" s="7" t="n"/>
      <c r="F268" s="7" t="n"/>
      <c r="G268" s="7" t="n"/>
    </row>
    <row r="269">
      <c r="D269" s="7" t="n"/>
      <c r="E269" s="7" t="n"/>
      <c r="F269" s="7" t="n"/>
      <c r="G269" s="7" t="n"/>
    </row>
    <row r="270">
      <c r="D270" s="7" t="n"/>
      <c r="E270" s="7" t="n"/>
      <c r="F270" s="7" t="n"/>
      <c r="G270" s="7" t="n"/>
    </row>
    <row r="271">
      <c r="D271" s="7" t="n"/>
      <c r="E271" s="7" t="n"/>
      <c r="F271" s="7" t="n"/>
      <c r="G271" s="7" t="n"/>
    </row>
    <row r="272">
      <c r="D272" s="7" t="n"/>
      <c r="E272" s="7" t="n"/>
      <c r="F272" s="7" t="n"/>
      <c r="G272" s="7" t="n"/>
    </row>
    <row r="273">
      <c r="D273" s="7" t="n"/>
      <c r="E273" s="7" t="n"/>
      <c r="F273" s="7" t="n"/>
      <c r="G273" s="7" t="n"/>
    </row>
    <row r="274">
      <c r="D274" s="7" t="n"/>
      <c r="E274" s="7" t="n"/>
      <c r="F274" s="7" t="n"/>
      <c r="G274" s="7" t="n"/>
    </row>
    <row r="275">
      <c r="D275" s="7" t="n"/>
      <c r="E275" s="7" t="n"/>
      <c r="F275" s="7" t="n"/>
      <c r="G275" s="7" t="n"/>
    </row>
    <row r="276">
      <c r="D276" s="7" t="n"/>
      <c r="E276" s="7" t="n"/>
      <c r="F276" s="7" t="n"/>
      <c r="G276" s="7" t="n"/>
    </row>
    <row r="277">
      <c r="D277" s="7" t="n"/>
      <c r="E277" s="7" t="n"/>
      <c r="F277" s="7" t="n"/>
      <c r="G277" s="7" t="n"/>
    </row>
    <row r="278">
      <c r="D278" s="7" t="n"/>
      <c r="E278" s="7" t="n"/>
      <c r="F278" s="7" t="n"/>
      <c r="G278" s="7" t="n"/>
    </row>
    <row r="279">
      <c r="D279" s="7" t="n"/>
      <c r="E279" s="7" t="n"/>
      <c r="F279" s="7" t="n"/>
      <c r="G279" s="7" t="n"/>
    </row>
    <row r="280">
      <c r="D280" s="7" t="n"/>
      <c r="E280" s="7" t="n"/>
      <c r="F280" s="7" t="n"/>
      <c r="G280" s="7" t="n"/>
    </row>
    <row r="281">
      <c r="D281" s="7" t="n"/>
      <c r="E281" s="7" t="n"/>
      <c r="F281" s="7" t="n"/>
      <c r="G281" s="7" t="n"/>
    </row>
    <row r="282">
      <c r="D282" s="7" t="n"/>
      <c r="E282" s="7" t="n"/>
      <c r="F282" s="7" t="n"/>
      <c r="G282" s="7" t="n"/>
    </row>
    <row r="283">
      <c r="D283" s="7" t="n"/>
      <c r="E283" s="7" t="n"/>
      <c r="F283" s="7" t="n"/>
      <c r="G283" s="7" t="n"/>
    </row>
    <row r="284">
      <c r="D284" s="7" t="n"/>
      <c r="E284" s="7" t="n"/>
      <c r="F284" s="7" t="n"/>
      <c r="G284" s="7" t="n"/>
    </row>
    <row r="285">
      <c r="D285" s="7" t="n"/>
      <c r="E285" s="7" t="n"/>
      <c r="F285" s="7" t="n"/>
      <c r="G285" s="7" t="n"/>
    </row>
    <row r="286">
      <c r="D286" s="7" t="n"/>
      <c r="E286" s="7" t="n"/>
      <c r="F286" s="7" t="n"/>
      <c r="G286" s="7" t="n"/>
    </row>
    <row r="287">
      <c r="D287" s="7" t="n"/>
      <c r="E287" s="7" t="n"/>
      <c r="F287" s="7" t="n"/>
      <c r="G287" s="7" t="n"/>
    </row>
    <row r="288">
      <c r="D288" s="7" t="n"/>
      <c r="E288" s="7" t="n"/>
      <c r="F288" s="7" t="n"/>
      <c r="G288" s="7" t="n"/>
    </row>
    <row r="289">
      <c r="D289" s="7" t="n"/>
      <c r="E289" s="7" t="n"/>
      <c r="F289" s="7" t="n"/>
      <c r="G289" s="7" t="n"/>
    </row>
    <row r="290">
      <c r="D290" s="7" t="n"/>
      <c r="E290" s="7" t="n"/>
      <c r="F290" s="7" t="n"/>
      <c r="G290" s="7" t="n"/>
    </row>
    <row r="291">
      <c r="D291" s="7" t="n"/>
      <c r="E291" s="7" t="n"/>
      <c r="F291" s="7" t="n"/>
      <c r="G291" s="7" t="n"/>
    </row>
    <row r="292">
      <c r="D292" s="7" t="n"/>
      <c r="E292" s="7" t="n"/>
      <c r="F292" s="7" t="n"/>
      <c r="G292" s="7" t="n"/>
    </row>
    <row r="293">
      <c r="D293" s="7" t="n"/>
      <c r="E293" s="7" t="n"/>
      <c r="F293" s="7" t="n"/>
      <c r="G293" s="7" t="n"/>
    </row>
    <row r="294">
      <c r="D294" s="7" t="n"/>
      <c r="E294" s="7" t="n"/>
      <c r="F294" s="7" t="n"/>
      <c r="G294" s="7" t="n"/>
    </row>
    <row r="295">
      <c r="D295" s="7" t="n"/>
      <c r="E295" s="7" t="n"/>
      <c r="F295" s="7" t="n"/>
      <c r="G295" s="7" t="n"/>
    </row>
    <row r="296">
      <c r="D296" s="7" t="n"/>
      <c r="E296" s="7" t="n"/>
      <c r="F296" s="7" t="n"/>
      <c r="G296" s="7" t="n"/>
    </row>
    <row r="297">
      <c r="D297" s="7" t="n"/>
      <c r="E297" s="7" t="n"/>
      <c r="F297" s="7" t="n"/>
      <c r="G297" s="7" t="n"/>
    </row>
    <row r="298">
      <c r="D298" s="7" t="n"/>
      <c r="E298" s="7" t="n"/>
      <c r="F298" s="7" t="n"/>
      <c r="G298" s="7" t="n"/>
    </row>
    <row r="299">
      <c r="D299" s="7" t="n"/>
      <c r="E299" s="7" t="n"/>
      <c r="F299" s="7" t="n"/>
      <c r="G299" s="7" t="n"/>
    </row>
    <row r="300">
      <c r="D300" s="7" t="n"/>
      <c r="E300" s="7" t="n"/>
      <c r="F300" s="7" t="n"/>
      <c r="G300" s="7" t="n"/>
    </row>
    <row r="301">
      <c r="D301" s="7" t="n"/>
      <c r="E301" s="7" t="n"/>
      <c r="F301" s="7" t="n"/>
      <c r="G301" s="7" t="n"/>
    </row>
    <row r="302">
      <c r="D302" s="7" t="n"/>
      <c r="E302" s="7" t="n"/>
      <c r="F302" s="7" t="n"/>
      <c r="G302" s="7" t="n"/>
    </row>
    <row r="303">
      <c r="D303" s="7" t="n"/>
      <c r="E303" s="7" t="n"/>
      <c r="F303" s="7" t="n"/>
      <c r="G303" s="7" t="n"/>
    </row>
    <row r="304">
      <c r="D304" s="7" t="n"/>
      <c r="E304" s="7" t="n"/>
      <c r="F304" s="7" t="n"/>
      <c r="G304" s="7" t="n"/>
    </row>
    <row r="305">
      <c r="D305" s="7" t="n"/>
      <c r="E305" s="7" t="n"/>
      <c r="F305" s="7" t="n"/>
      <c r="G305" s="7" t="n"/>
    </row>
    <row r="306">
      <c r="D306" s="7" t="n"/>
      <c r="E306" s="7" t="n"/>
      <c r="F306" s="7" t="n"/>
      <c r="G306" s="7" t="n"/>
    </row>
    <row r="307">
      <c r="D307" s="7" t="n"/>
      <c r="E307" s="7" t="n"/>
      <c r="F307" s="7" t="n"/>
      <c r="G307" s="7" t="n"/>
    </row>
    <row r="308">
      <c r="D308" s="7" t="n"/>
      <c r="E308" s="7" t="n"/>
      <c r="F308" s="7" t="n"/>
      <c r="G308" s="7" t="n"/>
    </row>
    <row r="309">
      <c r="D309" s="7" t="n"/>
      <c r="E309" s="7" t="n"/>
      <c r="F309" s="7" t="n"/>
      <c r="G309" s="7" t="n"/>
    </row>
    <row r="310">
      <c r="D310" s="7" t="n"/>
      <c r="E310" s="7" t="n"/>
      <c r="F310" s="7" t="n"/>
      <c r="G310" s="7" t="n"/>
    </row>
    <row r="311">
      <c r="D311" s="7" t="n"/>
      <c r="E311" s="7" t="n"/>
      <c r="F311" s="7" t="n"/>
      <c r="G311" s="7" t="n"/>
    </row>
    <row r="312">
      <c r="D312" s="7" t="n"/>
      <c r="E312" s="7" t="n"/>
      <c r="F312" s="7" t="n"/>
      <c r="G312" s="7" t="n"/>
    </row>
    <row r="313">
      <c r="D313" s="7" t="n"/>
      <c r="E313" s="7" t="n"/>
      <c r="F313" s="7" t="n"/>
      <c r="G313" s="7" t="n"/>
    </row>
    <row r="314">
      <c r="D314" s="7" t="n"/>
      <c r="E314" s="7" t="n"/>
      <c r="F314" s="7" t="n"/>
      <c r="G314" s="7" t="n"/>
    </row>
    <row r="315">
      <c r="D315" s="7" t="n"/>
      <c r="E315" s="7" t="n"/>
      <c r="F315" s="7" t="n"/>
      <c r="G315" s="7" t="n"/>
    </row>
    <row r="316">
      <c r="D316" s="7" t="n"/>
      <c r="E316" s="7" t="n"/>
      <c r="F316" s="7" t="n"/>
      <c r="G316" s="7" t="n"/>
    </row>
    <row r="317">
      <c r="D317" s="7" t="n"/>
      <c r="E317" s="7" t="n"/>
      <c r="F317" s="7" t="n"/>
      <c r="G317" s="7" t="n"/>
    </row>
    <row r="318">
      <c r="D318" s="7" t="n"/>
      <c r="E318" s="7" t="n"/>
      <c r="F318" s="7" t="n"/>
      <c r="G318" s="7" t="n"/>
    </row>
    <row r="319">
      <c r="D319" s="7" t="n"/>
      <c r="E319" s="7" t="n"/>
      <c r="F319" s="7" t="n"/>
      <c r="G319" s="7" t="n"/>
    </row>
    <row r="320">
      <c r="D320" s="7" t="n"/>
      <c r="E320" s="7" t="n"/>
      <c r="F320" s="7" t="n"/>
      <c r="G320" s="7" t="n"/>
    </row>
    <row r="321">
      <c r="D321" s="7" t="n"/>
      <c r="E321" s="7" t="n"/>
      <c r="F321" s="7" t="n"/>
      <c r="G321" s="7" t="n"/>
    </row>
    <row r="322">
      <c r="D322" s="7" t="n"/>
      <c r="E322" s="7" t="n"/>
      <c r="F322" s="7" t="n"/>
      <c r="G322" s="7" t="n"/>
    </row>
    <row r="323">
      <c r="D323" s="7" t="n"/>
      <c r="E323" s="7" t="n"/>
      <c r="F323" s="7" t="n"/>
      <c r="G323" s="7" t="n"/>
    </row>
    <row r="324">
      <c r="D324" s="7" t="n"/>
      <c r="E324" s="7" t="n"/>
      <c r="F324" s="7" t="n"/>
      <c r="G324" s="7" t="n"/>
    </row>
    <row r="325">
      <c r="D325" s="7" t="n"/>
      <c r="E325" s="7" t="n"/>
      <c r="F325" s="7" t="n"/>
      <c r="G325" s="7" t="n"/>
    </row>
    <row r="326">
      <c r="D326" s="7" t="n"/>
      <c r="E326" s="7" t="n"/>
      <c r="F326" s="7" t="n"/>
      <c r="G326" s="7" t="n"/>
    </row>
    <row r="327">
      <c r="D327" s="7" t="n"/>
      <c r="E327" s="7" t="n"/>
      <c r="F327" s="7" t="n"/>
      <c r="G327" s="7" t="n"/>
    </row>
    <row r="328">
      <c r="D328" s="7" t="n"/>
      <c r="E328" s="7" t="n"/>
      <c r="F328" s="7" t="n"/>
      <c r="G328" s="7" t="n"/>
    </row>
    <row r="329">
      <c r="D329" s="7" t="n"/>
      <c r="E329" s="7" t="n"/>
      <c r="F329" s="7" t="n"/>
      <c r="G329" s="7" t="n"/>
    </row>
    <row r="330">
      <c r="D330" s="7" t="n"/>
      <c r="E330" s="7" t="n"/>
      <c r="F330" s="7" t="n"/>
      <c r="G330" s="7" t="n"/>
    </row>
    <row r="331">
      <c r="D331" s="7" t="n"/>
      <c r="E331" s="7" t="n"/>
      <c r="F331" s="7" t="n"/>
      <c r="G331" s="7" t="n"/>
    </row>
    <row r="332">
      <c r="D332" s="7" t="n"/>
      <c r="E332" s="7" t="n"/>
      <c r="F332" s="7" t="n"/>
      <c r="G332" s="7" t="n"/>
    </row>
    <row r="333">
      <c r="D333" s="7" t="n"/>
      <c r="E333" s="7" t="n"/>
      <c r="F333" s="7" t="n"/>
      <c r="G333" s="7" t="n"/>
    </row>
    <row r="334">
      <c r="D334" s="7" t="n"/>
      <c r="E334" s="7" t="n"/>
      <c r="F334" s="7" t="n"/>
      <c r="G334" s="7" t="n"/>
    </row>
    <row r="335">
      <c r="D335" s="7" t="n"/>
      <c r="E335" s="7" t="n"/>
      <c r="F335" s="7" t="n"/>
      <c r="G335" s="7" t="n"/>
    </row>
    <row r="336">
      <c r="D336" s="7" t="n"/>
      <c r="E336" s="7" t="n"/>
      <c r="F336" s="7" t="n"/>
      <c r="G336" s="7" t="n"/>
    </row>
    <row r="337">
      <c r="D337" s="7" t="n"/>
      <c r="E337" s="7" t="n"/>
      <c r="F337" s="7" t="n"/>
      <c r="G337" s="7" t="n"/>
    </row>
    <row r="338">
      <c r="D338" s="7" t="n"/>
      <c r="E338" s="7" t="n"/>
      <c r="F338" s="7" t="n"/>
      <c r="G338" s="7" t="n"/>
    </row>
    <row r="339">
      <c r="D339" s="7" t="n"/>
      <c r="E339" s="7" t="n"/>
      <c r="F339" s="7" t="n"/>
      <c r="G339" s="7" t="n"/>
    </row>
    <row r="340">
      <c r="D340" s="7" t="n"/>
      <c r="E340" s="7" t="n"/>
      <c r="F340" s="7" t="n"/>
      <c r="G340" s="7" t="n"/>
    </row>
    <row r="341">
      <c r="D341" s="7" t="n"/>
      <c r="E341" s="7" t="n"/>
      <c r="F341" s="7" t="n"/>
      <c r="G341" s="7" t="n"/>
    </row>
    <row r="342">
      <c r="D342" s="7" t="n"/>
      <c r="E342" s="7" t="n"/>
      <c r="F342" s="7" t="n"/>
      <c r="G342" s="7" t="n"/>
    </row>
    <row r="343">
      <c r="D343" s="7" t="n"/>
      <c r="E343" s="7" t="n"/>
      <c r="F343" s="7" t="n"/>
      <c r="G343" s="7" t="n"/>
    </row>
    <row r="344">
      <c r="D344" s="7" t="n"/>
      <c r="E344" s="7" t="n"/>
      <c r="F344" s="7" t="n"/>
      <c r="G344" s="7" t="n"/>
    </row>
    <row r="345">
      <c r="D345" s="7" t="n"/>
      <c r="E345" s="7" t="n"/>
      <c r="F345" s="7" t="n"/>
      <c r="G345" s="7" t="n"/>
    </row>
    <row r="346">
      <c r="D346" s="7" t="n"/>
      <c r="E346" s="7" t="n"/>
      <c r="F346" s="7" t="n"/>
      <c r="G346" s="7" t="n"/>
    </row>
    <row r="347">
      <c r="D347" s="7" t="n"/>
      <c r="E347" s="7" t="n"/>
      <c r="F347" s="7" t="n"/>
      <c r="G347" s="7" t="n"/>
    </row>
    <row r="348">
      <c r="D348" s="7" t="n"/>
      <c r="E348" s="7" t="n"/>
      <c r="F348" s="7" t="n"/>
      <c r="G348" s="7" t="n"/>
    </row>
    <row r="349">
      <c r="D349" s="7" t="n"/>
      <c r="E349" s="7" t="n"/>
      <c r="F349" s="7" t="n"/>
      <c r="G349" s="7" t="n"/>
    </row>
    <row r="350">
      <c r="D350" s="7" t="n"/>
      <c r="E350" s="7" t="n"/>
      <c r="F350" s="7" t="n"/>
      <c r="G350" s="7" t="n"/>
    </row>
    <row r="351">
      <c r="D351" s="7" t="n"/>
      <c r="E351" s="7" t="n"/>
      <c r="F351" s="7" t="n"/>
      <c r="G351" s="7" t="n"/>
    </row>
    <row r="352">
      <c r="D352" s="7" t="n"/>
      <c r="E352" s="7" t="n"/>
      <c r="F352" s="7" t="n"/>
      <c r="G352" s="7" t="n"/>
    </row>
    <row r="353">
      <c r="D353" s="7" t="n"/>
      <c r="E353" s="7" t="n"/>
      <c r="F353" s="7" t="n"/>
      <c r="G353" s="7" t="n"/>
    </row>
    <row r="354">
      <c r="D354" s="7" t="n"/>
      <c r="E354" s="7" t="n"/>
      <c r="F354" s="7" t="n"/>
      <c r="G354" s="7" t="n"/>
    </row>
    <row r="355">
      <c r="D355" s="7" t="n"/>
      <c r="E355" s="7" t="n"/>
      <c r="F355" s="7" t="n"/>
      <c r="G355" s="7" t="n"/>
    </row>
    <row r="356">
      <c r="D356" s="7" t="n"/>
      <c r="E356" s="7" t="n"/>
      <c r="F356" s="7" t="n"/>
      <c r="G356" s="7" t="n"/>
    </row>
    <row r="357">
      <c r="D357" s="7" t="n"/>
      <c r="E357" s="7" t="n"/>
      <c r="F357" s="7" t="n"/>
      <c r="G357" s="7" t="n"/>
    </row>
    <row r="358">
      <c r="D358" s="7" t="n"/>
      <c r="E358" s="7" t="n"/>
      <c r="F358" s="7" t="n"/>
      <c r="G358" s="7" t="n"/>
    </row>
    <row r="359">
      <c r="D359" s="7" t="n"/>
      <c r="E359" s="7" t="n"/>
      <c r="F359" s="7" t="n"/>
      <c r="G359" s="7" t="n"/>
    </row>
    <row r="360">
      <c r="D360" s="7" t="n"/>
      <c r="E360" s="7" t="n"/>
      <c r="F360" s="7" t="n"/>
      <c r="G360" s="7" t="n"/>
    </row>
    <row r="361">
      <c r="D361" s="7" t="n"/>
      <c r="E361" s="7" t="n"/>
      <c r="F361" s="7" t="n"/>
      <c r="G361" s="7" t="n"/>
    </row>
    <row r="362">
      <c r="D362" s="7" t="n"/>
      <c r="E362" s="7" t="n"/>
      <c r="F362" s="7" t="n"/>
      <c r="G362" s="7" t="n"/>
    </row>
    <row r="363">
      <c r="D363" s="7" t="n"/>
      <c r="E363" s="7" t="n"/>
      <c r="F363" s="7" t="n"/>
      <c r="G363" s="7" t="n"/>
    </row>
    <row r="364">
      <c r="D364" s="7" t="n"/>
      <c r="E364" s="7" t="n"/>
      <c r="F364" s="7" t="n"/>
      <c r="G364" s="7" t="n"/>
    </row>
    <row r="365">
      <c r="D365" s="7" t="n"/>
      <c r="E365" s="7" t="n"/>
      <c r="F365" s="7" t="n"/>
      <c r="G365" s="7" t="n"/>
    </row>
    <row r="366">
      <c r="D366" s="7" t="n"/>
      <c r="E366" s="7" t="n"/>
      <c r="F366" s="7" t="n"/>
      <c r="G366" s="7" t="n"/>
    </row>
    <row r="367">
      <c r="D367" s="7" t="n"/>
      <c r="E367" s="7" t="n"/>
      <c r="F367" s="7" t="n"/>
      <c r="G367" s="7" t="n"/>
    </row>
    <row r="368">
      <c r="D368" s="7" t="n"/>
      <c r="E368" s="7" t="n"/>
      <c r="F368" s="7" t="n"/>
      <c r="G368" s="7" t="n"/>
    </row>
    <row r="369">
      <c r="D369" s="7" t="n"/>
      <c r="E369" s="7" t="n"/>
      <c r="F369" s="7" t="n"/>
      <c r="G369" s="7" t="n"/>
    </row>
    <row r="370">
      <c r="D370" s="7" t="n"/>
      <c r="E370" s="7" t="n"/>
      <c r="F370" s="7" t="n"/>
      <c r="G370" s="7" t="n"/>
    </row>
    <row r="371">
      <c r="D371" s="7" t="n"/>
      <c r="E371" s="7" t="n"/>
      <c r="F371" s="7" t="n"/>
      <c r="G371" s="7" t="n"/>
    </row>
    <row r="372">
      <c r="D372" s="7" t="n"/>
      <c r="E372" s="7" t="n"/>
      <c r="F372" s="7" t="n"/>
      <c r="G372" s="7" t="n"/>
    </row>
    <row r="373">
      <c r="D373" s="7" t="n"/>
      <c r="E373" s="7" t="n"/>
      <c r="F373" s="7" t="n"/>
      <c r="G373" s="7" t="n"/>
    </row>
    <row r="374">
      <c r="D374" s="7" t="n"/>
      <c r="E374" s="7" t="n"/>
      <c r="F374" s="7" t="n"/>
      <c r="G374" s="7" t="n"/>
    </row>
    <row r="375">
      <c r="D375" s="7" t="n"/>
      <c r="E375" s="7" t="n"/>
      <c r="F375" s="7" t="n"/>
      <c r="G375" s="7" t="n"/>
    </row>
    <row r="376">
      <c r="D376" s="7" t="n"/>
      <c r="E376" s="7" t="n"/>
      <c r="F376" s="7" t="n"/>
      <c r="G376" s="7" t="n"/>
    </row>
    <row r="377">
      <c r="D377" s="7" t="n"/>
      <c r="E377" s="7" t="n"/>
      <c r="F377" s="7" t="n"/>
      <c r="G377" s="7" t="n"/>
    </row>
    <row r="378">
      <c r="D378" s="7" t="n"/>
      <c r="E378" s="7" t="n"/>
      <c r="F378" s="7" t="n"/>
      <c r="G378" s="7" t="n"/>
    </row>
    <row r="379">
      <c r="D379" s="7" t="n"/>
      <c r="E379" s="7" t="n"/>
      <c r="F379" s="7" t="n"/>
      <c r="G379" s="7" t="n"/>
    </row>
    <row r="380">
      <c r="D380" s="7" t="n"/>
      <c r="E380" s="7" t="n"/>
      <c r="F380" s="7" t="n"/>
      <c r="G380" s="7" t="n"/>
    </row>
    <row r="381">
      <c r="D381" s="7" t="n"/>
      <c r="E381" s="7" t="n"/>
      <c r="F381" s="7" t="n"/>
      <c r="G381" s="7" t="n"/>
    </row>
    <row r="382">
      <c r="D382" s="7" t="n"/>
      <c r="E382" s="7" t="n"/>
      <c r="F382" s="7" t="n"/>
      <c r="G382" s="7" t="n"/>
    </row>
    <row r="383">
      <c r="D383" s="7" t="n"/>
      <c r="E383" s="7" t="n"/>
      <c r="F383" s="7" t="n"/>
      <c r="G383" s="7" t="n"/>
    </row>
    <row r="384">
      <c r="D384" s="7" t="n"/>
      <c r="E384" s="7" t="n"/>
      <c r="F384" s="7" t="n"/>
      <c r="G384" s="7" t="n"/>
    </row>
    <row r="385">
      <c r="D385" s="7" t="n"/>
      <c r="E385" s="7" t="n"/>
      <c r="F385" s="7" t="n"/>
      <c r="G385" s="7" t="n"/>
    </row>
    <row r="386">
      <c r="D386" s="7" t="n"/>
      <c r="E386" s="7" t="n"/>
      <c r="F386" s="7" t="n"/>
      <c r="G386" s="7" t="n"/>
    </row>
    <row r="387">
      <c r="D387" s="7" t="n"/>
      <c r="E387" s="7" t="n"/>
      <c r="F387" s="7" t="n"/>
      <c r="G387" s="7" t="n"/>
    </row>
    <row r="388">
      <c r="D388" s="7" t="n"/>
      <c r="E388" s="7" t="n"/>
      <c r="F388" s="7" t="n"/>
      <c r="G388" s="7" t="n"/>
    </row>
    <row r="389">
      <c r="D389" s="7" t="n"/>
      <c r="E389" s="7" t="n"/>
      <c r="F389" s="7" t="n"/>
      <c r="G389" s="7" t="n"/>
    </row>
    <row r="390">
      <c r="D390" s="7" t="n"/>
      <c r="E390" s="7" t="n"/>
      <c r="F390" s="7" t="n"/>
      <c r="G390" s="7" t="n"/>
    </row>
    <row r="391">
      <c r="D391" s="7" t="n"/>
      <c r="E391" s="7" t="n"/>
      <c r="F391" s="7" t="n"/>
      <c r="G391" s="7" t="n"/>
    </row>
    <row r="392">
      <c r="D392" s="7" t="n"/>
      <c r="E392" s="7" t="n"/>
      <c r="F392" s="7" t="n"/>
      <c r="G392" s="7" t="n"/>
    </row>
    <row r="393">
      <c r="D393" s="7" t="n"/>
      <c r="E393" s="7" t="n"/>
      <c r="F393" s="7" t="n"/>
      <c r="G393" s="7" t="n"/>
    </row>
    <row r="394">
      <c r="D394" s="7" t="n"/>
      <c r="E394" s="7" t="n"/>
      <c r="F394" s="7" t="n"/>
      <c r="G394" s="7" t="n"/>
    </row>
    <row r="395">
      <c r="D395" s="7" t="n"/>
      <c r="E395" s="7" t="n"/>
      <c r="F395" s="7" t="n"/>
      <c r="G395" s="7" t="n"/>
    </row>
    <row r="396">
      <c r="D396" s="7" t="n"/>
      <c r="E396" s="7" t="n"/>
      <c r="F396" s="7" t="n"/>
      <c r="G396" s="7" t="n"/>
    </row>
    <row r="397">
      <c r="D397" s="7" t="n"/>
      <c r="E397" s="7" t="n"/>
      <c r="F397" s="7" t="n"/>
      <c r="G397" s="7" t="n"/>
    </row>
    <row r="398">
      <c r="D398" s="7" t="n"/>
      <c r="E398" s="7" t="n"/>
      <c r="F398" s="7" t="n"/>
      <c r="G398" s="7" t="n"/>
    </row>
    <row r="399">
      <c r="D399" s="7" t="n"/>
      <c r="E399" s="7" t="n"/>
      <c r="F399" s="7" t="n"/>
      <c r="G399" s="7" t="n"/>
    </row>
    <row r="400">
      <c r="D400" s="7" t="n"/>
      <c r="E400" s="7" t="n"/>
      <c r="F400" s="7" t="n"/>
      <c r="G400" s="7" t="n"/>
    </row>
    <row r="401">
      <c r="D401" s="7" t="n"/>
      <c r="E401" s="7" t="n"/>
      <c r="F401" s="7" t="n"/>
      <c r="G401" s="7" t="n"/>
    </row>
    <row r="402">
      <c r="D402" s="7" t="n"/>
      <c r="E402" s="7" t="n"/>
      <c r="F402" s="7" t="n"/>
      <c r="G402" s="7" t="n"/>
    </row>
    <row r="403">
      <c r="D403" s="7" t="n"/>
      <c r="E403" s="7" t="n"/>
      <c r="F403" s="7" t="n"/>
      <c r="G403" s="7" t="n"/>
    </row>
    <row r="404">
      <c r="D404" s="7" t="n"/>
      <c r="E404" s="7" t="n"/>
      <c r="F404" s="7" t="n"/>
      <c r="G404" s="7" t="n"/>
    </row>
    <row r="405">
      <c r="D405" s="7" t="n"/>
      <c r="E405" s="7" t="n"/>
      <c r="F405" s="7" t="n"/>
      <c r="G405" s="7" t="n"/>
    </row>
    <row r="406">
      <c r="D406" s="7" t="n"/>
      <c r="E406" s="7" t="n"/>
      <c r="F406" s="7" t="n"/>
      <c r="G406" s="7" t="n"/>
    </row>
    <row r="407">
      <c r="D407" s="7" t="n"/>
      <c r="E407" s="7" t="n"/>
      <c r="F407" s="7" t="n"/>
      <c r="G407" s="7" t="n"/>
    </row>
    <row r="408">
      <c r="D408" s="7" t="n"/>
      <c r="E408" s="7" t="n"/>
      <c r="F408" s="7" t="n"/>
      <c r="G408" s="7" t="n"/>
    </row>
    <row r="409">
      <c r="D409" s="7" t="n"/>
      <c r="E409" s="7" t="n"/>
      <c r="F409" s="7" t="n"/>
      <c r="G409" s="7" t="n"/>
    </row>
    <row r="410">
      <c r="D410" s="7" t="n"/>
      <c r="E410" s="7" t="n"/>
      <c r="F410" s="7" t="n"/>
      <c r="G410" s="7" t="n"/>
    </row>
    <row r="411">
      <c r="D411" s="7" t="n"/>
      <c r="E411" s="7" t="n"/>
      <c r="F411" s="7" t="n"/>
      <c r="G411" s="7" t="n"/>
    </row>
    <row r="412">
      <c r="D412" s="7" t="n"/>
      <c r="E412" s="7" t="n"/>
      <c r="F412" s="7" t="n"/>
      <c r="G412" s="7" t="n"/>
    </row>
    <row r="413">
      <c r="D413" s="7" t="n"/>
      <c r="E413" s="7" t="n"/>
      <c r="F413" s="7" t="n"/>
      <c r="G413" s="7" t="n"/>
    </row>
    <row r="414">
      <c r="D414" s="7" t="n"/>
      <c r="E414" s="7" t="n"/>
      <c r="F414" s="7" t="n"/>
      <c r="G414" s="7" t="n"/>
    </row>
    <row r="415">
      <c r="D415" s="7" t="n"/>
      <c r="E415" s="7" t="n"/>
      <c r="F415" s="7" t="n"/>
      <c r="G415" s="7" t="n"/>
    </row>
    <row r="416">
      <c r="D416" s="7" t="n"/>
      <c r="E416" s="7" t="n"/>
      <c r="F416" s="7" t="n"/>
      <c r="G416" s="7" t="n"/>
    </row>
    <row r="417">
      <c r="D417" s="7" t="n"/>
      <c r="E417" s="7" t="n"/>
      <c r="F417" s="7" t="n"/>
      <c r="G417" s="7" t="n"/>
    </row>
    <row r="418">
      <c r="D418" s="7" t="n"/>
      <c r="E418" s="7" t="n"/>
      <c r="F418" s="7" t="n"/>
      <c r="G418" s="7" t="n"/>
    </row>
    <row r="419">
      <c r="D419" s="7" t="n"/>
      <c r="E419" s="7" t="n"/>
      <c r="F419" s="7" t="n"/>
      <c r="G419" s="7" t="n"/>
    </row>
    <row r="420">
      <c r="D420" s="7" t="n"/>
      <c r="E420" s="7" t="n"/>
      <c r="F420" s="7" t="n"/>
      <c r="G420" s="7" t="n"/>
    </row>
    <row r="421">
      <c r="D421" s="7" t="n"/>
      <c r="E421" s="7" t="n"/>
      <c r="F421" s="7" t="n"/>
      <c r="G421" s="7" t="n"/>
    </row>
    <row r="422">
      <c r="D422" s="7" t="n"/>
      <c r="E422" s="7" t="n"/>
      <c r="F422" s="7" t="n"/>
      <c r="G422" s="7" t="n"/>
    </row>
    <row r="423">
      <c r="D423" s="7" t="n"/>
      <c r="E423" s="7" t="n"/>
      <c r="F423" s="7" t="n"/>
      <c r="G423" s="7" t="n"/>
    </row>
    <row r="424">
      <c r="D424" s="7" t="n"/>
      <c r="E424" s="7" t="n"/>
      <c r="F424" s="7" t="n"/>
      <c r="G424" s="7" t="n"/>
    </row>
    <row r="425">
      <c r="D425" s="7" t="n"/>
      <c r="E425" s="7" t="n"/>
      <c r="F425" s="7" t="n"/>
      <c r="G425" s="7" t="n"/>
    </row>
    <row r="426">
      <c r="D426" s="7" t="n"/>
      <c r="E426" s="7" t="n"/>
      <c r="F426" s="7" t="n"/>
      <c r="G426" s="7" t="n"/>
    </row>
    <row r="427">
      <c r="D427" s="7" t="n"/>
      <c r="E427" s="7" t="n"/>
      <c r="F427" s="7" t="n"/>
      <c r="G427" s="7" t="n"/>
    </row>
    <row r="428">
      <c r="D428" s="7" t="n"/>
      <c r="E428" s="7" t="n"/>
      <c r="F428" s="7" t="n"/>
      <c r="G428" s="7" t="n"/>
    </row>
  </sheetData>
  <mergeCells count="22">
    <mergeCell ref="K2:K4"/>
    <mergeCell ref="H6:H7"/>
    <mergeCell ref="J6:J7"/>
    <mergeCell ref="A6:A7"/>
    <mergeCell ref="D6:E6"/>
    <mergeCell ref="O29:P29"/>
    <mergeCell ref="O27:P28"/>
    <mergeCell ref="O20:P20"/>
    <mergeCell ref="O23:P24"/>
    <mergeCell ref="L2:L4"/>
    <mergeCell ref="O14:P15"/>
    <mergeCell ref="A2:G3"/>
    <mergeCell ref="I2:I4"/>
    <mergeCell ref="O16:P16"/>
    <mergeCell ref="O25:P25"/>
    <mergeCell ref="O9:P10"/>
    <mergeCell ref="O21:P21"/>
    <mergeCell ref="O18:P19"/>
    <mergeCell ref="P2:P4"/>
    <mergeCell ref="I6:I7"/>
    <mergeCell ref="H2:H4"/>
    <mergeCell ref="K6:K7"/>
  </mergeCells>
  <conditionalFormatting sqref="A9:A36">
    <cfRule type="duplicateValues" priority="5" dxfId="0"/>
  </conditionalFormatting>
  <conditionalFormatting sqref="K9:K36">
    <cfRule type="cellIs" priority="1" operator="equal" dxfId="1">
      <formula>"DIREITO"</formula>
    </cfRule>
    <cfRule type="cellIs" priority="2" operator="equal" dxfId="4">
      <formula>"ESQUERDO"</formula>
    </cfRule>
  </conditionalFormatting>
  <dataValidations count="2">
    <dataValidation sqref="K9:K36" showDropDown="0" showInputMessage="1" showErrorMessage="1" allowBlank="1" type="list">
      <formula1>"DIREITO,ESQUERDO,TRAFO, ,"</formula1>
    </dataValidation>
    <dataValidation sqref="I2:I5" showDropDown="0" showInputMessage="1" showErrorMessage="1" allowBlank="1" type="list">
      <formula1>",SIM,NÃO"</formula1>
    </dataValidation>
  </dataValidations>
  <pageMargins left="0.511805555555555" right="0.511805555555555" top="0.7875" bottom="0.7875" header="0.511805555555555" footer="0.511805555555555"/>
  <pageSetup orientation="portrait" paperSize="9" firstPageNumber="0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C17"/>
  <sheetViews>
    <sheetView zoomScale="110" zoomScaleNormal="110" workbookViewId="0">
      <pane ySplit="7" topLeftCell="A8" activePane="bottomLeft" state="frozen"/>
      <selection pane="bottomLeft" activeCell="B17" sqref="B17"/>
    </sheetView>
  </sheetViews>
  <sheetFormatPr baseColWidth="8" defaultRowHeight="14.4"/>
  <cols>
    <col width="11.33203125" bestFit="1" customWidth="1" style="179" min="1" max="1"/>
    <col width="12.44140625" bestFit="1" customWidth="1" style="179" min="2" max="2"/>
    <col width="14.6640625" bestFit="1" customWidth="1" style="179" min="3" max="3"/>
    <col width="10.44140625" bestFit="1" customWidth="1" style="179" min="4" max="4"/>
    <col width="11.5546875" bestFit="1" customWidth="1" style="179" min="5" max="5"/>
    <col width="9.77734375" customWidth="1" style="179" min="6" max="6"/>
    <col width="10.44140625" customWidth="1" style="179" min="7" max="7"/>
    <col width="16.109375" bestFit="1" customWidth="1" style="179" min="8" max="8"/>
    <col hidden="1" width="11" customWidth="1" style="179" min="9" max="11"/>
    <col hidden="1" width="15.109375" customWidth="1" style="179" min="12" max="12"/>
    <col hidden="1" width="12.44140625" customWidth="1" style="179" min="13" max="13"/>
    <col width="9.44140625" bestFit="1" customWidth="1" style="179" min="14" max="14"/>
    <col width="17.33203125" bestFit="1" customWidth="1" style="179" min="15" max="15"/>
    <col hidden="1" width="8.77734375" customWidth="1" style="179" min="16" max="16"/>
    <col hidden="1" width="27.109375" customWidth="1" style="179" min="17" max="17"/>
    <col hidden="1" width="8.77734375" customWidth="1" style="179" min="18" max="18"/>
    <col width="7.5546875" customWidth="1" style="179" min="19" max="19"/>
    <col hidden="1" width="14" customWidth="1" style="179" min="20" max="20"/>
    <col hidden="1" width="8.77734375" customWidth="1" style="179" min="21" max="25"/>
    <col hidden="1" width="7.5546875" customWidth="1" style="179" min="26" max="26"/>
    <col width="4.33203125" customWidth="1" style="179" min="27" max="27"/>
    <col width="10.44140625" bestFit="1" customWidth="1" style="179" min="28" max="28"/>
    <col width="11.5546875" bestFit="1" customWidth="1" style="179" min="29" max="29"/>
  </cols>
  <sheetData>
    <row r="2">
      <c r="A2" s="233" t="inlineStr">
        <is>
          <t>CQT FINAL</t>
        </is>
      </c>
      <c r="B2" s="246">
        <f>SMALL(ESQ_PROJ2[127],1)</f>
        <v/>
      </c>
      <c r="C2" s="234">
        <f>LARGE(ESQ_PROJ2[QT %],1)</f>
        <v/>
      </c>
      <c r="D2" s="201" t="n"/>
      <c r="E2" s="201" t="n"/>
      <c r="F2" s="64" t="n"/>
      <c r="H2" s="146" t="inlineStr">
        <is>
          <t>16 Al_CONC_Tri</t>
        </is>
      </c>
      <c r="AB2" s="190" t="inlineStr">
        <is>
          <t>CENTRO DE CARGA</t>
        </is>
      </c>
      <c r="AC2" s="191" t="n"/>
    </row>
    <row r="3">
      <c r="B3" s="232" t="n"/>
      <c r="C3" s="232" t="n"/>
      <c r="F3" s="64" t="n"/>
      <c r="AB3" s="192" t="n"/>
      <c r="AC3" s="192" t="n"/>
    </row>
    <row r="4">
      <c r="AB4" s="196" t="inlineStr">
        <is>
          <t>X</t>
        </is>
      </c>
      <c r="AC4" s="188">
        <f>IFERROR(SUMPRODUCT(G8:G11,D8:D11)/SUM(G8:G11),"INSERIR DADOS")</f>
        <v/>
      </c>
    </row>
    <row r="5" ht="13.8" customHeight="1" s="179">
      <c r="A5" s="233" t="inlineStr">
        <is>
          <t>PONTO</t>
        </is>
      </c>
      <c r="B5" s="180" t="inlineStr">
        <is>
          <t>PONTO MONTANTE</t>
        </is>
      </c>
      <c r="C5" s="180" t="inlineStr">
        <is>
          <t>COMPRIMENTO (m)</t>
        </is>
      </c>
      <c r="D5" s="235" t="inlineStr">
        <is>
          <t>COORDENADAS UTM</t>
        </is>
      </c>
      <c r="E5" s="182" t="n"/>
      <c r="F5" s="176" t="inlineStr">
        <is>
          <t>CARGA PONTO (kVA)</t>
        </is>
      </c>
      <c r="G5" s="176" t="inlineStr">
        <is>
          <t>ACUMULADO (kVA)</t>
        </is>
      </c>
      <c r="H5" s="176" t="inlineStr">
        <is>
          <t>CONDUTOR</t>
        </is>
      </c>
      <c r="I5" s="176" t="n"/>
      <c r="J5" s="176" t="n"/>
      <c r="K5" s="176" t="n"/>
      <c r="L5" s="176" t="inlineStr">
        <is>
          <t>QT NO PONTO</t>
        </is>
      </c>
      <c r="M5" s="176" t="inlineStr">
        <is>
          <t>QT ACUMULADA</t>
        </is>
      </c>
      <c r="N5" s="176" t="inlineStr">
        <is>
          <t>QT %</t>
        </is>
      </c>
      <c r="O5" s="176" t="inlineStr">
        <is>
          <t>TENSÃO PONTO</t>
        </is>
      </c>
      <c r="P5" s="176" t="n"/>
      <c r="Q5" s="176" t="inlineStr">
        <is>
          <t>I trecho x I condutor</t>
        </is>
      </c>
      <c r="S5" s="176" t="inlineStr">
        <is>
          <t>FASES</t>
        </is>
      </c>
      <c r="Z5" s="176" t="inlineStr">
        <is>
          <t>SNAP</t>
        </is>
      </c>
      <c r="AB5" s="12" t="inlineStr">
        <is>
          <t>Y</t>
        </is>
      </c>
      <c r="AC5" s="188">
        <f>IFERROR(SUMPRODUCT(G8:G11,E8:E11)/SUM(G8:G11),"INSERIR DADOS")</f>
        <v/>
      </c>
    </row>
    <row r="6" ht="34.2" customHeight="1" s="179">
      <c r="D6" s="233" t="inlineStr">
        <is>
          <t>LONG</t>
        </is>
      </c>
      <c r="E6" s="233" t="inlineStr">
        <is>
          <t>LAT</t>
        </is>
      </c>
      <c r="J6" s="178" t="n"/>
      <c r="K6" s="178" t="n"/>
      <c r="P6" s="178" t="n"/>
    </row>
    <row r="7">
      <c r="A7" s="53" t="inlineStr">
        <is>
          <t>PONTO</t>
        </is>
      </c>
      <c r="B7" s="53" t="inlineStr">
        <is>
          <t>TRECHO</t>
        </is>
      </c>
      <c r="C7" s="53" t="inlineStr">
        <is>
          <t>M</t>
        </is>
      </c>
      <c r="D7" s="53" t="inlineStr">
        <is>
          <t>X</t>
        </is>
      </c>
      <c r="E7" s="53" t="inlineStr">
        <is>
          <t>Y</t>
        </is>
      </c>
      <c r="F7" s="53" t="inlineStr">
        <is>
          <t>KVA PONTO</t>
        </is>
      </c>
      <c r="G7" s="53" t="inlineStr">
        <is>
          <t>ACUMULADA</t>
        </is>
      </c>
      <c r="H7" s="53" t="inlineStr">
        <is>
          <t>CONDUTOR</t>
        </is>
      </c>
      <c r="I7" s="67" t="inlineStr">
        <is>
          <t>(A)</t>
        </is>
      </c>
      <c r="J7" s="67" t="inlineStr">
        <is>
          <t>T</t>
        </is>
      </c>
      <c r="K7" s="67" t="inlineStr">
        <is>
          <t>R CORR</t>
        </is>
      </c>
      <c r="L7" s="53" t="inlineStr">
        <is>
          <t>QT-PONTO</t>
        </is>
      </c>
      <c r="M7" s="53" t="inlineStr">
        <is>
          <t>Coluna1</t>
        </is>
      </c>
      <c r="N7" s="53" t="inlineStr">
        <is>
          <t>QT %</t>
        </is>
      </c>
      <c r="O7" s="67" t="inlineStr">
        <is>
          <t>127</t>
        </is>
      </c>
      <c r="P7" s="67" t="inlineStr">
        <is>
          <t>220</t>
        </is>
      </c>
      <c r="Q7" s="53" t="inlineStr">
        <is>
          <t>TEMP2</t>
        </is>
      </c>
      <c r="R7" s="75" t="inlineStr">
        <is>
          <t>FASE</t>
        </is>
      </c>
      <c r="S7" s="75" t="inlineStr">
        <is>
          <t>ETA</t>
        </is>
      </c>
      <c r="T7" s="75" t="inlineStr">
        <is>
          <t>METODO_INST</t>
        </is>
      </c>
      <c r="U7" s="75" t="inlineStr">
        <is>
          <t>TEMP_AMB</t>
        </is>
      </c>
      <c r="V7" s="75" t="inlineStr">
        <is>
          <t>Ib</t>
        </is>
      </c>
      <c r="W7" s="75" t="inlineStr">
        <is>
          <t>In</t>
        </is>
      </c>
      <c r="X7" s="75" t="inlineStr">
        <is>
          <t>Iz</t>
        </is>
      </c>
      <c r="Y7" s="75" t="inlineStr">
        <is>
          <t>PROTECAO</t>
        </is>
      </c>
      <c r="Z7" s="53" t="inlineStr">
        <is>
          <t>Coluna2</t>
        </is>
      </c>
    </row>
    <row r="8">
      <c r="A8" s="54">
        <f>'GERAL PROJ2'!A16</f>
        <v/>
      </c>
      <c r="B8" s="54">
        <f>IFERROR(IF(ESQ_PROJ2[[#This Row],[PONTO]]="RAMAL",A7,VLOOKUP(ESQ_PROJ2[[#This Row],[PONTO]],GERAL_PROJ2[],2,0)),0)</f>
        <v/>
      </c>
      <c r="C8" s="54">
        <f>IFERROR(IF(ESQ_PROJ2[[#This Row],[PONTO]]="RAMAL",15,VLOOKUP(ESQ_PROJ2[[#This Row],[PONTO]],GERAL_PROJ2[],3,0)),0)</f>
        <v/>
      </c>
      <c r="D8" s="55">
        <f>IFERROR(IF(ESQ_PROJ2[[#This Row],[PONTO]]="RAMAL","",VLOOKUP(ESQ_PROJ2[[#This Row],[PONTO]],GERAL_PROJ2[],4,0)),0)</f>
        <v/>
      </c>
      <c r="E8" s="55">
        <f>IFERROR(IF(ESQ_PROJ2[[#This Row],[PONTO]]="RAMAL","",VLOOKUP(ESQ_PROJ2[[#This Row],[PONTO]],GERAL_PROJ2[],5,0)),0)</f>
        <v/>
      </c>
      <c r="F8" s="55">
        <f>IFERROR(IF(ESQ_PROJ2[[#This Row],[PONTO]]="RAMAL",DMDI,VLOOKUP(ESQ_PROJ2[[#This Row],[PONTO]],GERAL_PROJ2[],8,0)),0)</f>
        <v/>
      </c>
      <c r="G8" s="55">
        <f>IFERROR(IF(ESQ_PROJ2[[#This Row],[PONTO]]="RAMAL",ESQ_PROJ2[[#This Row],[KVA PONTO]],VLOOKUP(ESQ_PROJ2[[#This Row],[PONTO]],GERAL_PROJ2[],9,0)),0)</f>
        <v/>
      </c>
      <c r="H8" s="55">
        <f>IFERROR(VLOOKUP(ESQ_PROJ2[[#This Row],[PONTO]],GERAL_PROJ2[],12,0),0)</f>
        <v/>
      </c>
      <c r="I8" s="61">
        <f>ESQ_PROJ2[[#This Row],[Ib]]</f>
        <v/>
      </c>
      <c r="J8" s="61" t="e">
        <v>#DIV/0!</v>
      </c>
      <c r="K8" s="69">
        <f>IFERROR((VLOOKUP(ESQ_PROJ2[[#This Row],[CONDUTOR]],CABOS[],3,0)/VLOOKUP(ESQ_PROJ2[[#This Row],[CONDUTOR]],CABOS[],6,0))*(1+VLOOKUP(ESQ_PROJ2[[#This Row],[CONDUTOR]],CABOS[],5,0)*(ESQ_PROJ2[[#This Row],[T]]-20)),0)</f>
        <v/>
      </c>
      <c r="L8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8" s="143">
        <f>IFERROR(SUMIF(ESQ_PROJ2[PONTO],ESQ_PROJ2[[#This Row],[TRECHO]],ESQ_PROJ2[Coluna1])+ESQ_PROJ2[[#This Row],[QT-PONTO]],0)</f>
        <v/>
      </c>
      <c r="N8" s="56">
        <f>ESQ_PROJ2[[#This Row],[Coluna1]]/127</f>
        <v/>
      </c>
      <c r="O8" s="55">
        <f>127-(127*ESQ_PROJ2[[#This Row],[QT %]])</f>
        <v/>
      </c>
      <c r="P8" s="61">
        <f>220-(220*ESQ_PROJ2[[#This Row],[QT %]])</f>
        <v/>
      </c>
      <c r="Q8" s="68">
        <f>IF(ESQ_PROJ2[[#This Row],[PROTECAO]]="OK","Protecao OK","Ajustar Disj/Condutor")</f>
        <v/>
      </c>
      <c r="R8" s="74">
        <f>"TRI"</f>
        <v/>
      </c>
      <c r="S8" s="74" t="n">
        <v>3</v>
      </c>
      <c r="T8" s="74">
        <f>"AEREO"</f>
        <v/>
      </c>
      <c r="U8" s="74">
        <f>30</f>
        <v/>
      </c>
      <c r="V8" s="74">
        <f>IF(ESQ_PROJ2[[#This Row],[FASE]]="MONO",ESQ_PROJ2[[#This Row],[ACUMULADA]]*1000/(220*ESQ_PROJ2[[#This Row],[ETA]]),ESQ_PROJ2[[#This Row],[ACUMULADA]]*1000/(SQRT(3)*$P$7*ESQ_PROJ2[[#This Row],[ETA]]))</f>
        <v/>
      </c>
      <c r="W8" s="74">
        <f>IFERROR(VLOOKUP(ESQ_PROJ2[[#This Row],[Ib]],TabelaDisjuntores[],2,TRUE),0)</f>
        <v/>
      </c>
      <c r="X8" s="74">
        <f>IFERROR(VLOOKUP(ESQ_PROJ2[[#This Row],[CONDUTOR]],CABOS[],2,0),0)</f>
        <v/>
      </c>
      <c r="Y8" s="74">
        <f>IF(AND(ESQ_PROJ2[[#This Row],[Ib]]&lt;=ESQ_PROJ2[[#This Row],[In]],ESQ_PROJ2[[#This Row],[In]]&lt;=ESQ_PROJ2[[#This Row],[Iz]]),"OK","VERIFICAR")</f>
        <v/>
      </c>
      <c r="Z8" s="108">
        <f>IFERROR(SQRT((ESQ_PROJ2[[#This Row],[X]]-$AC$4)^2+(ESQ_PROJ2[[#This Row],[Y]]-$AC$5)^2),0)</f>
        <v/>
      </c>
    </row>
    <row r="9">
      <c r="A9" s="169" t="n"/>
      <c r="B9" s="54">
        <f>IFERROR(IF(ESQ_PROJ2[[#This Row],[PONTO]]="RAMAL",A8,VLOOKUP(ESQ_PROJ2[[#This Row],[PONTO]],GERAL_PROJ2[],2,0)),0)</f>
        <v/>
      </c>
      <c r="C9" s="54">
        <f>IFERROR(IF(ESQ_PROJ2[[#This Row],[PONTO]]="RAMAL",15,VLOOKUP(ESQ_PROJ2[[#This Row],[PONTO]],GERAL_PROJ2[],3,0)),0)</f>
        <v/>
      </c>
      <c r="D9" s="55">
        <f>IFERROR(IF(ESQ_PROJ2[[#This Row],[PONTO]]="RAMAL","",VLOOKUP(ESQ_PROJ2[[#This Row],[PONTO]],GERAL_PROJ2[],4,0)),0)</f>
        <v/>
      </c>
      <c r="E9" s="55">
        <f>IFERROR(IF(ESQ_PROJ2[[#This Row],[PONTO]]="RAMAL","",VLOOKUP(ESQ_PROJ2[[#This Row],[PONTO]],GERAL_PROJ2[],5,0)),0)</f>
        <v/>
      </c>
      <c r="F9" s="55">
        <f>IFERROR(IF(ESQ_PROJ2[[#This Row],[PONTO]]="RAMAL",DMDI,VLOOKUP(ESQ_PROJ2[[#This Row],[PONTO]],GERAL_PROJ2[],8,0)),0)</f>
        <v/>
      </c>
      <c r="G9" s="55">
        <f>IFERROR(IF(ESQ_PROJ2[[#This Row],[PONTO]]="RAMAL",ESQ_PROJ2[[#This Row],[KVA PONTO]],VLOOKUP(ESQ_PROJ2[[#This Row],[PONTO]],GERAL_PROJ2[],9,0)),0)</f>
        <v/>
      </c>
      <c r="H9" s="55">
        <f>IFERROR(VLOOKUP(ESQ_PROJ2[[#This Row],[PONTO]],GERAL_PROJ2[],12,0),0)</f>
        <v/>
      </c>
      <c r="I9" s="61">
        <f>ESQ_PROJ2[[#This Row],[Ib]]</f>
        <v/>
      </c>
      <c r="J9" s="61" t="e">
        <v>#DIV/0!</v>
      </c>
      <c r="K9" s="69">
        <f>IFERROR((VLOOKUP(ESQ_PROJ2[[#This Row],[CONDUTOR]],CABOS[],3,0)/VLOOKUP(ESQ_PROJ2[[#This Row],[CONDUTOR]],CABOS[],6,0))*(1+VLOOKUP(ESQ_PROJ2[[#This Row],[CONDUTOR]],CABOS[],5,0)*(ESQ_PROJ2[[#This Row],[T]]-20)),0)</f>
        <v/>
      </c>
      <c r="L9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9" s="143">
        <f>IFERROR(SUMIF(ESQ_PROJ2[PONTO],ESQ_PROJ2[[#This Row],[TRECHO]],ESQ_PROJ2[Coluna1])+ESQ_PROJ2[[#This Row],[QT-PONTO]],0)</f>
        <v/>
      </c>
      <c r="N9" s="56">
        <f>ESQ_PROJ2[[#This Row],[Coluna1]]/127</f>
        <v/>
      </c>
      <c r="O9" s="55">
        <f>127-(127*ESQ_PROJ2[[#This Row],[QT %]])</f>
        <v/>
      </c>
      <c r="P9" s="61">
        <f>220-(220*ESQ_PROJ2[[#This Row],[QT %]])</f>
        <v/>
      </c>
      <c r="Q9" s="68">
        <f>IF(ESQ_PROJ2[[#This Row],[PROTECAO]]="OK","Protecao OK","Ajustar Disj/Condutor")</f>
        <v/>
      </c>
      <c r="R9" s="74">
        <f>"TRI"</f>
        <v/>
      </c>
      <c r="S9" s="74" t="n">
        <v>3</v>
      </c>
      <c r="T9" s="74">
        <f>"AEREO"</f>
        <v/>
      </c>
      <c r="U9" s="74">
        <f>30</f>
        <v/>
      </c>
      <c r="V9" s="74">
        <f>IF(ESQ_PROJ2[[#This Row],[FASE]]="MONO",ESQ_PROJ2[[#This Row],[ACUMULADA]]*1000/(220*ESQ_PROJ2[[#This Row],[ETA]]),ESQ_PROJ2[[#This Row],[ACUMULADA]]*1000/(SQRT(3)*$P$7*ESQ_PROJ2[[#This Row],[ETA]]))</f>
        <v/>
      </c>
      <c r="W9" s="74">
        <f>IFERROR(VLOOKUP(ESQ_PROJ2[[#This Row],[Ib]],TabelaDisjuntores[],2,TRUE),0)</f>
        <v/>
      </c>
      <c r="X9" s="74">
        <f>IFERROR(VLOOKUP(ESQ_PROJ2[[#This Row],[CONDUTOR]],CABOS[],2,0),0)</f>
        <v/>
      </c>
      <c r="Y9" s="74">
        <f>IF(AND(ESQ_PROJ2[[#This Row],[Ib]]&lt;=ESQ_PROJ2[[#This Row],[In]],ESQ_PROJ2[[#This Row],[In]]&lt;=ESQ_PROJ2[[#This Row],[Iz]]),"OK","VERIFICAR")</f>
        <v/>
      </c>
      <c r="Z9" s="108">
        <f>IFERROR(SQRT((ESQ_PROJ2[[#This Row],[X]]-$AC$4)^2+(ESQ_PROJ2[[#This Row],[Y]]-$AC$5)^2),0)</f>
        <v/>
      </c>
    </row>
    <row r="10">
      <c r="A10" s="169" t="n"/>
      <c r="B10" s="54">
        <f>IFERROR(IF(ESQ_PROJ2[[#This Row],[PONTO]]="RAMAL",A9,VLOOKUP(ESQ_PROJ2[[#This Row],[PONTO]],GERAL_PROJ2[],2,0)),0)</f>
        <v/>
      </c>
      <c r="C10" s="54">
        <f>IFERROR(IF(ESQ_PROJ2[[#This Row],[PONTO]]="RAMAL",15,VLOOKUP(ESQ_PROJ2[[#This Row],[PONTO]],GERAL_PROJ2[],3,0)),0)</f>
        <v/>
      </c>
      <c r="D10" s="55">
        <f>IFERROR(IF(ESQ_PROJ2[[#This Row],[PONTO]]="RAMAL","",VLOOKUP(ESQ_PROJ2[[#This Row],[PONTO]],GERAL_PROJ2[],4,0)),0)</f>
        <v/>
      </c>
      <c r="E10" s="55">
        <f>IFERROR(IF(ESQ_PROJ2[[#This Row],[PONTO]]="RAMAL","",VLOOKUP(ESQ_PROJ2[[#This Row],[PONTO]],GERAL_PROJ2[],5,0)),0)</f>
        <v/>
      </c>
      <c r="F10" s="55">
        <f>IFERROR(IF(ESQ_PROJ2[[#This Row],[PONTO]]="RAMAL",DMDI,VLOOKUP(ESQ_PROJ2[[#This Row],[PONTO]],GERAL_PROJ2[],8,0)),0)</f>
        <v/>
      </c>
      <c r="G10" s="55">
        <f>IFERROR(IF(ESQ_PROJ2[[#This Row],[PONTO]]="RAMAL",ESQ_PROJ2[[#This Row],[KVA PONTO]],VLOOKUP(ESQ_PROJ2[[#This Row],[PONTO]],GERAL_PROJ2[],9,0)),0)</f>
        <v/>
      </c>
      <c r="H10" s="55">
        <f>IFERROR(VLOOKUP(ESQ_PROJ2[[#This Row],[PONTO]],GERAL_PROJ2[],12,0),0)</f>
        <v/>
      </c>
      <c r="I10" s="61">
        <f>ESQ_PROJ2[[#This Row],[Ib]]</f>
        <v/>
      </c>
      <c r="J10" s="61" t="e">
        <v>#DIV/0!</v>
      </c>
      <c r="K10" s="69">
        <f>IFERROR((VLOOKUP(ESQ_PROJ2[[#This Row],[CONDUTOR]],CABOS[],3,0)/VLOOKUP(ESQ_PROJ2[[#This Row],[CONDUTOR]],CABOS[],6,0))*(1+VLOOKUP(ESQ_PROJ2[[#This Row],[CONDUTOR]],CABOS[],5,0)*(ESQ_PROJ2[[#This Row],[T]]-20)),0)</f>
        <v/>
      </c>
      <c r="L10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10" s="143">
        <f>IFERROR(SUMIF(ESQ_PROJ2[PONTO],ESQ_PROJ2[[#This Row],[TRECHO]],ESQ_PROJ2[Coluna1])+ESQ_PROJ2[[#This Row],[QT-PONTO]],0)</f>
        <v/>
      </c>
      <c r="N10" s="56">
        <f>ESQ_PROJ2[[#This Row],[Coluna1]]/127</f>
        <v/>
      </c>
      <c r="O10" s="55">
        <f>127-(127*ESQ_PROJ2[[#This Row],[QT %]])</f>
        <v/>
      </c>
      <c r="P10" s="61">
        <f>220-(220*ESQ_PROJ2[[#This Row],[QT %]])</f>
        <v/>
      </c>
      <c r="Q10" s="68">
        <f>IF(ESQ_PROJ2[[#This Row],[PROTECAO]]="OK","Protecao OK","Ajustar Disj/Condutor")</f>
        <v/>
      </c>
      <c r="R10" s="74">
        <f>"TRI"</f>
        <v/>
      </c>
      <c r="S10" s="74" t="n">
        <v>3</v>
      </c>
      <c r="T10" s="74">
        <f>"AEREO"</f>
        <v/>
      </c>
      <c r="U10" s="74">
        <f>30</f>
        <v/>
      </c>
      <c r="V10" s="74">
        <f>IF(ESQ_PROJ2[[#This Row],[FASE]]="MONO",ESQ_PROJ2[[#This Row],[ACUMULADA]]*1000/(220*ESQ_PROJ2[[#This Row],[ETA]]),ESQ_PROJ2[[#This Row],[ACUMULADA]]*1000/(SQRT(3)*$P$7*ESQ_PROJ2[[#This Row],[ETA]]))</f>
        <v/>
      </c>
      <c r="W10" s="74">
        <f>IFERROR(VLOOKUP(ESQ_PROJ2[[#This Row],[Ib]],TabelaDisjuntores[],2,TRUE),0)</f>
        <v/>
      </c>
      <c r="X10" s="74">
        <f>IFERROR(VLOOKUP(ESQ_PROJ2[[#This Row],[CONDUTOR]],CABOS[],2,0),0)</f>
        <v/>
      </c>
      <c r="Y10" s="74">
        <f>IF(AND(ESQ_PROJ2[[#This Row],[Ib]]&lt;=ESQ_PROJ2[[#This Row],[In]],ESQ_PROJ2[[#This Row],[In]]&lt;=ESQ_PROJ2[[#This Row],[Iz]]),"OK","VERIFICAR")</f>
        <v/>
      </c>
      <c r="Z10" s="108">
        <f>IFERROR(SQRT((ESQ_PROJ2[[#This Row],[X]]-$AC$4)^2+(ESQ_PROJ2[[#This Row],[Y]]-$AC$5)^2),0)</f>
        <v/>
      </c>
    </row>
    <row r="11">
      <c r="A11" s="169" t="n"/>
      <c r="B11" s="54">
        <f>IFERROR(IF(ESQ_PROJ2[[#This Row],[PONTO]]="RAMAL",A10,VLOOKUP(ESQ_PROJ2[[#This Row],[PONTO]],GERAL_PROJ2[],2,0)),0)</f>
        <v/>
      </c>
      <c r="C11" s="54">
        <f>IFERROR(IF(ESQ_PROJ2[[#This Row],[PONTO]]="RAMAL",15,VLOOKUP(ESQ_PROJ2[[#This Row],[PONTO]],GERAL_PROJ2[],3,0)),0)</f>
        <v/>
      </c>
      <c r="D11" s="55">
        <f>IFERROR(IF(ESQ_PROJ2[[#This Row],[PONTO]]="RAMAL","",VLOOKUP(ESQ_PROJ2[[#This Row],[PONTO]],GERAL_PROJ2[],4,0)),0)</f>
        <v/>
      </c>
      <c r="E11" s="55">
        <f>IFERROR(IF(ESQ_PROJ2[[#This Row],[PONTO]]="RAMAL","",VLOOKUP(ESQ_PROJ2[[#This Row],[PONTO]],GERAL_PROJ2[],5,0)),0)</f>
        <v/>
      </c>
      <c r="F11" s="55">
        <f>IFERROR(IF(ESQ_PROJ2[[#This Row],[PONTO]]="RAMAL",DMDI,VLOOKUP(ESQ_PROJ2[[#This Row],[PONTO]],GERAL_PROJ2[],8,0)),0)</f>
        <v/>
      </c>
      <c r="G11" s="55">
        <f>IFERROR(IF(ESQ_PROJ2[[#This Row],[PONTO]]="RAMAL",ESQ_PROJ2[[#This Row],[KVA PONTO]],VLOOKUP(ESQ_PROJ2[[#This Row],[PONTO]],GERAL_PROJ2[],9,0)),0)</f>
        <v/>
      </c>
      <c r="H11" s="55">
        <f>IFERROR(VLOOKUP(ESQ_PROJ2[[#This Row],[PONTO]],GERAL_PROJ2[],12,0),0)</f>
        <v/>
      </c>
      <c r="I11" s="61">
        <f>ESQ_PROJ2[[#This Row],[Ib]]</f>
        <v/>
      </c>
      <c r="J11" s="61" t="e">
        <v>#DIV/0!</v>
      </c>
      <c r="K11" s="69">
        <f>IFERROR((VLOOKUP(ESQ_PROJ2[[#This Row],[CONDUTOR]],CABOS[],3,0)/VLOOKUP(ESQ_PROJ2[[#This Row],[CONDUTOR]],CABOS[],6,0))*(1+VLOOKUP(ESQ_PROJ2[[#This Row],[CONDUTOR]],CABOS[],5,0)*(ESQ_PROJ2[[#This Row],[T]]-20)),0)</f>
        <v/>
      </c>
      <c r="L11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11" s="143">
        <f>IFERROR(SUMIF(ESQ_PROJ2[PONTO],ESQ_PROJ2[[#This Row],[TRECHO]],ESQ_PROJ2[Coluna1])+ESQ_PROJ2[[#This Row],[QT-PONTO]],0)</f>
        <v/>
      </c>
      <c r="N11" s="56">
        <f>ESQ_PROJ2[[#This Row],[Coluna1]]/127</f>
        <v/>
      </c>
      <c r="O11" s="55">
        <f>127-(127*ESQ_PROJ2[[#This Row],[QT %]])</f>
        <v/>
      </c>
      <c r="P11" s="61">
        <f>220-(220*ESQ_PROJ2[[#This Row],[QT %]])</f>
        <v/>
      </c>
      <c r="Q11" s="68">
        <f>IF(ESQ_PROJ2[[#This Row],[PROTECAO]]="OK","Protecao OK","Ajustar Disj/Condutor")</f>
        <v/>
      </c>
      <c r="R11" s="74">
        <f>"TRI"</f>
        <v/>
      </c>
      <c r="S11" s="74" t="n">
        <v>3</v>
      </c>
      <c r="T11" s="74">
        <f>"AEREO"</f>
        <v/>
      </c>
      <c r="U11" s="74">
        <f>30</f>
        <v/>
      </c>
      <c r="V11" s="74">
        <f>IF(ESQ_PROJ2[[#This Row],[FASE]]="MONO",ESQ_PROJ2[[#This Row],[ACUMULADA]]*1000/(220*ESQ_PROJ2[[#This Row],[ETA]]),ESQ_PROJ2[[#This Row],[ACUMULADA]]*1000/(SQRT(3)*$P$7*ESQ_PROJ2[[#This Row],[ETA]]))</f>
        <v/>
      </c>
      <c r="W11" s="74">
        <f>IFERROR(VLOOKUP(ESQ_PROJ2[[#This Row],[Ib]],TabelaDisjuntores[],2,TRUE),0)</f>
        <v/>
      </c>
      <c r="X11" s="74">
        <f>IFERROR(VLOOKUP(ESQ_PROJ2[[#This Row],[CONDUTOR]],CABOS[],2,0),0)</f>
        <v/>
      </c>
      <c r="Y11" s="74">
        <f>IF(AND(ESQ_PROJ2[[#This Row],[Ib]]&lt;=ESQ_PROJ2[[#This Row],[In]],ESQ_PROJ2[[#This Row],[In]]&lt;=ESQ_PROJ2[[#This Row],[Iz]]),"OK","VERIFICAR")</f>
        <v/>
      </c>
      <c r="Z11" s="108">
        <f>IFERROR(SQRT((ESQ_PROJ2[[#This Row],[X]]-$AC$4)^2+(ESQ_PROJ2[[#This Row],[Y]]-$AC$5)^2),0)</f>
        <v/>
      </c>
    </row>
    <row r="12">
      <c r="A12" s="169" t="n"/>
      <c r="B12" s="54">
        <f>IFERROR(IF(ESQ_PROJ2[[#This Row],[PONTO]]="RAMAL",A11,VLOOKUP(ESQ_PROJ2[[#This Row],[PONTO]],GERAL_PROJ2[],2,0)),0)</f>
        <v/>
      </c>
      <c r="C12" s="54">
        <f>IFERROR(IF(ESQ_PROJ2[[#This Row],[PONTO]]="RAMAL",15,VLOOKUP(ESQ_PROJ2[[#This Row],[PONTO]],GERAL_PROJ2[],3,0)),0)</f>
        <v/>
      </c>
      <c r="D12" s="55">
        <f>IFERROR(IF(ESQ_PROJ2[[#This Row],[PONTO]]="RAMAL","",VLOOKUP(ESQ_PROJ2[[#This Row],[PONTO]],GERAL_PROJ2[],4,0)),0)</f>
        <v/>
      </c>
      <c r="E12" s="55">
        <f>IFERROR(IF(ESQ_PROJ2[[#This Row],[PONTO]]="RAMAL","",VLOOKUP(ESQ_PROJ2[[#This Row],[PONTO]],GERAL_PROJ2[],5,0)),0)</f>
        <v/>
      </c>
      <c r="F12" s="55">
        <f>IFERROR(IF(ESQ_PROJ2[[#This Row],[PONTO]]="RAMAL",DMDI,VLOOKUP(ESQ_PROJ2[[#This Row],[PONTO]],GERAL_PROJ2[],8,0)),0)</f>
        <v/>
      </c>
      <c r="G12" s="55">
        <f>IFERROR(IF(ESQ_PROJ2[[#This Row],[PONTO]]="RAMAL",ESQ_PROJ2[[#This Row],[KVA PONTO]],VLOOKUP(ESQ_PROJ2[[#This Row],[PONTO]],GERAL_PROJ2[],9,0)),0)</f>
        <v/>
      </c>
      <c r="H12" s="55">
        <f>IFERROR(VLOOKUP(ESQ_PROJ2[[#This Row],[PONTO]],GERAL_PROJ2[],12,0),0)</f>
        <v/>
      </c>
      <c r="I12" s="61">
        <f>ESQ_PROJ2[[#This Row],[Ib]]</f>
        <v/>
      </c>
      <c r="J12" s="61" t="e">
        <v>#DIV/0!</v>
      </c>
      <c r="K12" s="69">
        <f>IFERROR((VLOOKUP(ESQ_PROJ2[[#This Row],[CONDUTOR]],CABOS[],3,0)/VLOOKUP(ESQ_PROJ2[[#This Row],[CONDUTOR]],CABOS[],6,0))*(1+VLOOKUP(ESQ_PROJ2[[#This Row],[CONDUTOR]],CABOS[],5,0)*(ESQ_PROJ2[[#This Row],[T]]-20)),0)</f>
        <v/>
      </c>
      <c r="L12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12" s="143">
        <f>IFERROR(SUMIF(ESQ_PROJ2[PONTO],ESQ_PROJ2[[#This Row],[TRECHO]],ESQ_PROJ2[Coluna1])+ESQ_PROJ2[[#This Row],[QT-PONTO]],0)</f>
        <v/>
      </c>
      <c r="N12" s="56">
        <f>ESQ_PROJ2[[#This Row],[Coluna1]]/127</f>
        <v/>
      </c>
      <c r="O12" s="55">
        <f>127-(127*ESQ_PROJ2[[#This Row],[QT %]])</f>
        <v/>
      </c>
      <c r="P12" s="61">
        <f>220-(220*ESQ_PROJ2[[#This Row],[QT %]])</f>
        <v/>
      </c>
      <c r="Q12" s="68">
        <f>IF(ESQ_PROJ2[[#This Row],[PROTECAO]]="OK","Protecao OK","Ajustar Disj/Condutor")</f>
        <v/>
      </c>
      <c r="R12" s="74">
        <f>"TRI"</f>
        <v/>
      </c>
      <c r="S12" s="74" t="n">
        <v>3</v>
      </c>
      <c r="T12" s="74">
        <f>"AEREO"</f>
        <v/>
      </c>
      <c r="U12" s="74">
        <f>30</f>
        <v/>
      </c>
      <c r="V12" s="74">
        <f>IF(ESQ_PROJ2[[#This Row],[FASE]]="MONO",ESQ_PROJ2[[#This Row],[ACUMULADA]]*1000/(220*ESQ_PROJ2[[#This Row],[ETA]]),ESQ_PROJ2[[#This Row],[ACUMULADA]]*1000/(SQRT(3)*$P$7*ESQ_PROJ2[[#This Row],[ETA]]))</f>
        <v/>
      </c>
      <c r="W12" s="74">
        <f>IFERROR(VLOOKUP(ESQ_PROJ2[[#This Row],[Ib]],TabelaDisjuntores[],2,TRUE),0)</f>
        <v/>
      </c>
      <c r="X12" s="74">
        <f>IFERROR(VLOOKUP(ESQ_PROJ2[[#This Row],[CONDUTOR]],CABOS[],2,0),0)</f>
        <v/>
      </c>
      <c r="Y12" s="74">
        <f>IF(AND(ESQ_PROJ2[[#This Row],[Ib]]&lt;=ESQ_PROJ2[[#This Row],[In]],ESQ_PROJ2[[#This Row],[In]]&lt;=ESQ_PROJ2[[#This Row],[Iz]]),"OK","VERIFICAR")</f>
        <v/>
      </c>
      <c r="Z12" s="108">
        <f>IFERROR(SQRT((ESQ_PROJ2[[#This Row],[X]]-$AC$4)^2+(ESQ_PROJ2[[#This Row],[Y]]-$AC$5)^2),0)</f>
        <v/>
      </c>
    </row>
    <row r="13">
      <c r="A13" s="169" t="n"/>
      <c r="B13" s="54">
        <f>IFERROR(IF(ESQ_PROJ2[[#This Row],[PONTO]]="RAMAL",A12,VLOOKUP(ESQ_PROJ2[[#This Row],[PONTO]],GERAL_PROJ2[],2,0)),0)</f>
        <v/>
      </c>
      <c r="C13" s="54">
        <f>IFERROR(IF(ESQ_PROJ2[[#This Row],[PONTO]]="RAMAL",15,VLOOKUP(ESQ_PROJ2[[#This Row],[PONTO]],GERAL_PROJ2[],3,0)),0)</f>
        <v/>
      </c>
      <c r="D13" s="55">
        <f>IFERROR(IF(ESQ_PROJ2[[#This Row],[PONTO]]="RAMAL","",VLOOKUP(ESQ_PROJ2[[#This Row],[PONTO]],GERAL_PROJ2[],4,0)),0)</f>
        <v/>
      </c>
      <c r="E13" s="55">
        <f>IFERROR(IF(ESQ_PROJ2[[#This Row],[PONTO]]="RAMAL","",VLOOKUP(ESQ_PROJ2[[#This Row],[PONTO]],GERAL_PROJ2[],5,0)),0)</f>
        <v/>
      </c>
      <c r="F13" s="55">
        <f>IFERROR(IF(ESQ_PROJ2[[#This Row],[PONTO]]="RAMAL",DMDI,VLOOKUP(ESQ_PROJ2[[#This Row],[PONTO]],GERAL_PROJ2[],8,0)),0)</f>
        <v/>
      </c>
      <c r="G13" s="55">
        <f>IFERROR(IF(ESQ_PROJ2[[#This Row],[PONTO]]="RAMAL",ESQ_PROJ2[[#This Row],[KVA PONTO]],VLOOKUP(ESQ_PROJ2[[#This Row],[PONTO]],GERAL_PROJ2[],9,0)),0)</f>
        <v/>
      </c>
      <c r="H13" s="55">
        <f>IFERROR(VLOOKUP(ESQ_PROJ2[[#This Row],[PONTO]],GERAL_PROJ2[],12,0),0)</f>
        <v/>
      </c>
      <c r="I13" s="61">
        <f>ESQ_PROJ2[[#This Row],[Ib]]</f>
        <v/>
      </c>
      <c r="J13" s="61" t="e">
        <v>#DIV/0!</v>
      </c>
      <c r="K13" s="69">
        <f>IFERROR((VLOOKUP(ESQ_PROJ2[[#This Row],[CONDUTOR]],CABOS[],3,0)/VLOOKUP(ESQ_PROJ2[[#This Row],[CONDUTOR]],CABOS[],6,0))*(1+VLOOKUP(ESQ_PROJ2[[#This Row],[CONDUTOR]],CABOS[],5,0)*(ESQ_PROJ2[[#This Row],[T]]-20)),0)</f>
        <v/>
      </c>
      <c r="L13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13" s="143">
        <f>IFERROR(SUMIF(ESQ_PROJ2[PONTO],ESQ_PROJ2[[#This Row],[TRECHO]],ESQ_PROJ2[Coluna1])+ESQ_PROJ2[[#This Row],[QT-PONTO]],0)</f>
        <v/>
      </c>
      <c r="N13" s="56">
        <f>ESQ_PROJ2[[#This Row],[Coluna1]]/127</f>
        <v/>
      </c>
      <c r="O13" s="55">
        <f>127-(127*ESQ_PROJ2[[#This Row],[QT %]])</f>
        <v/>
      </c>
      <c r="P13" s="61">
        <f>220-(220*ESQ_PROJ2[[#This Row],[QT %]])</f>
        <v/>
      </c>
      <c r="Q13" s="68">
        <f>IF(ESQ_PROJ2[[#This Row],[PROTECAO]]="OK","Protecao OK","Ajustar Disj/Condutor")</f>
        <v/>
      </c>
      <c r="R13" s="74">
        <f>"TRI"</f>
        <v/>
      </c>
      <c r="S13" s="74" t="n">
        <v>3</v>
      </c>
      <c r="T13" s="74">
        <f>"AEREO"</f>
        <v/>
      </c>
      <c r="U13" s="74">
        <f>30</f>
        <v/>
      </c>
      <c r="V13" s="74">
        <f>IF(ESQ_PROJ2[[#This Row],[FASE]]="MONO",ESQ_PROJ2[[#This Row],[ACUMULADA]]*1000/(220*ESQ_PROJ2[[#This Row],[ETA]]),ESQ_PROJ2[[#This Row],[ACUMULADA]]*1000/(SQRT(3)*$P$7*ESQ_PROJ2[[#This Row],[ETA]]))</f>
        <v/>
      </c>
      <c r="W13" s="74">
        <f>IFERROR(VLOOKUP(ESQ_PROJ2[[#This Row],[Ib]],TabelaDisjuntores[],2,TRUE),0)</f>
        <v/>
      </c>
      <c r="X13" s="74">
        <f>IFERROR(VLOOKUP(ESQ_PROJ2[[#This Row],[CONDUTOR]],CABOS[],2,0),0)</f>
        <v/>
      </c>
      <c r="Y13" s="74">
        <f>IF(AND(ESQ_PROJ2[[#This Row],[Ib]]&lt;=ESQ_PROJ2[[#This Row],[In]],ESQ_PROJ2[[#This Row],[In]]&lt;=ESQ_PROJ2[[#This Row],[Iz]]),"OK","VERIFICAR")</f>
        <v/>
      </c>
      <c r="Z13" s="108">
        <f>IFERROR(SQRT((ESQ_PROJ2[[#This Row],[X]]-$AC$4)^2+(ESQ_PROJ2[[#This Row],[Y]]-$AC$5)^2),0)</f>
        <v/>
      </c>
    </row>
    <row r="14">
      <c r="A14" s="169" t="n"/>
      <c r="B14" s="54">
        <f>IFERROR(IF(ESQ_PROJ2[[#This Row],[PONTO]]="RAMAL",A13,VLOOKUP(ESQ_PROJ2[[#This Row],[PONTO]],GERAL_PROJ2[],2,0)),0)</f>
        <v/>
      </c>
      <c r="C14" s="54">
        <f>IFERROR(IF(ESQ_PROJ2[[#This Row],[PONTO]]="RAMAL",15,VLOOKUP(ESQ_PROJ2[[#This Row],[PONTO]],GERAL_PROJ2[],3,0)),0)</f>
        <v/>
      </c>
      <c r="D14" s="55">
        <f>IFERROR(IF(ESQ_PROJ2[[#This Row],[PONTO]]="RAMAL","",VLOOKUP(ESQ_PROJ2[[#This Row],[PONTO]],GERAL_PROJ2[],4,0)),0)</f>
        <v/>
      </c>
      <c r="E14" s="55">
        <f>IFERROR(IF(ESQ_PROJ2[[#This Row],[PONTO]]="RAMAL","",VLOOKUP(ESQ_PROJ2[[#This Row],[PONTO]],GERAL_PROJ2[],5,0)),0)</f>
        <v/>
      </c>
      <c r="F14" s="55">
        <f>IFERROR(IF(ESQ_PROJ2[[#This Row],[PONTO]]="RAMAL",DMDI,VLOOKUP(ESQ_PROJ2[[#This Row],[PONTO]],GERAL_PROJ2[],8,0)),0)</f>
        <v/>
      </c>
      <c r="G14" s="55">
        <f>IFERROR(IF(ESQ_PROJ2[[#This Row],[PONTO]]="RAMAL",ESQ_PROJ2[[#This Row],[KVA PONTO]],VLOOKUP(ESQ_PROJ2[[#This Row],[PONTO]],GERAL_PROJ2[],9,0)),0)</f>
        <v/>
      </c>
      <c r="H14" s="55">
        <f>IFERROR(VLOOKUP(ESQ_PROJ2[[#This Row],[PONTO]],GERAL_PROJ2[],12,0),0)</f>
        <v/>
      </c>
      <c r="I14" s="61">
        <f>ESQ_PROJ2[[#This Row],[Ib]]</f>
        <v/>
      </c>
      <c r="J14" s="61" t="e">
        <v>#DIV/0!</v>
      </c>
      <c r="K14" s="69">
        <f>IFERROR((VLOOKUP(ESQ_PROJ2[[#This Row],[CONDUTOR]],CABOS[],3,0)/VLOOKUP(ESQ_PROJ2[[#This Row],[CONDUTOR]],CABOS[],6,0))*(1+VLOOKUP(ESQ_PROJ2[[#This Row],[CONDUTOR]],CABOS[],5,0)*(ESQ_PROJ2[[#This Row],[T]]-20)),0)</f>
        <v/>
      </c>
      <c r="L14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14" s="143">
        <f>IFERROR(SUMIF(ESQ_PROJ2[PONTO],ESQ_PROJ2[[#This Row],[TRECHO]],ESQ_PROJ2[Coluna1])+ESQ_PROJ2[[#This Row],[QT-PONTO]],0)</f>
        <v/>
      </c>
      <c r="N14" s="56">
        <f>ESQ_PROJ2[[#This Row],[Coluna1]]/127</f>
        <v/>
      </c>
      <c r="O14" s="55">
        <f>127-(127*ESQ_PROJ2[[#This Row],[QT %]])</f>
        <v/>
      </c>
      <c r="P14" s="61">
        <f>220-(220*ESQ_PROJ2[[#This Row],[QT %]])</f>
        <v/>
      </c>
      <c r="Q14" s="68">
        <f>IF(ESQ_PROJ2[[#This Row],[PROTECAO]]="OK","Protecao OK","Ajustar Disj/Condutor")</f>
        <v/>
      </c>
      <c r="R14" s="74">
        <f>"TRI"</f>
        <v/>
      </c>
      <c r="S14" s="74" t="n">
        <v>3</v>
      </c>
      <c r="T14" s="74">
        <f>"AEREO"</f>
        <v/>
      </c>
      <c r="U14" s="74">
        <f>30</f>
        <v/>
      </c>
      <c r="V14" s="74">
        <f>IF(ESQ_PROJ2[[#This Row],[FASE]]="MONO",ESQ_PROJ2[[#This Row],[ACUMULADA]]*1000/(220*ESQ_PROJ2[[#This Row],[ETA]]),ESQ_PROJ2[[#This Row],[ACUMULADA]]*1000/(SQRT(3)*$P$7*ESQ_PROJ2[[#This Row],[ETA]]))</f>
        <v/>
      </c>
      <c r="W14" s="74">
        <f>IFERROR(VLOOKUP(ESQ_PROJ2[[#This Row],[Ib]],TabelaDisjuntores[],2,TRUE),0)</f>
        <v/>
      </c>
      <c r="X14" s="74">
        <f>IFERROR(VLOOKUP(ESQ_PROJ2[[#This Row],[CONDUTOR]],CABOS[],2,0),0)</f>
        <v/>
      </c>
      <c r="Y14" s="74">
        <f>IF(AND(ESQ_PROJ2[[#This Row],[Ib]]&lt;=ESQ_PROJ2[[#This Row],[In]],ESQ_PROJ2[[#This Row],[In]]&lt;=ESQ_PROJ2[[#This Row],[Iz]]),"OK","VERIFICAR")</f>
        <v/>
      </c>
      <c r="Z14" s="108">
        <f>IFERROR(SQRT((ESQ_PROJ2[[#This Row],[X]]-$AC$4)^2+(ESQ_PROJ2[[#This Row],[Y]]-$AC$5)^2),0)</f>
        <v/>
      </c>
    </row>
    <row r="15">
      <c r="A15" s="169" t="n"/>
      <c r="B15" s="54">
        <f>IFERROR(IF(ESQ_PROJ2[[#This Row],[PONTO]]="RAMAL",A14,VLOOKUP(ESQ_PROJ2[[#This Row],[PONTO]],GERAL_PROJ2[],2,0)),0)</f>
        <v/>
      </c>
      <c r="C15" s="54">
        <f>IFERROR(IF(ESQ_PROJ2[[#This Row],[PONTO]]="RAMAL",15,VLOOKUP(ESQ_PROJ2[[#This Row],[PONTO]],GERAL_PROJ2[],3,0)),0)</f>
        <v/>
      </c>
      <c r="D15" s="55">
        <f>IFERROR(IF(ESQ_PROJ2[[#This Row],[PONTO]]="RAMAL","",VLOOKUP(ESQ_PROJ2[[#This Row],[PONTO]],GERAL_PROJ2[],4,0)),0)</f>
        <v/>
      </c>
      <c r="E15" s="55">
        <f>IFERROR(IF(ESQ_PROJ2[[#This Row],[PONTO]]="RAMAL","",VLOOKUP(ESQ_PROJ2[[#This Row],[PONTO]],GERAL_PROJ2[],5,0)),0)</f>
        <v/>
      </c>
      <c r="F15" s="55">
        <f>IFERROR(IF(ESQ_PROJ2[[#This Row],[PONTO]]="RAMAL",DMDI,VLOOKUP(ESQ_PROJ2[[#This Row],[PONTO]],GERAL_PROJ2[],8,0)),0)</f>
        <v/>
      </c>
      <c r="G15" s="55">
        <f>IFERROR(IF(ESQ_PROJ2[[#This Row],[PONTO]]="RAMAL",ESQ_PROJ2[[#This Row],[KVA PONTO]],VLOOKUP(ESQ_PROJ2[[#This Row],[PONTO]],GERAL_PROJ2[],9,0)),0)</f>
        <v/>
      </c>
      <c r="H15" s="55">
        <f>IFERROR(VLOOKUP(ESQ_PROJ2[[#This Row],[PONTO]],GERAL_PROJ2[],12,0),0)</f>
        <v/>
      </c>
      <c r="I15" s="61">
        <f>ESQ_PROJ2[[#This Row],[Ib]]</f>
        <v/>
      </c>
      <c r="J15" s="61" t="e">
        <v>#DIV/0!</v>
      </c>
      <c r="K15" s="69">
        <f>IFERROR((VLOOKUP(ESQ_PROJ2[[#This Row],[CONDUTOR]],CABOS[],3,0)/VLOOKUP(ESQ_PROJ2[[#This Row],[CONDUTOR]],CABOS[],6,0))*(1+VLOOKUP(ESQ_PROJ2[[#This Row],[CONDUTOR]],CABOS[],5,0)*(ESQ_PROJ2[[#This Row],[T]]-20)),0)</f>
        <v/>
      </c>
      <c r="L15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15" s="143">
        <f>IFERROR(SUMIF(ESQ_PROJ2[PONTO],ESQ_PROJ2[[#This Row],[TRECHO]],ESQ_PROJ2[Coluna1])+ESQ_PROJ2[[#This Row],[QT-PONTO]],0)</f>
        <v/>
      </c>
      <c r="N15" s="56">
        <f>ESQ_PROJ2[[#This Row],[Coluna1]]/127</f>
        <v/>
      </c>
      <c r="O15" s="55">
        <f>127-(127*ESQ_PROJ2[[#This Row],[QT %]])</f>
        <v/>
      </c>
      <c r="P15" s="61">
        <f>220-(220*ESQ_PROJ2[[#This Row],[QT %]])</f>
        <v/>
      </c>
      <c r="Q15" s="68">
        <f>IF(ESQ_PROJ2[[#This Row],[PROTECAO]]="OK","Protecao OK","Ajustar Disj/Condutor")</f>
        <v/>
      </c>
      <c r="R15" s="74">
        <f>"TRI"</f>
        <v/>
      </c>
      <c r="S15" s="74" t="n">
        <v>3</v>
      </c>
      <c r="T15" s="74">
        <f>"AEREO"</f>
        <v/>
      </c>
      <c r="U15" s="74">
        <f>30</f>
        <v/>
      </c>
      <c r="V15" s="74">
        <f>IF(ESQ_PROJ2[[#This Row],[FASE]]="MONO",ESQ_PROJ2[[#This Row],[ACUMULADA]]*1000/(220*ESQ_PROJ2[[#This Row],[ETA]]),ESQ_PROJ2[[#This Row],[ACUMULADA]]*1000/(SQRT(3)*$P$7*ESQ_PROJ2[[#This Row],[ETA]]))</f>
        <v/>
      </c>
      <c r="W15" s="74">
        <f>IFERROR(VLOOKUP(ESQ_PROJ2[[#This Row],[Ib]],TabelaDisjuntores[],2,TRUE),0)</f>
        <v/>
      </c>
      <c r="X15" s="74">
        <f>IFERROR(VLOOKUP(ESQ_PROJ2[[#This Row],[CONDUTOR]],CABOS[],2,0),0)</f>
        <v/>
      </c>
      <c r="Y15" s="74">
        <f>IF(AND(ESQ_PROJ2[[#This Row],[Ib]]&lt;=ESQ_PROJ2[[#This Row],[In]],ESQ_PROJ2[[#This Row],[In]]&lt;=ESQ_PROJ2[[#This Row],[Iz]]),"OK","VERIFICAR")</f>
        <v/>
      </c>
      <c r="Z15" s="108">
        <f>IFERROR(SQRT((ESQ_PROJ2[[#This Row],[X]]-$AC$4)^2+(ESQ_PROJ2[[#This Row],[Y]]-$AC$5)^2),0)</f>
        <v/>
      </c>
    </row>
    <row r="16">
      <c r="A16" s="169" t="n"/>
      <c r="B16" s="54">
        <f>IFERROR(IF(ESQ_PROJ2[[#This Row],[PONTO]]="RAMAL",A15,VLOOKUP(ESQ_PROJ2[[#This Row],[PONTO]],GERAL_PROJ2[],2,0)),0)</f>
        <v/>
      </c>
      <c r="C16" s="54">
        <f>IFERROR(IF(ESQ_PROJ2[[#This Row],[PONTO]]="RAMAL",15,VLOOKUP(ESQ_PROJ2[[#This Row],[PONTO]],GERAL_PROJ2[],3,0)),0)</f>
        <v/>
      </c>
      <c r="D16" s="55">
        <f>IFERROR(IF(ESQ_PROJ2[[#This Row],[PONTO]]="RAMAL","",VLOOKUP(ESQ_PROJ2[[#This Row],[PONTO]],GERAL_PROJ2[],4,0)),0)</f>
        <v/>
      </c>
      <c r="E16" s="55">
        <f>IFERROR(IF(ESQ_PROJ2[[#This Row],[PONTO]]="RAMAL","",VLOOKUP(ESQ_PROJ2[[#This Row],[PONTO]],GERAL_PROJ2[],5,0)),0)</f>
        <v/>
      </c>
      <c r="F16" s="55">
        <f>IFERROR(IF(ESQ_PROJ2[[#This Row],[PONTO]]="RAMAL",DMDI,VLOOKUP(ESQ_PROJ2[[#This Row],[PONTO]],GERAL_PROJ2[],8,0)),0)</f>
        <v/>
      </c>
      <c r="G16" s="55">
        <f>IFERROR(IF(ESQ_PROJ2[[#This Row],[PONTO]]="RAMAL",ESQ_PROJ2[[#This Row],[KVA PONTO]],VLOOKUP(ESQ_PROJ2[[#This Row],[PONTO]],GERAL_PROJ2[],9,0)),0)</f>
        <v/>
      </c>
      <c r="H16" s="55">
        <f>IFERROR(VLOOKUP(ESQ_PROJ2[[#This Row],[PONTO]],GERAL_PROJ2[],12,0),0)</f>
        <v/>
      </c>
      <c r="I16" s="61">
        <f>ESQ_PROJ2[[#This Row],[Ib]]</f>
        <v/>
      </c>
      <c r="J16" s="61" t="e">
        <v>#DIV/0!</v>
      </c>
      <c r="K16" s="69">
        <f>IFERROR((VLOOKUP(ESQ_PROJ2[[#This Row],[CONDUTOR]],CABOS[],3,0)/VLOOKUP(ESQ_PROJ2[[#This Row],[CONDUTOR]],CABOS[],6,0))*(1+VLOOKUP(ESQ_PROJ2[[#This Row],[CONDUTOR]],CABOS[],5,0)*(ESQ_PROJ2[[#This Row],[T]]-20)),0)</f>
        <v/>
      </c>
      <c r="L16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16" s="143">
        <f>IFERROR(SUMIF(ESQ_PROJ2[PONTO],ESQ_PROJ2[[#This Row],[TRECHO]],ESQ_PROJ2[Coluna1])+ESQ_PROJ2[[#This Row],[QT-PONTO]],0)</f>
        <v/>
      </c>
      <c r="N16" s="56">
        <f>ESQ_PROJ2[[#This Row],[Coluna1]]/127</f>
        <v/>
      </c>
      <c r="O16" s="55">
        <f>127-(127*ESQ_PROJ2[[#This Row],[QT %]])</f>
        <v/>
      </c>
      <c r="P16" s="61">
        <f>220-(220*ESQ_PROJ2[[#This Row],[QT %]])</f>
        <v/>
      </c>
      <c r="Q16" s="68">
        <f>IF(ESQ_PROJ2[[#This Row],[PROTECAO]]="OK","Protecao OK","Ajustar Disj/Condutor")</f>
        <v/>
      </c>
      <c r="R16" s="74">
        <f>"TRI"</f>
        <v/>
      </c>
      <c r="S16" s="74" t="n">
        <v>3</v>
      </c>
      <c r="T16" s="74">
        <f>"AEREO"</f>
        <v/>
      </c>
      <c r="U16" s="74">
        <f>30</f>
        <v/>
      </c>
      <c r="V16" s="74">
        <f>IF(ESQ_PROJ2[[#This Row],[FASE]]="MONO",ESQ_PROJ2[[#This Row],[ACUMULADA]]*1000/(220*ESQ_PROJ2[[#This Row],[ETA]]),ESQ_PROJ2[[#This Row],[ACUMULADA]]*1000/(SQRT(3)*$P$7*ESQ_PROJ2[[#This Row],[ETA]]))</f>
        <v/>
      </c>
      <c r="W16" s="74">
        <f>IFERROR(VLOOKUP(ESQ_PROJ2[[#This Row],[Ib]],TabelaDisjuntores[],2,TRUE),0)</f>
        <v/>
      </c>
      <c r="X16" s="74">
        <f>IFERROR(VLOOKUP(ESQ_PROJ2[[#This Row],[CONDUTOR]],CABOS[],2,0),0)</f>
        <v/>
      </c>
      <c r="Y16" s="74">
        <f>IF(AND(ESQ_PROJ2[[#This Row],[Ib]]&lt;=ESQ_PROJ2[[#This Row],[In]],ESQ_PROJ2[[#This Row],[In]]&lt;=ESQ_PROJ2[[#This Row],[Iz]]),"OK","VERIFICAR")</f>
        <v/>
      </c>
      <c r="Z16" s="108">
        <f>IFERROR(SQRT((ESQ_PROJ2[[#This Row],[X]]-$AC$4)^2+(ESQ_PROJ2[[#This Row],[Y]]-$AC$5)^2),0)</f>
        <v/>
      </c>
    </row>
    <row r="17">
      <c r="A17" s="71" t="inlineStr">
        <is>
          <t>RAMAL</t>
        </is>
      </c>
      <c r="B17" s="169">
        <f>IFERROR(IF(ESQ_PROJ2[[#This Row],[PONTO]]="RAMAL",A16,VLOOKUP(ESQ_PROJ2[[#This Row],[PONTO]],GERAL_PROJ2[],2,0)),0)</f>
        <v/>
      </c>
      <c r="C17" s="169">
        <f>IFERROR(IF(ESQ_PROJ2[[#This Row],[PONTO]]="RAMAL",15,VLOOKUP(ESQ_PROJ2[[#This Row],[PONTO]],GERAL_PROJ2[],3,0)),0)</f>
        <v/>
      </c>
      <c r="D17" s="55">
        <f>IFERROR(IF(ESQ_PROJ2[[#This Row],[PONTO]]="RAMAL","",VLOOKUP(ESQ_PROJ2[[#This Row],[PONTO]],GERAL_PROJ2[],4,0)),0)</f>
        <v/>
      </c>
      <c r="E17" s="55">
        <f>IFERROR(IF(ESQ_PROJ2[[#This Row],[PONTO]]="RAMAL","",VLOOKUP(ESQ_PROJ2[[#This Row],[PONTO]],GERAL_PROJ2[],5,0)),0)</f>
        <v/>
      </c>
      <c r="F17" s="55">
        <f>IFERROR(IF(ESQ_PROJ2[[#This Row],[PONTO]]="RAMAL",DMDI,VLOOKUP(ESQ_PROJ2[[#This Row],[PONTO]],GERAL_PROJ2[],8,0)),0)</f>
        <v/>
      </c>
      <c r="G17" s="55">
        <f>IFERROR(IF(ESQ_PROJ2[[#This Row],[PONTO]]="RAMAL",ESQ_PROJ2[[#This Row],[KVA PONTO]],VLOOKUP(ESQ_PROJ2[[#This Row],[PONTO]],GERAL_PROJ2[],9,0)),0)</f>
        <v/>
      </c>
      <c r="H17" s="174" t="inlineStr">
        <is>
          <t>16 Al_CONC_Tri</t>
        </is>
      </c>
      <c r="I17" s="61">
        <f>ESQ_PROJ2[[#This Row],[Ib]]</f>
        <v/>
      </c>
      <c r="J17" s="61" t="n">
        <v>32.36605305122444</v>
      </c>
      <c r="K17" s="69">
        <f>IFERROR((VLOOKUP(ESQ_PROJ2[[#This Row],[CONDUTOR]],CABOS[],3,0)/VLOOKUP(ESQ_PROJ2[[#This Row],[CONDUTOR]],CABOS[],6,0))*(1+VLOOKUP(ESQ_PROJ2[[#This Row],[CONDUTOR]],CABOS[],5,0)*(ESQ_PROJ2[[#This Row],[T]]-20)),0)</f>
        <v/>
      </c>
      <c r="L17" s="62">
        <f>IFERROR(IF(ESQ_PROJ2[[#This Row],[FASE]]="MONO",6,IF(ESQ_PROJ2[[#This Row],[FASE]]="BIF",2,1))*ESQ_PROJ2[[#This Row],[ACUMULADA]]*(SQRT(ESQ_PROJ2[[#This Row],[R CORR]]^2+VLOOKUP(ESQ_PROJ2[[#This Row],[CONDUTOR]],CABOS[],4,0)^2)/(($P$7^2)/100))*ESQ_PROJ2[[#This Row],[M]]*127/100+IF(ESQ_PROJ2[[#This Row],[TRECHO]]=0,127*QT_MTTR3,0),0)</f>
        <v/>
      </c>
      <c r="M17" s="143">
        <f>IFERROR(SUMIF(ESQ_PROJ2[PONTO],ESQ_PROJ2[[#This Row],[TRECHO]],ESQ_PROJ2[Coluna1])+ESQ_PROJ2[[#This Row],[QT-PONTO]],0)</f>
        <v/>
      </c>
      <c r="N17" s="56">
        <f>ESQ_PROJ2[[#This Row],[Coluna1]]/127</f>
        <v/>
      </c>
      <c r="O17" s="55">
        <f>127-(127*ESQ_PROJ2[[#This Row],[QT %]])</f>
        <v/>
      </c>
      <c r="P17" s="61">
        <f>220-(220*ESQ_PROJ2[[#This Row],[QT %]])</f>
        <v/>
      </c>
      <c r="Q17" s="68">
        <f>IF(ESQ_PROJ2[[#This Row],[PROTECAO]]="OK","Protecao OK","Ajustar Disj/Condutor")</f>
        <v/>
      </c>
      <c r="R17" s="74">
        <f>"TRI"</f>
        <v/>
      </c>
      <c r="S17" s="74" t="n">
        <v>3</v>
      </c>
      <c r="T17" s="74">
        <f>"AEREO"</f>
        <v/>
      </c>
      <c r="U17" s="74">
        <f>30</f>
        <v/>
      </c>
      <c r="V17" s="74">
        <f>IF(ESQ_PROJ2[[#This Row],[FASE]]="MONO",ESQ_PROJ2[[#This Row],[ACUMULADA]]*1000/(220*ESQ_PROJ2[[#This Row],[ETA]]),ESQ_PROJ2[[#This Row],[ACUMULADA]]*1000/(SQRT(3)*$P$7*ESQ_PROJ2[[#This Row],[ETA]]))</f>
        <v/>
      </c>
      <c r="W17" s="74">
        <f>IFERROR(VLOOKUP(ESQ_PROJ2[[#This Row],[Ib]],TabelaDisjuntores[],2,TRUE),0)</f>
        <v/>
      </c>
      <c r="X17" s="74">
        <f>IFERROR(VLOOKUP(ESQ_PROJ2[[#This Row],[CONDUTOR]],CABOS[],2,0),0)</f>
        <v/>
      </c>
      <c r="Y17" s="74">
        <f>IF(AND(ESQ_PROJ2[[#This Row],[Ib]]&lt;=ESQ_PROJ2[[#This Row],[In]],ESQ_PROJ2[[#This Row],[In]]&lt;=ESQ_PROJ2[[#This Row],[Iz]]),"OK","VERIFICAR")</f>
        <v/>
      </c>
      <c r="Z17" s="108">
        <f>IFERROR(SQRT((ESQ_PROJ2[[#This Row],[X]]-$AC$4)^2+(ESQ_PROJ2[[#This Row],[Y]]-$AC$5)^2),0)</f>
        <v/>
      </c>
    </row>
  </sheetData>
  <mergeCells count="21">
    <mergeCell ref="O5:O6"/>
    <mergeCell ref="Q5:Q6"/>
    <mergeCell ref="AB2:AC3"/>
    <mergeCell ref="B2:B3"/>
    <mergeCell ref="F5:F6"/>
    <mergeCell ref="D2:D3"/>
    <mergeCell ref="L5:L6"/>
    <mergeCell ref="N5:N6"/>
    <mergeCell ref="A2:A3"/>
    <mergeCell ref="C2:C3"/>
    <mergeCell ref="E2:E3"/>
    <mergeCell ref="I5:I6"/>
    <mergeCell ref="Z5:Z6"/>
    <mergeCell ref="A5:A6"/>
    <mergeCell ref="G5:G6"/>
    <mergeCell ref="S5:S6"/>
    <mergeCell ref="B5:B6"/>
    <mergeCell ref="H5:H6"/>
    <mergeCell ref="D5:E5"/>
    <mergeCell ref="C5:C6"/>
    <mergeCell ref="M5:M6"/>
  </mergeCells>
  <conditionalFormatting sqref="Q8:Y17">
    <cfRule type="cellIs" priority="1" operator="equal" dxfId="1">
      <formula>"Condutor Suporta Amperagem"</formula>
    </cfRule>
    <cfRule type="cellIs" priority="2" operator="equal" dxfId="0">
      <formula>"Condutor Sobrecarregado"</formula>
    </cfRule>
  </conditionalFormatting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C17"/>
  <sheetViews>
    <sheetView zoomScale="110" zoomScaleNormal="110" workbookViewId="0">
      <pane ySplit="7" topLeftCell="A8" activePane="bottomLeft" state="frozen"/>
      <selection pane="bottomLeft" activeCell="H13" activeCellId="3" sqref="A9:A12 B13 C13 H13"/>
    </sheetView>
  </sheetViews>
  <sheetFormatPr baseColWidth="8" defaultRowHeight="14.4"/>
  <cols>
    <col width="11.33203125" bestFit="1" customWidth="1" style="179" min="1" max="1"/>
    <col width="12.44140625" bestFit="1" customWidth="1" style="179" min="2" max="2"/>
    <col width="14.6640625" bestFit="1" customWidth="1" style="179" min="3" max="3"/>
    <col width="10.44140625" bestFit="1" customWidth="1" style="179" min="4" max="4"/>
    <col width="11.5546875" bestFit="1" customWidth="1" style="179" min="5" max="5"/>
    <col width="9.77734375" customWidth="1" style="179" min="6" max="6"/>
    <col width="10.44140625" customWidth="1" style="179" min="7" max="7"/>
    <col width="16.109375" bestFit="1" customWidth="1" style="179" min="8" max="8"/>
    <col hidden="1" width="11" customWidth="1" style="179" min="9" max="11"/>
    <col hidden="1" width="15.109375" customWidth="1" style="179" min="12" max="12"/>
    <col hidden="1" width="12.44140625" customWidth="1" style="179" min="13" max="13"/>
    <col width="10.33203125" customWidth="1" style="179" min="15" max="15"/>
    <col hidden="1" width="8.77734375" customWidth="1" style="179" min="16" max="16"/>
    <col hidden="1" width="27.109375" customWidth="1" style="179" min="17" max="17"/>
    <col hidden="1" width="13" customWidth="1" style="179" min="18" max="18"/>
    <col width="7.21875" bestFit="1" customWidth="1" style="179" min="19" max="19"/>
    <col hidden="1" width="13" customWidth="1" style="179" min="20" max="25"/>
    <col hidden="1" width="9.88671875" customWidth="1" style="179" min="26" max="26"/>
    <col width="3.21875" customWidth="1" style="179" min="27" max="27"/>
    <col width="16.6640625" bestFit="1" customWidth="1" style="179" min="29" max="29"/>
  </cols>
  <sheetData>
    <row r="2">
      <c r="A2" s="233" t="inlineStr">
        <is>
          <t>CQT FINAL</t>
        </is>
      </c>
      <c r="B2" s="246">
        <f>SMALL(Tabela71023[127],1)</f>
        <v/>
      </c>
      <c r="C2" s="234">
        <f>LARGE(Tabela71023[QT %],1)</f>
        <v/>
      </c>
      <c r="D2" s="201" t="n"/>
      <c r="E2" s="201" t="n"/>
      <c r="F2" s="64" t="n"/>
      <c r="H2" s="145" t="inlineStr">
        <is>
          <t>16 Al_CONC_Tri</t>
        </is>
      </c>
      <c r="AB2" s="190" t="inlineStr">
        <is>
          <t>CENTRO DE CARGA</t>
        </is>
      </c>
      <c r="AC2" s="191" t="n"/>
    </row>
    <row r="3">
      <c r="B3" s="232" t="n"/>
      <c r="C3" s="232" t="n"/>
      <c r="F3" s="64" t="n"/>
      <c r="AB3" s="192" t="n"/>
      <c r="AC3" s="192" t="n"/>
    </row>
    <row r="4">
      <c r="AB4" s="196" t="inlineStr">
        <is>
          <t>X</t>
        </is>
      </c>
      <c r="AC4" s="188">
        <f>IFERROR(SUMPRODUCT(G8:G12,D8:D12)/SUM(G8:G12),"INSERIR DADOS")</f>
        <v/>
      </c>
    </row>
    <row r="5" ht="13.8" customHeight="1" s="179">
      <c r="A5" s="233" t="inlineStr">
        <is>
          <t>PONTO</t>
        </is>
      </c>
      <c r="B5" s="180" t="inlineStr">
        <is>
          <t>PONTO MONTANTE</t>
        </is>
      </c>
      <c r="C5" s="180" t="inlineStr">
        <is>
          <t>COMPRIMENTO (m)</t>
        </is>
      </c>
      <c r="D5" s="235" t="inlineStr">
        <is>
          <t>COORDENADAS UTM</t>
        </is>
      </c>
      <c r="E5" s="182" t="n"/>
      <c r="F5" s="176" t="inlineStr">
        <is>
          <t>CARGA PONTO (kVA)</t>
        </is>
      </c>
      <c r="G5" s="176" t="inlineStr">
        <is>
          <t>ACUMULADO (kVA)</t>
        </is>
      </c>
      <c r="H5" s="176" t="inlineStr">
        <is>
          <t>CONDUTOR</t>
        </is>
      </c>
      <c r="I5" s="176" t="n"/>
      <c r="J5" s="176" t="n"/>
      <c r="K5" s="176" t="n"/>
      <c r="L5" s="176" t="inlineStr">
        <is>
          <t>QT NO PONTO</t>
        </is>
      </c>
      <c r="M5" s="176" t="inlineStr">
        <is>
          <t>QT ACUMULADA</t>
        </is>
      </c>
      <c r="N5" s="176" t="inlineStr">
        <is>
          <t>QT %</t>
        </is>
      </c>
      <c r="O5" s="176" t="inlineStr">
        <is>
          <t>TENSÃO PONTO</t>
        </is>
      </c>
      <c r="P5" s="176" t="n"/>
      <c r="Q5" s="176" t="inlineStr">
        <is>
          <t>I trecho x I condutor</t>
        </is>
      </c>
      <c r="S5" s="176" t="inlineStr">
        <is>
          <t>FASES</t>
        </is>
      </c>
      <c r="Z5" s="176" t="inlineStr">
        <is>
          <t>SNAP</t>
        </is>
      </c>
      <c r="AB5" s="12" t="inlineStr">
        <is>
          <t>Y</t>
        </is>
      </c>
      <c r="AC5" s="188">
        <f>IFERROR(SUMPRODUCT(G8:G12,E8:E12)/SUM(G8:G12),"INSERIR DADOS")</f>
        <v/>
      </c>
    </row>
    <row r="6" ht="34.2" customHeight="1" s="179">
      <c r="D6" s="233" t="inlineStr">
        <is>
          <t>LONG</t>
        </is>
      </c>
      <c r="E6" s="233" t="inlineStr">
        <is>
          <t>LAT</t>
        </is>
      </c>
      <c r="J6" s="178" t="n"/>
      <c r="K6" s="178" t="n"/>
      <c r="P6" s="178" t="n"/>
    </row>
    <row r="7">
      <c r="A7" s="53" t="inlineStr">
        <is>
          <t>PONTO</t>
        </is>
      </c>
      <c r="B7" s="53" t="inlineStr">
        <is>
          <t>TRECHO</t>
        </is>
      </c>
      <c r="C7" s="53" t="inlineStr">
        <is>
          <t>M</t>
        </is>
      </c>
      <c r="D7" s="53" t="inlineStr">
        <is>
          <t>X</t>
        </is>
      </c>
      <c r="E7" s="53" t="inlineStr">
        <is>
          <t>Y</t>
        </is>
      </c>
      <c r="F7" s="53" t="inlineStr">
        <is>
          <t>KVA PONTO</t>
        </is>
      </c>
      <c r="G7" s="53" t="inlineStr">
        <is>
          <t>ACUMULADA</t>
        </is>
      </c>
      <c r="H7" s="53" t="inlineStr">
        <is>
          <t>CONDUTOR</t>
        </is>
      </c>
      <c r="I7" s="67" t="inlineStr">
        <is>
          <t>(A)</t>
        </is>
      </c>
      <c r="J7" s="67" t="inlineStr">
        <is>
          <t>T</t>
        </is>
      </c>
      <c r="K7" s="67" t="inlineStr">
        <is>
          <t>R CORR</t>
        </is>
      </c>
      <c r="L7" s="53" t="inlineStr">
        <is>
          <t>QT-PONTO</t>
        </is>
      </c>
      <c r="M7" s="53" t="inlineStr">
        <is>
          <t>Coluna1</t>
        </is>
      </c>
      <c r="N7" s="53" t="inlineStr">
        <is>
          <t>QT %</t>
        </is>
      </c>
      <c r="O7" s="67" t="inlineStr">
        <is>
          <t>127</t>
        </is>
      </c>
      <c r="P7" s="67" t="inlineStr">
        <is>
          <t>220</t>
        </is>
      </c>
      <c r="Q7" s="53" t="inlineStr">
        <is>
          <t>TEMP2</t>
        </is>
      </c>
      <c r="R7" s="53" t="inlineStr">
        <is>
          <t>FASE</t>
        </is>
      </c>
      <c r="S7" s="53" t="inlineStr">
        <is>
          <t>ETA</t>
        </is>
      </c>
      <c r="T7" s="53" t="inlineStr">
        <is>
          <t>METODO_INST</t>
        </is>
      </c>
      <c r="U7" s="53" t="inlineStr">
        <is>
          <t>TEMP_AMB</t>
        </is>
      </c>
      <c r="V7" s="53" t="inlineStr">
        <is>
          <t>Ib</t>
        </is>
      </c>
      <c r="W7" s="53" t="inlineStr">
        <is>
          <t>In</t>
        </is>
      </c>
      <c r="X7" s="53" t="inlineStr">
        <is>
          <t>Iz</t>
        </is>
      </c>
      <c r="Y7" s="53" t="inlineStr">
        <is>
          <t>PROTECAO</t>
        </is>
      </c>
      <c r="Z7" s="53" t="inlineStr">
        <is>
          <t>Coluna2</t>
        </is>
      </c>
    </row>
    <row r="8">
      <c r="A8" s="54">
        <f>'GERAL PROJ2'!A16</f>
        <v/>
      </c>
      <c r="B8" s="54">
        <f>IFERROR(IF(Tabela71023[[#This Row],[PONTO]]="RAMAL",A7,VLOOKUP(Tabela71023[[#This Row],[PONTO]],GERAL_PROJ2[],2,0)),0)</f>
        <v/>
      </c>
      <c r="C8" s="54">
        <f>IFERROR(IF(Tabela71023[[#This Row],[PONTO]]="RAMAL",15,VLOOKUP(Tabela71023[[#This Row],[PONTO]],GERAL_PROJ2[],3,0)),0)</f>
        <v/>
      </c>
      <c r="D8" s="55">
        <f>IFERROR(IF(Tabela71023[[#This Row],[PONTO]]="RAMAL","",VLOOKUP(Tabela71023[[#This Row],[PONTO]],GERAL_PROJ2[],4,0)),0)</f>
        <v/>
      </c>
      <c r="E8" s="55">
        <f>IFERROR(IF(Tabela71023[[#This Row],[PONTO]]="RAMAL","",VLOOKUP(Tabela71023[[#This Row],[PONTO]],GERAL_PROJ2[],5,0)),0)</f>
        <v/>
      </c>
      <c r="F8" s="55">
        <f>IFERROR(IF(Tabela71023[[#This Row],[PONTO]]="RAMAL",DMDI,VLOOKUP(Tabela71023[[#This Row],[PONTO]],GERAL_PROJ2[],8,0)),0)</f>
        <v/>
      </c>
      <c r="G8" s="55">
        <f>IFERROR(IF(Tabela71023[[#This Row],[PONTO]]="RAMAL",Tabela71023[[#This Row],[KVA PONTO]],VLOOKUP(Tabela71023[[#This Row],[PONTO]],GERAL_PROJ2[],9,0)),0)</f>
        <v/>
      </c>
      <c r="H8" s="55">
        <f>IFERROR(VLOOKUP(Tabela71023[[#This Row],[PONTO]],GERAL_PROJ2[],12,0),0)</f>
        <v/>
      </c>
      <c r="I8" s="55">
        <f>Tabela71023[[#This Row],[Ib]]</f>
        <v/>
      </c>
      <c r="J8" s="55" t="e">
        <v>#DIV/0!</v>
      </c>
      <c r="K8" s="131">
        <f>IFERROR((VLOOKUP(Tabela71023[[#This Row],[CONDUTOR]],CABOS[],3,0)/VLOOKUP(Tabela71023[[#This Row],[CONDUTOR]],CABOS[],6,0))*(1+VLOOKUP(Tabela71023[[#This Row],[CONDUTOR]],CABOS[],5,0)*(Tabela71023[[#This Row],[T]]-20)),0)</f>
        <v/>
      </c>
      <c r="L8" s="148">
        <f>IFERROR(IF(Tabela71023[[#This Row],[FASE]]="MONO",6,IF(Tabela71023[[#This Row],[FASE]]="BIF",2,1))*Tabela71023[[#This Row],[ACUMULADA]]*(SQRT(Tabela71023[[#This Row],[R CORR]]^2+VLOOKUP(Tabela71023[[#This Row],[CONDUTOR]],CABOS[],4,0)^2)/(($P$7^2)/100))*Tabela71023[[#This Row],[M]]*127/100+IF(Tabela71023[[#This Row],[TRECHO]]=0,127*QT_MTTR3,0),0)</f>
        <v/>
      </c>
      <c r="M8" s="132">
        <f>IFERROR(SUMIF(Tabela71023[PONTO],Tabela71023[[#This Row],[TRECHO]],Tabela71023[Coluna1])+Tabela71023[[#This Row],[QT-PONTO]],0)</f>
        <v/>
      </c>
      <c r="N8" s="56">
        <f>Tabela71023[[#This Row],[Coluna1]]/127</f>
        <v/>
      </c>
      <c r="O8" s="55">
        <f>127-(127*Tabela71023[[#This Row],[QT %]])</f>
        <v/>
      </c>
      <c r="P8" s="55">
        <f>220-(220*Tabela71023[[#This Row],[QT %]])</f>
        <v/>
      </c>
      <c r="Q8" s="68">
        <f>IF(Tabela71023[[#This Row],[PROTECAO]]="OK","Protecao OK","Ajustar Disj/Condutor")</f>
        <v/>
      </c>
      <c r="R8" s="74">
        <f>"TRI"</f>
        <v/>
      </c>
      <c r="S8" s="74" t="n">
        <v>3</v>
      </c>
      <c r="T8" s="74">
        <f>"AEREO"</f>
        <v/>
      </c>
      <c r="U8" s="74">
        <f>30</f>
        <v/>
      </c>
      <c r="V8" s="74">
        <f>IF(Tabela71023[[#This Row],[FASE]]="MONO",Tabela71023[[#This Row],[ACUMULADA]]*1000/(220*Tabela71023[[#This Row],[ETA]]),Tabela71023[[#This Row],[ACUMULADA]]*1000/(SQRT(3)*$P$7*Tabela71023[[#This Row],[ETA]]))</f>
        <v/>
      </c>
      <c r="W8" s="74">
        <f>IFERROR(VLOOKUP(Tabela71023[[#This Row],[Ib]],TabelaDisjuntores[],2,TRUE),0)</f>
        <v/>
      </c>
      <c r="X8" s="74">
        <f>IFERROR(VLOOKUP(Tabela71023[[#This Row],[CONDUTOR]],CABOS[],2,0),0)</f>
        <v/>
      </c>
      <c r="Y8" s="74">
        <f>IF(AND(Tabela71023[[#This Row],[Ib]]&lt;=Tabela71023[[#This Row],[In]],Tabela71023[[#This Row],[In]]&lt;=Tabela71023[[#This Row],[Iz]]),"OK","VERIFICAR")</f>
        <v/>
      </c>
      <c r="Z8" s="109">
        <f>IFERROR(SQRT((Tabela71023[[#This Row],[X]]-$AC$4)^2+(Tabela71023[[#This Row],[Y]]-$AC$5)^2),0)</f>
        <v/>
      </c>
    </row>
    <row r="9">
      <c r="A9" s="169" t="n"/>
      <c r="B9" s="54">
        <f>IFERROR(IF(Tabela71023[[#This Row],[PONTO]]="RAMAL",A8,VLOOKUP(Tabela71023[[#This Row],[PONTO]],GERAL_PROJ2[],2,0)),0)</f>
        <v/>
      </c>
      <c r="C9" s="54">
        <f>IFERROR(IF(Tabela71023[[#This Row],[PONTO]]="RAMAL",15,VLOOKUP(Tabela71023[[#This Row],[PONTO]],GERAL_PROJ2[],3,0)),0)</f>
        <v/>
      </c>
      <c r="D9" s="55">
        <f>IFERROR(IF(Tabela71023[[#This Row],[PONTO]]="RAMAL","",VLOOKUP(Tabela71023[[#This Row],[PONTO]],GERAL_PROJ2[],4,0)),0)</f>
        <v/>
      </c>
      <c r="E9" s="55">
        <f>IFERROR(IF(Tabela71023[[#This Row],[PONTO]]="RAMAL","",VLOOKUP(Tabela71023[[#This Row],[PONTO]],GERAL_PROJ2[],5,0)),0)</f>
        <v/>
      </c>
      <c r="F9" s="55">
        <f>IFERROR(IF(Tabela71023[[#This Row],[PONTO]]="RAMAL",DMDI,VLOOKUP(Tabela71023[[#This Row],[PONTO]],GERAL_PROJ2[],8,0)),0)</f>
        <v/>
      </c>
      <c r="G9" s="55">
        <f>IFERROR(IF(Tabela71023[[#This Row],[PONTO]]="RAMAL",Tabela71023[[#This Row],[KVA PONTO]],VLOOKUP(Tabela71023[[#This Row],[PONTO]],GERAL_PROJ2[],9,0)),0)</f>
        <v/>
      </c>
      <c r="H9" s="55">
        <f>IFERROR(VLOOKUP(Tabela71023[[#This Row],[PONTO]],GERAL_PROJ2[],12,0),0)</f>
        <v/>
      </c>
      <c r="I9" s="55">
        <f>Tabela71023[[#This Row],[Ib]]</f>
        <v/>
      </c>
      <c r="J9" s="55">
        <f>Tabela71023[[#This Row],[TEMP_AMB]]+60*(Tabela71023[[#This Row],[Ib]]/Tabela71023[[#This Row],[Iz]])</f>
        <v/>
      </c>
      <c r="K9" s="131">
        <f>(VLOOKUP(Tabela71023[[#This Row],[CONDUTOR]],CABOS[],3,0)/VLOOKUP(Tabela71023[[#This Row],[CONDUTOR]],CABOS[],6,0))*(1+VLOOKUP(Tabela71023[[#This Row],[CONDUTOR]],CABOS[],5,0)*(Tabela71023[[#This Row],[T]]-20))</f>
        <v/>
      </c>
      <c r="L9" s="148">
        <f>IFERROR(IF(Tabela71023[[#This Row],[FASE]]="MONO",6,IF(Tabela71023[[#This Row],[FASE]]="BIF",2,1))*Tabela71023[[#This Row],[ACUMULADA]]*(SQRT(Tabela71023[[#This Row],[R CORR]]^2+VLOOKUP(Tabela71023[[#This Row],[CONDUTOR]],CABOS[],4,0)^2)/(($P$7^2)/100))*Tabela71023[[#This Row],[M]]*127/100+IF(Tabela71023[[#This Row],[TRECHO]]=0,127*QT_MTTR3,0),0)</f>
        <v/>
      </c>
      <c r="M9" s="132">
        <f>SUMIF(Tabela71023[PONTO],Tabela71023[[#This Row],[TRECHO]],Tabela71023[Coluna1])+Tabela71023[[#This Row],[QT-PONTO]]</f>
        <v/>
      </c>
      <c r="N9" s="56">
        <f>Tabela71023[[#This Row],[Coluna1]]/127</f>
        <v/>
      </c>
      <c r="O9" s="55">
        <f>127-(127*Tabela71023[[#This Row],[QT %]])</f>
        <v/>
      </c>
      <c r="P9" s="55">
        <f>220-(220*Tabela71023[[#This Row],[QT %]])</f>
        <v/>
      </c>
      <c r="Q9" s="68">
        <f>IF(Tabela71023[[#This Row],[PROTECAO]]="OK","Protecao OK","Ajustar Disj/Condutor")</f>
        <v/>
      </c>
      <c r="R9" s="74">
        <f>"TRI"</f>
        <v/>
      </c>
      <c r="S9" s="74">
        <f>1</f>
        <v/>
      </c>
      <c r="T9" s="74">
        <f>"AEREO"</f>
        <v/>
      </c>
      <c r="U9" s="74">
        <f>30</f>
        <v/>
      </c>
      <c r="V9" s="74">
        <f>IF(Tabela71023[[#This Row],[FASE]]="MONO",Tabela71023[[#This Row],[ACUMULADA]]*1000/(220*Tabela71023[[#This Row],[ETA]]),Tabela71023[[#This Row],[ACUMULADA]]*1000/(SQRT(3)*$P$7*Tabela71023[[#This Row],[ETA]]))</f>
        <v/>
      </c>
      <c r="W9" s="74">
        <f>VLOOKUP(Tabela71023[[#This Row],[Ib]],TabelaDisjuntores[],2,TRUE)</f>
        <v/>
      </c>
      <c r="X9" s="74">
        <f>VLOOKUP(Tabela71023[[#This Row],[CONDUTOR]],CABOS[],2,0)</f>
        <v/>
      </c>
      <c r="Y9" s="74">
        <f>IF(AND(Tabela71023[[#This Row],[Ib]]&lt;=Tabela71023[[#This Row],[In]],Tabela71023[[#This Row],[In]]&lt;=Tabela71023[[#This Row],[Iz]]),"OK","VERIFICAR")</f>
        <v/>
      </c>
      <c r="Z9" s="109">
        <f>IFERROR(SQRT((Tabela71023[[#This Row],[X]]-$AC$4)^2+(Tabela71023[[#This Row],[Y]]-$AC$5)^2),0)</f>
        <v/>
      </c>
    </row>
    <row r="10">
      <c r="A10" s="169" t="n"/>
      <c r="B10" s="54">
        <f>IFERROR(IF(Tabela71023[[#This Row],[PONTO]]="RAMAL",A8,VLOOKUP(Tabela71023[[#This Row],[PONTO]],GERAL_PROJ2[],2,0)),0)</f>
        <v/>
      </c>
      <c r="C10" s="54">
        <f>IFERROR(IF(Tabela71023[[#This Row],[PONTO]]="RAMAL",15,VLOOKUP(Tabela71023[[#This Row],[PONTO]],GERAL_PROJ2[],3,0)),0)</f>
        <v/>
      </c>
      <c r="D10" s="55">
        <f>IFERROR(IF(Tabela71023[[#This Row],[PONTO]]="RAMAL","",VLOOKUP(Tabela71023[[#This Row],[PONTO]],GERAL_PROJ2[],4,0)),0)</f>
        <v/>
      </c>
      <c r="E10" s="55">
        <f>IFERROR(IF(Tabela71023[[#This Row],[PONTO]]="RAMAL","",VLOOKUP(Tabela71023[[#This Row],[PONTO]],GERAL_PROJ2[],5,0)),0)</f>
        <v/>
      </c>
      <c r="F10" s="55">
        <f>IFERROR(IF(Tabela71023[[#This Row],[PONTO]]="RAMAL",DMDI,VLOOKUP(Tabela71023[[#This Row],[PONTO]],GERAL_PROJ2[],8,0)),0)</f>
        <v/>
      </c>
      <c r="G10" s="55">
        <f>IFERROR(IF(Tabela71023[[#This Row],[PONTO]]="RAMAL",Tabela71023[[#This Row],[KVA PONTO]],VLOOKUP(Tabela71023[[#This Row],[PONTO]],GERAL_PROJ2[],9,0)),0)</f>
        <v/>
      </c>
      <c r="H10" s="55">
        <f>IFERROR(VLOOKUP(Tabela71023[[#This Row],[PONTO]],GERAL_PROJ2[],12,0),0)</f>
        <v/>
      </c>
      <c r="I10" s="55">
        <f>Tabela71023[[#This Row],[Ib]]</f>
        <v/>
      </c>
      <c r="J10" s="55">
        <f>Tabela71023[[#This Row],[TEMP_AMB]]+60*(Tabela71023[[#This Row],[Ib]]/Tabela71023[[#This Row],[Iz]])</f>
        <v/>
      </c>
      <c r="K10" s="131">
        <f>(VLOOKUP(Tabela71023[[#This Row],[CONDUTOR]],CABOS[],3,0)/VLOOKUP(Tabela71023[[#This Row],[CONDUTOR]],CABOS[],6,0))*(1+VLOOKUP(Tabela71023[[#This Row],[CONDUTOR]],CABOS[],5,0)*(Tabela71023[[#This Row],[T]]-20))</f>
        <v/>
      </c>
      <c r="L10" s="148">
        <f>IFERROR(IF(Tabela71023[[#This Row],[FASE]]="MONO",6,IF(Tabela71023[[#This Row],[FASE]]="BIF",2,1))*Tabela71023[[#This Row],[ACUMULADA]]*(SQRT(Tabela71023[[#This Row],[R CORR]]^2+VLOOKUP(Tabela71023[[#This Row],[CONDUTOR]],CABOS[],4,0)^2)/(($P$7^2)/100))*Tabela71023[[#This Row],[M]]*127/100+IF(Tabela71023[[#This Row],[TRECHO]]=0,127*QT_MTTR3,0),0)</f>
        <v/>
      </c>
      <c r="M10" s="132">
        <f>SUMIF(Tabela71023[PONTO],Tabela71023[[#This Row],[TRECHO]],Tabela71023[Coluna1])+Tabela71023[[#This Row],[QT-PONTO]]</f>
        <v/>
      </c>
      <c r="N10" s="56">
        <f>Tabela71023[[#This Row],[Coluna1]]/127</f>
        <v/>
      </c>
      <c r="O10" s="55">
        <f>127-(127*Tabela71023[[#This Row],[QT %]])</f>
        <v/>
      </c>
      <c r="P10" s="55">
        <f>220-(220*Tabela71023[[#This Row],[QT %]])</f>
        <v/>
      </c>
      <c r="Q10" s="68">
        <f>IF(Tabela71023[[#This Row],[PROTECAO]]="OK","Protecao OK","Ajustar Disj/Condutor")</f>
        <v/>
      </c>
      <c r="R10" s="74">
        <f>"TRI"</f>
        <v/>
      </c>
      <c r="S10" s="74">
        <f>1</f>
        <v/>
      </c>
      <c r="T10" s="74">
        <f>"AEREO"</f>
        <v/>
      </c>
      <c r="U10" s="74">
        <f>30</f>
        <v/>
      </c>
      <c r="V10" s="74">
        <f>IF(Tabela71023[[#This Row],[FASE]]="MONO",Tabela71023[[#This Row],[ACUMULADA]]*1000/(220*Tabela71023[[#This Row],[ETA]]),Tabela71023[[#This Row],[ACUMULADA]]*1000/(SQRT(3)*$P$7*Tabela71023[[#This Row],[ETA]]))</f>
        <v/>
      </c>
      <c r="W10" s="74">
        <f>VLOOKUP(Tabela71023[[#This Row],[Ib]],TabelaDisjuntores[],2,TRUE)</f>
        <v/>
      </c>
      <c r="X10" s="74">
        <f>VLOOKUP(Tabela71023[[#This Row],[CONDUTOR]],CABOS[],2,0)</f>
        <v/>
      </c>
      <c r="Y10" s="74">
        <f>IF(AND(Tabela71023[[#This Row],[Ib]]&lt;=Tabela71023[[#This Row],[In]],Tabela71023[[#This Row],[In]]&lt;=Tabela71023[[#This Row],[Iz]]),"OK","VERIFICAR")</f>
        <v/>
      </c>
      <c r="Z10" s="109">
        <f>IFERROR(SQRT((Tabela71023[[#This Row],[X]]-$AC$4)^2+(Tabela71023[[#This Row],[Y]]-$AC$5)^2),0)</f>
        <v/>
      </c>
    </row>
    <row r="11">
      <c r="A11" s="169" t="n"/>
      <c r="B11" s="54">
        <f>IFERROR(IF(Tabela71023[[#This Row],[PONTO]]="RAMAL",A8,VLOOKUP(Tabela71023[[#This Row],[PONTO]],GERAL_PROJ2[],2,0)),0)</f>
        <v/>
      </c>
      <c r="C11" s="54">
        <f>IFERROR(IF(Tabela71023[[#This Row],[PONTO]]="RAMAL",15,VLOOKUP(Tabela71023[[#This Row],[PONTO]],GERAL_PROJ2[],3,0)),0)</f>
        <v/>
      </c>
      <c r="D11" s="55">
        <f>IFERROR(IF(Tabela71023[[#This Row],[PONTO]]="RAMAL","",VLOOKUP(Tabela71023[[#This Row],[PONTO]],GERAL_PROJ2[],4,0)),0)</f>
        <v/>
      </c>
      <c r="E11" s="55">
        <f>IFERROR(IF(Tabela71023[[#This Row],[PONTO]]="RAMAL","",VLOOKUP(Tabela71023[[#This Row],[PONTO]],GERAL_PROJ2[],5,0)),0)</f>
        <v/>
      </c>
      <c r="F11" s="55">
        <f>IFERROR(IF(Tabela71023[[#This Row],[PONTO]]="RAMAL",DMDI,VLOOKUP(Tabela71023[[#This Row],[PONTO]],GERAL_PROJ2[],8,0)),0)</f>
        <v/>
      </c>
      <c r="G11" s="55">
        <f>IFERROR(IF(Tabela71023[[#This Row],[PONTO]]="RAMAL",Tabela71023[[#This Row],[KVA PONTO]],VLOOKUP(Tabela71023[[#This Row],[PONTO]],GERAL_PROJ2[],9,0)),0)</f>
        <v/>
      </c>
      <c r="H11" s="55">
        <f>IFERROR(VLOOKUP(Tabela71023[[#This Row],[PONTO]],GERAL_PROJ2[],12,0),0)</f>
        <v/>
      </c>
      <c r="I11" s="55">
        <f>Tabela71023[[#This Row],[Ib]]</f>
        <v/>
      </c>
      <c r="J11" s="55">
        <f>Tabela71023[[#This Row],[TEMP_AMB]]+60*(Tabela71023[[#This Row],[Ib]]/Tabela71023[[#This Row],[Iz]])</f>
        <v/>
      </c>
      <c r="K11" s="131">
        <f>(VLOOKUP(Tabela71023[[#This Row],[CONDUTOR]],CABOS[],3,0)/VLOOKUP(Tabela71023[[#This Row],[CONDUTOR]],CABOS[],6,0))*(1+VLOOKUP(Tabela71023[[#This Row],[CONDUTOR]],CABOS[],5,0)*(Tabela71023[[#This Row],[T]]-20))</f>
        <v/>
      </c>
      <c r="L11" s="148">
        <f>IFERROR(IF(Tabela71023[[#This Row],[FASE]]="MONO",6,IF(Tabela71023[[#This Row],[FASE]]="BIF",2,1))*Tabela71023[[#This Row],[ACUMULADA]]*(SQRT(Tabela71023[[#This Row],[R CORR]]^2+VLOOKUP(Tabela71023[[#This Row],[CONDUTOR]],CABOS[],4,0)^2)/(($P$7^2)/100))*Tabela71023[[#This Row],[M]]*127/100+IF(Tabela71023[[#This Row],[TRECHO]]=0,127*QT_MTTR3,0),0)</f>
        <v/>
      </c>
      <c r="M11" s="132">
        <f>SUMIF(Tabela71023[PONTO],Tabela71023[[#This Row],[TRECHO]],Tabela71023[Coluna1])+Tabela71023[[#This Row],[QT-PONTO]]</f>
        <v/>
      </c>
      <c r="N11" s="56">
        <f>Tabela71023[[#This Row],[Coluna1]]/127</f>
        <v/>
      </c>
      <c r="O11" s="55">
        <f>127-(127*Tabela71023[[#This Row],[QT %]])</f>
        <v/>
      </c>
      <c r="P11" s="55">
        <f>220-(220*Tabela71023[[#This Row],[QT %]])</f>
        <v/>
      </c>
      <c r="Q11" s="68">
        <f>IF(Tabela71023[[#This Row],[PROTECAO]]="OK","Protecao OK","Ajustar Disj/Condutor")</f>
        <v/>
      </c>
      <c r="R11" s="74">
        <f>"TRI"</f>
        <v/>
      </c>
      <c r="S11" s="74">
        <f>1</f>
        <v/>
      </c>
      <c r="T11" s="74">
        <f>"AEREO"</f>
        <v/>
      </c>
      <c r="U11" s="74">
        <f>30</f>
        <v/>
      </c>
      <c r="V11" s="74">
        <f>IF(Tabela71023[[#This Row],[FASE]]="MONO",Tabela71023[[#This Row],[ACUMULADA]]*1000/(220*Tabela71023[[#This Row],[ETA]]),Tabela71023[[#This Row],[ACUMULADA]]*1000/(SQRT(3)*$P$7*Tabela71023[[#This Row],[ETA]]))</f>
        <v/>
      </c>
      <c r="W11" s="74">
        <f>VLOOKUP(Tabela71023[[#This Row],[Ib]],TabelaDisjuntores[],2,TRUE)</f>
        <v/>
      </c>
      <c r="X11" s="74">
        <f>VLOOKUP(Tabela71023[[#This Row],[CONDUTOR]],CABOS[],2,0)</f>
        <v/>
      </c>
      <c r="Y11" s="74">
        <f>IF(AND(Tabela71023[[#This Row],[Ib]]&lt;=Tabela71023[[#This Row],[In]],Tabela71023[[#This Row],[In]]&lt;=Tabela71023[[#This Row],[Iz]]),"OK","VERIFICAR")</f>
        <v/>
      </c>
      <c r="Z11" s="109">
        <f>IFERROR(SQRT((Tabela71023[[#This Row],[X]]-$AC$4)^2+(Tabela71023[[#This Row],[Y]]-$AC$5)^2),0)</f>
        <v/>
      </c>
    </row>
    <row r="12">
      <c r="A12" s="169" t="n"/>
      <c r="B12" s="54">
        <f>IFERROR(IF(Tabela71023[[#This Row],[PONTO]]="RAMAL",A8,VLOOKUP(Tabela71023[[#This Row],[PONTO]],GERAL_PROJ2[],2,0)),0)</f>
        <v/>
      </c>
      <c r="C12" s="54">
        <f>IFERROR(IF(Tabela71023[[#This Row],[PONTO]]="RAMAL",15,VLOOKUP(Tabela71023[[#This Row],[PONTO]],GERAL_PROJ2[],3,0)),0)</f>
        <v/>
      </c>
      <c r="D12" s="55">
        <f>IFERROR(IF(Tabela71023[[#This Row],[PONTO]]="RAMAL","",VLOOKUP(Tabela71023[[#This Row],[PONTO]],GERAL_PROJ2[],4,0)),0)</f>
        <v/>
      </c>
      <c r="E12" s="55">
        <f>IFERROR(IF(Tabela71023[[#This Row],[PONTO]]="RAMAL","",VLOOKUP(Tabela71023[[#This Row],[PONTO]],GERAL_PROJ2[],5,0)),0)</f>
        <v/>
      </c>
      <c r="F12" s="55">
        <f>IFERROR(IF(Tabela71023[[#This Row],[PONTO]]="RAMAL",DMDI,VLOOKUP(Tabela71023[[#This Row],[PONTO]],GERAL_PROJ2[],8,0)),0)</f>
        <v/>
      </c>
      <c r="G12" s="55">
        <f>IFERROR(IF(Tabela71023[[#This Row],[PONTO]]="RAMAL",Tabela71023[[#This Row],[KVA PONTO]],VLOOKUP(Tabela71023[[#This Row],[PONTO]],GERAL_PROJ2[],9,0)),0)</f>
        <v/>
      </c>
      <c r="H12" s="55">
        <f>IFERROR(VLOOKUP(Tabela71023[[#This Row],[PONTO]],GERAL_PROJ2[],12,0),0)</f>
        <v/>
      </c>
      <c r="I12" s="55">
        <f>Tabela71023[[#This Row],[Ib]]</f>
        <v/>
      </c>
      <c r="J12" s="55" t="e">
        <v>#DIV/0!</v>
      </c>
      <c r="K12" s="131">
        <f>IFERROR((VLOOKUP(Tabela71023[[#This Row],[CONDUTOR]],CABOS[],3,0)/VLOOKUP(Tabela71023[[#This Row],[CONDUTOR]],CABOS[],6,0))*(1+VLOOKUP(Tabela71023[[#This Row],[CONDUTOR]],CABOS[],5,0)*(Tabela71023[[#This Row],[T]]-20)),0)</f>
        <v/>
      </c>
      <c r="L12" s="148">
        <f>IFERROR(IF(Tabela71023[[#This Row],[FASE]]="MONO",6,IF(Tabela71023[[#This Row],[FASE]]="BIF",2,1))*Tabela71023[[#This Row],[ACUMULADA]]*(SQRT(Tabela71023[[#This Row],[R CORR]]^2+VLOOKUP(Tabela71023[[#This Row],[CONDUTOR]],CABOS[],4,0)^2)/(($P$7^2)/100))*Tabela71023[[#This Row],[M]]*127/100+IF(Tabela71023[[#This Row],[TRECHO]]=0,127*QT_MTTR3,0),0)</f>
        <v/>
      </c>
      <c r="M12" s="132">
        <f>IFERROR(SUMIF(Tabela71023[PONTO],Tabela71023[[#This Row],[TRECHO]],Tabela71023[Coluna1])+Tabela71023[[#This Row],[QT-PONTO]],0)</f>
        <v/>
      </c>
      <c r="N12" s="56">
        <f>Tabela71023[[#This Row],[Coluna1]]/127</f>
        <v/>
      </c>
      <c r="O12" s="55">
        <f>127-(127*Tabela71023[[#This Row],[QT %]])</f>
        <v/>
      </c>
      <c r="P12" s="55">
        <f>220-(220*Tabela71023[[#This Row],[QT %]])</f>
        <v/>
      </c>
      <c r="Q12" s="68">
        <f>IF(Tabela71023[[#This Row],[PROTECAO]]="OK","Protecao OK","Ajustar Disj/Condutor")</f>
        <v/>
      </c>
      <c r="R12" s="74">
        <f>"TRI"</f>
        <v/>
      </c>
      <c r="S12" s="74" t="n">
        <v>3</v>
      </c>
      <c r="T12" s="74">
        <f>"AEREO"</f>
        <v/>
      </c>
      <c r="U12" s="74">
        <f>30</f>
        <v/>
      </c>
      <c r="V12" s="74">
        <f>IF(Tabela71023[[#This Row],[FASE]]="MONO",Tabela71023[[#This Row],[ACUMULADA]]*1000/(220*Tabela71023[[#This Row],[ETA]]),Tabela71023[[#This Row],[ACUMULADA]]*1000/(SQRT(3)*$P$7*Tabela71023[[#This Row],[ETA]]))</f>
        <v/>
      </c>
      <c r="W12" s="74">
        <f>IFERROR(VLOOKUP(Tabela71023[[#This Row],[Ib]],TabelaDisjuntores[],2,TRUE),0)</f>
        <v/>
      </c>
      <c r="X12" s="74">
        <f>IFERROR(VLOOKUP(Tabela71023[[#This Row],[CONDUTOR]],CABOS[],2,0),0)</f>
        <v/>
      </c>
      <c r="Y12" s="74">
        <f>IF(AND(Tabela71023[[#This Row],[Ib]]&lt;=Tabela71023[[#This Row],[In]],Tabela71023[[#This Row],[In]]&lt;=Tabela71023[[#This Row],[Iz]]),"OK","VERIFICAR")</f>
        <v/>
      </c>
      <c r="Z12" s="109">
        <f>IFERROR(SQRT((Tabela71023[[#This Row],[X]]-$AC$4)^2+(Tabela71023[[#This Row],[Y]]-$AC$5)^2),0)</f>
        <v/>
      </c>
    </row>
    <row r="13">
      <c r="A13" s="71" t="inlineStr">
        <is>
          <t>RAMAL</t>
        </is>
      </c>
      <c r="B13" s="169">
        <f>IFERROR(IF(Tabela71023[[#This Row],[PONTO]]="RAMAL",A12,VLOOKUP(Tabela71023[[#This Row],[PONTO]],GERAL_PROJ2[],2,0)),0)</f>
        <v/>
      </c>
      <c r="C13" s="169">
        <f>IFERROR(IF(Tabela71023[[#This Row],[PONTO]]="RAMAL",15,VLOOKUP(Tabela71023[[#This Row],[PONTO]],GERAL_PROJ2[],3,0)),0)</f>
        <v/>
      </c>
      <c r="D13" s="55">
        <f>IFERROR(IF(Tabela71023[[#This Row],[PONTO]]="RAMAL","",VLOOKUP(Tabela71023[[#This Row],[PONTO]],GERAL_PROJ2[],4,0)),0)</f>
        <v/>
      </c>
      <c r="E13" s="55">
        <f>IFERROR(IF(Tabela71023[[#This Row],[PONTO]]="RAMAL","",VLOOKUP(Tabela71023[[#This Row],[PONTO]],GERAL_PROJ2[],5,0)),0)</f>
        <v/>
      </c>
      <c r="F13" s="55">
        <f>IFERROR(IF(Tabela71023[[#This Row],[PONTO]]="RAMAL",DMDI,VLOOKUP(Tabela71023[[#This Row],[PONTO]],GERAL_PROJ2[],8,0)),0)</f>
        <v/>
      </c>
      <c r="G13" s="55">
        <f>IFERROR(IF(Tabela71023[[#This Row],[PONTO]]="RAMAL",Tabela71023[[#This Row],[KVA PONTO]],VLOOKUP(Tabela71023[[#This Row],[PONTO]],GERAL_PROJ2[],9,0)),0)</f>
        <v/>
      </c>
      <c r="H13" s="174" t="inlineStr">
        <is>
          <t>16 Al_CONC_Tri</t>
        </is>
      </c>
      <c r="I13" s="55">
        <f>Tabela71023[[#This Row],[Ib]]</f>
        <v/>
      </c>
      <c r="J13" s="55" t="n">
        <v>32.36605305122444</v>
      </c>
      <c r="K13" s="131">
        <f>IFERROR((VLOOKUP(Tabela71023[[#This Row],[CONDUTOR]],CABOS[],3,0)/VLOOKUP(Tabela71023[[#This Row],[CONDUTOR]],CABOS[],6,0))*(1+VLOOKUP(Tabela71023[[#This Row],[CONDUTOR]],CABOS[],5,0)*(Tabela71023[[#This Row],[T]]-20)),0)</f>
        <v/>
      </c>
      <c r="L13" s="148">
        <f>IFERROR(IF(Tabela71023[[#This Row],[FASE]]="MONO",6,IF(Tabela71023[[#This Row],[FASE]]="BIF",2,1))*Tabela71023[[#This Row],[ACUMULADA]]*(SQRT(Tabela71023[[#This Row],[R CORR]]^2+VLOOKUP(Tabela71023[[#This Row],[CONDUTOR]],CABOS[],4,0)^2)/(($P$7^2)/100))*Tabela71023[[#This Row],[M]]*127/100+IF(Tabela71023[[#This Row],[TRECHO]]=0,127*QT_MTTR3,0),0)</f>
        <v/>
      </c>
      <c r="M13" s="132">
        <f>IFERROR(SUMIF(Tabela71023[PONTO],Tabela71023[[#This Row],[TRECHO]],Tabela71023[Coluna1])+Tabela71023[[#This Row],[QT-PONTO]],0)</f>
        <v/>
      </c>
      <c r="N13" s="56">
        <f>Tabela71023[[#This Row],[Coluna1]]/127</f>
        <v/>
      </c>
      <c r="O13" s="55">
        <f>127-(127*Tabela71023[[#This Row],[QT %]])</f>
        <v/>
      </c>
      <c r="P13" s="55">
        <f>220-(220*Tabela71023[[#This Row],[QT %]])</f>
        <v/>
      </c>
      <c r="Q13" s="68">
        <f>IF(Tabela71023[[#This Row],[PROTECAO]]="OK","Protecao OK","Ajustar Disj/Condutor")</f>
        <v/>
      </c>
      <c r="R13" s="74">
        <f>"TRI"</f>
        <v/>
      </c>
      <c r="S13" s="74" t="n">
        <v>3</v>
      </c>
      <c r="T13" s="74">
        <f>"AEREO"</f>
        <v/>
      </c>
      <c r="U13" s="74">
        <f>30</f>
        <v/>
      </c>
      <c r="V13" s="74">
        <f>IF(Tabela71023[[#This Row],[FASE]]="MONO",Tabela71023[[#This Row],[ACUMULADA]]*1000/(220*Tabela71023[[#This Row],[ETA]]),Tabela71023[[#This Row],[ACUMULADA]]*1000/(SQRT(3)*$P$7*Tabela71023[[#This Row],[ETA]]))</f>
        <v/>
      </c>
      <c r="W13" s="74">
        <f>IFERROR(VLOOKUP(Tabela71023[[#This Row],[Ib]],TabelaDisjuntores[],2,TRUE),0)</f>
        <v/>
      </c>
      <c r="X13" s="74">
        <f>IFERROR(VLOOKUP(Tabela71023[[#This Row],[CONDUTOR]],CABOS[],2,0),0)</f>
        <v/>
      </c>
      <c r="Y13" s="74">
        <f>IF(AND(Tabela71023[[#This Row],[Ib]]&lt;=Tabela71023[[#This Row],[In]],Tabela71023[[#This Row],[In]]&lt;=Tabela71023[[#This Row],[Iz]]),"OK","VERIFICAR")</f>
        <v/>
      </c>
      <c r="Z13" s="109">
        <f>IFERROR(SQRT((Tabela71023[[#This Row],[X]]-$AC$4)^2+(Tabela71023[[#This Row],[Y]]-$AC$5)^2),0)</f>
        <v/>
      </c>
    </row>
    <row r="17">
      <c r="AC17" s="137" t="n"/>
    </row>
  </sheetData>
  <mergeCells count="21">
    <mergeCell ref="O5:O6"/>
    <mergeCell ref="Q5:Q6"/>
    <mergeCell ref="AB2:AC3"/>
    <mergeCell ref="B2:B3"/>
    <mergeCell ref="F5:F6"/>
    <mergeCell ref="D2:D3"/>
    <mergeCell ref="L5:L6"/>
    <mergeCell ref="N5:N6"/>
    <mergeCell ref="A2:A3"/>
    <mergeCell ref="C2:C3"/>
    <mergeCell ref="E2:E3"/>
    <mergeCell ref="I5:I6"/>
    <mergeCell ref="Z5:Z6"/>
    <mergeCell ref="A5:A6"/>
    <mergeCell ref="G5:G6"/>
    <mergeCell ref="S5:S6"/>
    <mergeCell ref="B5:B6"/>
    <mergeCell ref="H5:H6"/>
    <mergeCell ref="D5:E5"/>
    <mergeCell ref="C5:C6"/>
    <mergeCell ref="M5:M6"/>
  </mergeCells>
  <conditionalFormatting sqref="Q8:Y13">
    <cfRule type="cellIs" priority="1" operator="equal" dxfId="1">
      <formula>"Condutor Suporta Amperagem"</formula>
    </cfRule>
    <cfRule type="cellIs" priority="2" operator="equal" dxfId="0">
      <formula>"Condutor Sobrecarregado"</formula>
    </cfRule>
  </conditionalFormatting>
  <pageMargins left="0.511811024" right="0.511811024" top="0.787401575" bottom="0.787401575" header="0.31496062" footer="0.31496062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jairo marques</dc:creator>
  <dc:language>pt-BR</dc:language>
  <dcterms:created xsi:type="dcterms:W3CDTF">2025-12-22T19:46:06Z</dcterms:created>
  <dcterms:modified xsi:type="dcterms:W3CDTF">2026-04-07T02:50:59Z</dcterms:modified>
  <cp:lastModifiedBy>Jonatas da Rocha Lampa</cp:lastModifiedBy>
  <cp:revision>9</cp:revision>
  <cp:lastPrinted>2025-12-22T20:05:19Z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  <property name="ContentTypeId" fmtid="{D5CDD505-2E9C-101B-9397-08002B2CF9AE}" pid="8">
    <vt:lpwstr>0x0101009B5E8751ED0A0040A15EEFF443F7E8C0</vt:lpwstr>
  </property>
</Properties>
</file>